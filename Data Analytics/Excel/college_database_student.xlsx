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6.xml" ContentType="application/vnd.openxmlformats-officedocument.drawing+xml"/>
  <Override PartName="/xl/slicers/slicer2.xml" ContentType="application/vnd.ms-excel.slicer+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7.xml" ContentType="application/vnd.openxmlformats-officedocument.drawing+xml"/>
  <Override PartName="/xl/slicers/slicer3.xml" ContentType="application/vnd.ms-excel.slicer+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Ex3.xml" ContentType="application/vnd.ms-office.chartex+xml"/>
  <Override PartName="/xl/charts/style26.xml" ContentType="application/vnd.ms-office.chartstyle+xml"/>
  <Override PartName="/xl/charts/colors26.xml" ContentType="application/vnd.ms-office.chartcolorstyle+xml"/>
  <Override PartName="/xl/charts/chart24.xml" ContentType="application/vnd.openxmlformats-officedocument.drawingml.chart+xml"/>
  <Override PartName="/xl/charts/style27.xml" ContentType="application/vnd.ms-office.chartstyle+xml"/>
  <Override PartName="/xl/charts/colors27.xml" ContentType="application/vnd.ms-office.chartcolorstyle+xml"/>
  <Override PartName="/xl/charts/chart25.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slicers/slicer4.xml" ContentType="application/vnd.ms-excel.slicer+xml"/>
  <Override PartName="/xl/charts/chart26.xml" ContentType="application/vnd.openxmlformats-officedocument.drawingml.chart+xml"/>
  <Override PartName="/xl/charts/style29.xml" ContentType="application/vnd.ms-office.chartstyle+xml"/>
  <Override PartName="/xl/charts/colors29.xml" ContentType="application/vnd.ms-office.chartcolorstyle+xml"/>
  <Override PartName="/xl/charts/chart27.xml" ContentType="application/vnd.openxmlformats-officedocument.drawingml.chart+xml"/>
  <Override PartName="/xl/charts/style30.xml" ContentType="application/vnd.ms-office.chartstyle+xml"/>
  <Override PartName="/xl/charts/colors30.xml" ContentType="application/vnd.ms-office.chartcolorstyle+xml"/>
  <Override PartName="/xl/charts/chart28.xml" ContentType="application/vnd.openxmlformats-officedocument.drawingml.chart+xml"/>
  <Override PartName="/xl/charts/style31.xml" ContentType="application/vnd.ms-office.chartstyle+xml"/>
  <Override PartName="/xl/charts/colors31.xml" ContentType="application/vnd.ms-office.chartcolorstyle+xml"/>
  <Override PartName="/xl/charts/chart29.xml" ContentType="application/vnd.openxmlformats-officedocument.drawingml.chart+xml"/>
  <Override PartName="/xl/charts/style32.xml" ContentType="application/vnd.ms-office.chartstyle+xml"/>
  <Override PartName="/xl/charts/colors3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KaaShiv\Kaashiv\Excel\Project\"/>
    </mc:Choice>
  </mc:AlternateContent>
  <xr:revisionPtr revIDLastSave="0" documentId="13_ncr:1_{6F1902B4-E910-46E6-B0EB-CA9A7DFBE03E}" xr6:coauthVersionLast="47" xr6:coauthVersionMax="47" xr10:uidLastSave="{00000000-0000-0000-0000-000000000000}"/>
  <bookViews>
    <workbookView xWindow="-120" yWindow="-120" windowWidth="20730" windowHeight="11040" firstSheet="19" activeTab="21" xr2:uid="{00000000-000D-0000-FFFF-FFFF00000000}"/>
  </bookViews>
  <sheets>
    <sheet name="Students Master" sheetId="1" r:id="rId1"/>
    <sheet name="Faculty Master" sheetId="2" r:id="rId2"/>
    <sheet name="Courses Offered" sheetId="3" r:id="rId3"/>
    <sheet name="Subjects Master" sheetId="4" r:id="rId4"/>
    <sheet name="Faculty-Subject Map" sheetId="5" r:id="rId5"/>
    <sheet name="Semester Results" sheetId="6" r:id="rId6"/>
    <sheet name="Events Master" sheetId="7" r:id="rId7"/>
    <sheet name="Event Participants" sheetId="8" r:id="rId8"/>
    <sheet name="KPI Summary" sheetId="17" r:id="rId9"/>
    <sheet name="Student Chart" sheetId="13" r:id="rId10"/>
    <sheet name="Faculty chart" sheetId="14" r:id="rId11"/>
    <sheet name="Department &amp; Courses Chart" sheetId="15" r:id="rId12"/>
    <sheet name="Event Chart" sheetId="16" r:id="rId13"/>
    <sheet name="Conditional" sheetId="18" r:id="rId14"/>
    <sheet name="Pivot Student" sheetId="21" r:id="rId15"/>
    <sheet name="Faculty Pivot" sheetId="25" r:id="rId16"/>
    <sheet name="Course pivot" sheetId="29" r:id="rId17"/>
    <sheet name="Events Pivot" sheetId="28" r:id="rId18"/>
    <sheet name="Student Dashboard" sheetId="19" r:id="rId19"/>
    <sheet name="Faculty Dashboard" sheetId="22" r:id="rId20"/>
    <sheet name="Department &amp; Course Dashboard" sheetId="23" r:id="rId21"/>
    <sheet name="Event Dashboard" sheetId="24" r:id="rId22"/>
  </sheets>
  <definedNames>
    <definedName name="_xlnm._FilterDatabase" localSheetId="0" hidden="1">'Students Master'!$A$1:$R$501</definedName>
    <definedName name="_xlchart.v1.0" hidden="1">'Student Chart'!$A$89:$A$96</definedName>
    <definedName name="_xlchart.v1.1" hidden="1">'Student Chart'!$B$88</definedName>
    <definedName name="_xlchart.v1.2" hidden="1">'Student Chart'!$B$89:$B$96</definedName>
    <definedName name="_xlchart.v2.3" hidden="1">'Department &amp; Courses Chart'!$A$6:$A$13</definedName>
    <definedName name="_xlchart.v2.4" hidden="1">'Department &amp; Courses Chart'!$B$5</definedName>
    <definedName name="_xlchart.v2.5" hidden="1">'Department &amp; Courses Chart'!$B$6:$B$13</definedName>
    <definedName name="_xlchart.v2.6" hidden="1">'Department &amp; Courses Chart'!$A$6:$A$13</definedName>
    <definedName name="_xlchart.v2.7" hidden="1">'Department &amp; Courses Chart'!$B$5</definedName>
    <definedName name="_xlchart.v2.8" hidden="1">'Department &amp; Courses Chart'!$B$6:$B$13</definedName>
    <definedName name="Slicer_AcademicYear">#N/A</definedName>
    <definedName name="Slicer_CourseName">#N/A</definedName>
    <definedName name="Slicer_CourseName1">#N/A</definedName>
    <definedName name="Slicer_Department">#N/A</definedName>
    <definedName name="Slicer_EventType">#N/A</definedName>
    <definedName name="Slicer_Gender">#N/A</definedName>
    <definedName name="Slicer_Gender1">#N/A</definedName>
    <definedName name="Slicer_OrganizerType">#N/A</definedName>
    <definedName name="Slicer_Qualification">#N/A</definedName>
    <definedName name="Slicer_State">#N/A</definedName>
    <definedName name="Slicer_State1">#N/A</definedName>
  </definedNames>
  <calcPr calcId="191029"/>
  <pivotCaches>
    <pivotCache cacheId="0" r:id="rId23"/>
    <pivotCache cacheId="1" r:id="rId24"/>
    <pivotCache cacheId="2" r:id="rId25"/>
    <pivotCache cacheId="3" r:id="rId26"/>
  </pivotCaches>
  <extLst>
    <ext xmlns:x14="http://schemas.microsoft.com/office/spreadsheetml/2009/9/main" uri="{BBE1A952-AA13-448e-AADC-164F8A28A991}">
      <x14:slicerCaches>
        <x14:slicerCache r:id="rId27"/>
        <x14:slicerCache r:id="rId28"/>
        <x14:slicerCache r:id="rId29"/>
        <x14:slicerCache r:id="rId30"/>
        <x14:slicerCache r:id="rId31"/>
        <x14:slicerCache r:id="rId32"/>
        <x14:slicerCache r:id="rId33"/>
        <x14:slicerCache r:id="rId34"/>
        <x14:slicerCache r:id="rId35"/>
        <x14:slicerCache r:id="rId36"/>
        <x14:slicerCache r:id="rId3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13" l="1"/>
  <c r="B38" i="13"/>
  <c r="B39" i="13"/>
  <c r="B23" i="13"/>
  <c r="B24" i="13"/>
  <c r="B9" i="17"/>
  <c r="B8" i="17"/>
  <c r="B7" i="17"/>
  <c r="B6" i="17"/>
  <c r="B5" i="17"/>
  <c r="B4" i="17"/>
  <c r="B3" i="17"/>
  <c r="B2" i="17"/>
  <c r="B90" i="13"/>
  <c r="B91" i="13"/>
  <c r="B92" i="13"/>
  <c r="B93" i="13"/>
  <c r="B94" i="13"/>
  <c r="B95" i="13"/>
  <c r="B96" i="13"/>
  <c r="B89" i="13"/>
  <c r="B57" i="16"/>
  <c r="B58" i="16"/>
  <c r="B59" i="16"/>
  <c r="B56" i="16"/>
  <c r="B40" i="16"/>
  <c r="B39" i="16"/>
  <c r="B23" i="16"/>
  <c r="B22" i="16"/>
  <c r="C59" i="15"/>
  <c r="C60" i="15"/>
  <c r="C61" i="15"/>
  <c r="C62" i="15"/>
  <c r="C63" i="15"/>
  <c r="C64" i="15"/>
  <c r="C65" i="15"/>
  <c r="C58" i="15"/>
  <c r="B59" i="15"/>
  <c r="B60" i="15"/>
  <c r="B61" i="15"/>
  <c r="B62" i="15"/>
  <c r="B63" i="15"/>
  <c r="B64" i="15"/>
  <c r="B65" i="15"/>
  <c r="B58" i="15"/>
  <c r="B44" i="15"/>
  <c r="B45" i="15"/>
  <c r="B46" i="15"/>
  <c r="B47" i="15"/>
  <c r="B48" i="15"/>
  <c r="B49" i="15"/>
  <c r="B50" i="15"/>
  <c r="B43" i="15"/>
  <c r="B27" i="15"/>
  <c r="B28" i="15"/>
  <c r="B29" i="15"/>
  <c r="B30" i="15"/>
  <c r="B31" i="15"/>
  <c r="B32" i="15"/>
  <c r="B33" i="15"/>
  <c r="B26" i="15"/>
  <c r="B7" i="15"/>
  <c r="B8" i="15"/>
  <c r="B9" i="15"/>
  <c r="B10" i="15"/>
  <c r="B11" i="15"/>
  <c r="B12" i="15"/>
  <c r="B13" i="15"/>
  <c r="B6" i="15"/>
  <c r="B46" i="14"/>
  <c r="B47" i="14"/>
  <c r="B45" i="14"/>
  <c r="B27" i="14"/>
  <c r="B28" i="14"/>
  <c r="B29" i="14"/>
  <c r="B30" i="14"/>
  <c r="B31" i="14"/>
  <c r="B32" i="14"/>
  <c r="B26" i="14"/>
  <c r="C3" i="14"/>
  <c r="C4" i="14"/>
  <c r="C5" i="14"/>
  <c r="C6" i="14"/>
  <c r="C7" i="14"/>
  <c r="C8" i="14"/>
  <c r="C9" i="14"/>
  <c r="C10" i="14"/>
  <c r="C11" i="14"/>
  <c r="C12" i="14"/>
  <c r="C13" i="14"/>
  <c r="C14" i="14"/>
  <c r="C15" i="14"/>
  <c r="C16" i="14"/>
  <c r="C17" i="14"/>
  <c r="C18" i="14"/>
  <c r="C19" i="14"/>
  <c r="C20" i="14"/>
  <c r="C21" i="14"/>
  <c r="C2" i="14"/>
  <c r="B73" i="13"/>
  <c r="B74" i="13"/>
  <c r="B72" i="13"/>
  <c r="G6" i="4" l="1"/>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3" i="4"/>
  <c r="G4" i="4"/>
  <c r="G5" i="4"/>
  <c r="G2" i="4"/>
</calcChain>
</file>

<file path=xl/sharedStrings.xml><?xml version="1.0" encoding="utf-8"?>
<sst xmlns="http://schemas.openxmlformats.org/spreadsheetml/2006/main" count="54292" uniqueCount="3643">
  <si>
    <t>StudentID</t>
  </si>
  <si>
    <t>StudentName</t>
  </si>
  <si>
    <t>Gender</t>
  </si>
  <si>
    <t>DOB</t>
  </si>
  <si>
    <t>BloodGroup</t>
  </si>
  <si>
    <t>FatherName</t>
  </si>
  <si>
    <t>MotherName</t>
  </si>
  <si>
    <t>Address</t>
  </si>
  <si>
    <t>City</t>
  </si>
  <si>
    <t>State</t>
  </si>
  <si>
    <t>Pincode</t>
  </si>
  <si>
    <t>Phone</t>
  </si>
  <si>
    <t>Email</t>
  </si>
  <si>
    <t>AdmissionYear</t>
  </si>
  <si>
    <t>CourseID</t>
  </si>
  <si>
    <t>CourseName</t>
  </si>
  <si>
    <t>Year</t>
  </si>
  <si>
    <t>Semester</t>
  </si>
  <si>
    <t>STU0001</t>
  </si>
  <si>
    <t>Kunal Patel</t>
  </si>
  <si>
    <t>Female</t>
  </si>
  <si>
    <t>B-</t>
  </si>
  <si>
    <t>Riya Iyer</t>
  </si>
  <si>
    <t>Ananya Patel</t>
  </si>
  <si>
    <t>143, Charminar Rd</t>
  </si>
  <si>
    <t>Delhi</t>
  </si>
  <si>
    <t>Tamil Nadu</t>
  </si>
  <si>
    <t>470920</t>
  </si>
  <si>
    <t>9900286241</t>
  </si>
  <si>
    <t>kunal.patel971@student.college.edu</t>
  </si>
  <si>
    <t>CRS06</t>
  </si>
  <si>
    <t>B.Tech Civil</t>
  </si>
  <si>
    <t>STU0002</t>
  </si>
  <si>
    <t>Sai Rao</t>
  </si>
  <si>
    <t>Other</t>
  </si>
  <si>
    <t>AB+</t>
  </si>
  <si>
    <t>Varun Verma</t>
  </si>
  <si>
    <t>Neeraj Gupta</t>
  </si>
  <si>
    <t>494, Anna Salai</t>
  </si>
  <si>
    <t>Chennai</t>
  </si>
  <si>
    <t>Karnataka</t>
  </si>
  <si>
    <t>959391</t>
  </si>
  <si>
    <t>9582636875</t>
  </si>
  <si>
    <t>sai.rao43@gmail.com</t>
  </si>
  <si>
    <t>STU0003</t>
  </si>
  <si>
    <t>Aditya Das</t>
  </si>
  <si>
    <t>Aarav Patel</t>
  </si>
  <si>
    <t>Sujith Kumar</t>
  </si>
  <si>
    <t>55, Charminar Rd</t>
  </si>
  <si>
    <t>Hyderabad</t>
  </si>
  <si>
    <t>Kerala</t>
  </si>
  <si>
    <t>747928</t>
  </si>
  <si>
    <t>9544728808</t>
  </si>
  <si>
    <t>aditya.das250@gmail.com</t>
  </si>
  <si>
    <t>STU0004</t>
  </si>
  <si>
    <t>Aarav Kumar</t>
  </si>
  <si>
    <t>Saanvi Reddy</t>
  </si>
  <si>
    <t>Diya Nair</t>
  </si>
  <si>
    <t>175, Anna Salai</t>
  </si>
  <si>
    <t>Coimbatore</t>
  </si>
  <si>
    <t>551245</t>
  </si>
  <si>
    <t>9247402426</t>
  </si>
  <si>
    <t>aarav.kumar378@gmail.com</t>
  </si>
  <si>
    <t>CRS07</t>
  </si>
  <si>
    <t>B.Sc Physics</t>
  </si>
  <si>
    <t>STU0005</t>
  </si>
  <si>
    <t>Aditi Das</t>
  </si>
  <si>
    <t>B+</t>
  </si>
  <si>
    <t>Varun Kumar</t>
  </si>
  <si>
    <t>Kunal Nair</t>
  </si>
  <si>
    <t>129, Ring Road</t>
  </si>
  <si>
    <t>West Bengal</t>
  </si>
  <si>
    <t>379617</t>
  </si>
  <si>
    <t>9257598233</t>
  </si>
  <si>
    <t>aditi.das726@student.college.edu</t>
  </si>
  <si>
    <t>CRS01</t>
  </si>
  <si>
    <t>B.Sc Computer Science</t>
  </si>
  <si>
    <t>STU0006</t>
  </si>
  <si>
    <t>Nisha Nair</t>
  </si>
  <si>
    <t>Harsha Kumar</t>
  </si>
  <si>
    <t>Kabir Sharma</t>
  </si>
  <si>
    <t>294, Anna Salai</t>
  </si>
  <si>
    <t>Ahmedabad</t>
  </si>
  <si>
    <t>410948</t>
  </si>
  <si>
    <t>9406015391</t>
  </si>
  <si>
    <t>nisha.nair783@gmail.com</t>
  </si>
  <si>
    <t>STU0007</t>
  </si>
  <si>
    <t>Riya Kumar</t>
  </si>
  <si>
    <t>Meera Nair</t>
  </si>
  <si>
    <t>Shreya Rao</t>
  </si>
  <si>
    <t>31, Brigade Road</t>
  </si>
  <si>
    <t>Kolkata</t>
  </si>
  <si>
    <t>202514</t>
  </si>
  <si>
    <t>9640228022</t>
  </si>
  <si>
    <t>riya.kumar811@student.college.edu</t>
  </si>
  <si>
    <t>CRS04</t>
  </si>
  <si>
    <t>BBA</t>
  </si>
  <si>
    <t>STU0008</t>
  </si>
  <si>
    <t>Harsha Gupta</t>
  </si>
  <si>
    <t>Aditya Sharma</t>
  </si>
  <si>
    <t>Sai Nair</t>
  </si>
  <si>
    <t>305, Anna Salai</t>
  </si>
  <si>
    <t>434254</t>
  </si>
  <si>
    <t>9587602685</t>
  </si>
  <si>
    <t>harsha.gupta22@gmail.com</t>
  </si>
  <si>
    <t>CRS03</t>
  </si>
  <si>
    <t>B.A English</t>
  </si>
  <si>
    <t>STU0009</t>
  </si>
  <si>
    <t>Saanvi Das</t>
  </si>
  <si>
    <t>O+</t>
  </si>
  <si>
    <t>Surya Nair</t>
  </si>
  <si>
    <t>224, LBS Marg</t>
  </si>
  <si>
    <t>336836</t>
  </si>
  <si>
    <t>9298543394</t>
  </si>
  <si>
    <t>saanvi.das527@student.college.edu</t>
  </si>
  <si>
    <t>STU0010</t>
  </si>
  <si>
    <t>Vihaan Reddy</t>
  </si>
  <si>
    <t>Kavya Kumar</t>
  </si>
  <si>
    <t>390, MG Road</t>
  </si>
  <si>
    <t>594619</t>
  </si>
  <si>
    <t>9621550994</t>
  </si>
  <si>
    <t>vihaan.reddy121@student.college.edu</t>
  </si>
  <si>
    <t>CRS05</t>
  </si>
  <si>
    <t>B.Tech Mechanical</t>
  </si>
  <si>
    <t>STU0011</t>
  </si>
  <si>
    <t>Meera Kumar</t>
  </si>
  <si>
    <t>Riya Das</t>
  </si>
  <si>
    <t>Arjun Patel</t>
  </si>
  <si>
    <t>98, Park Street</t>
  </si>
  <si>
    <t>783720</t>
  </si>
  <si>
    <t>9785684437</t>
  </si>
  <si>
    <t>meera.kumar387@gmail.com</t>
  </si>
  <si>
    <t>STU0012</t>
  </si>
  <si>
    <t>Shreya Patel</t>
  </si>
  <si>
    <t>Male</t>
  </si>
  <si>
    <t>Meera Sharma</t>
  </si>
  <si>
    <t>Ananya Mukherjee</t>
  </si>
  <si>
    <t>243, Charminar Rd</t>
  </si>
  <si>
    <t>Pune</t>
  </si>
  <si>
    <t>Maharashtra</t>
  </si>
  <si>
    <t>405588</t>
  </si>
  <si>
    <t>9454746149</t>
  </si>
  <si>
    <t>shreya.patel347@gmail.com</t>
  </si>
  <si>
    <t>STU0013</t>
  </si>
  <si>
    <t>Leela Banerjee</t>
  </si>
  <si>
    <t>A-</t>
  </si>
  <si>
    <t>Ananya Banerjee</t>
  </si>
  <si>
    <t>447, MG Road</t>
  </si>
  <si>
    <t>262209</t>
  </si>
  <si>
    <t>9771120303</t>
  </si>
  <si>
    <t>leela.banerjee442@student.college.edu</t>
  </si>
  <si>
    <t>STU0014</t>
  </si>
  <si>
    <t>Sai Gupta</t>
  </si>
  <si>
    <t>Leela Patel</t>
  </si>
  <si>
    <t>Kavya Banerjee</t>
  </si>
  <si>
    <t>124, LBS Marg</t>
  </si>
  <si>
    <t>264684</t>
  </si>
  <si>
    <t>9250992964</t>
  </si>
  <si>
    <t>sai.gupta310@student.college.edu</t>
  </si>
  <si>
    <t>CRS02</t>
  </si>
  <si>
    <t>B.Com</t>
  </si>
  <si>
    <t>STU0015</t>
  </si>
  <si>
    <t>Rohan Patel</t>
  </si>
  <si>
    <t>Shreya Nair</t>
  </si>
  <si>
    <t>Varun Nair</t>
  </si>
  <si>
    <t>12, Charminar Rd</t>
  </si>
  <si>
    <t>567064</t>
  </si>
  <si>
    <t>9927636667</t>
  </si>
  <si>
    <t>rohan.patel676@student.college.edu</t>
  </si>
  <si>
    <t>STU0016</t>
  </si>
  <si>
    <t>Rahul Kumar</t>
  </si>
  <si>
    <t>O-</t>
  </si>
  <si>
    <t>Diya Mukherjee</t>
  </si>
  <si>
    <t>Arjun Verma</t>
  </si>
  <si>
    <t>466, Anna Salai</t>
  </si>
  <si>
    <t>Gujarat</t>
  </si>
  <si>
    <t>115959</t>
  </si>
  <si>
    <t>9828487319</t>
  </si>
  <si>
    <t>rahul.kumar145@student.college.edu</t>
  </si>
  <si>
    <t>STU0017</t>
  </si>
  <si>
    <t>Aditya Patel</t>
  </si>
  <si>
    <t>Nisha Verma</t>
  </si>
  <si>
    <t>345, Anna Salai</t>
  </si>
  <si>
    <t>891208</t>
  </si>
  <si>
    <t>9592089341</t>
  </si>
  <si>
    <t>aditya.patel969@student.college.edu</t>
  </si>
  <si>
    <t>STU0018</t>
  </si>
  <si>
    <t>Kabir Reddy</t>
  </si>
  <si>
    <t>Ira Kumar</t>
  </si>
  <si>
    <t>Diya Banerjee</t>
  </si>
  <si>
    <t>487, Charminar Rd</t>
  </si>
  <si>
    <t>868692</t>
  </si>
  <si>
    <t>9624239396</t>
  </si>
  <si>
    <t>kabir.reddy63@gmail.com</t>
  </si>
  <si>
    <t>STU0019</t>
  </si>
  <si>
    <t>Leela Kumar</t>
  </si>
  <si>
    <t>A+</t>
  </si>
  <si>
    <t>Ishaan Banerjee</t>
  </si>
  <si>
    <t>Harsha Rao</t>
  </si>
  <si>
    <t>498, MG Road</t>
  </si>
  <si>
    <t>Bengaluru</t>
  </si>
  <si>
    <t>Telangana</t>
  </si>
  <si>
    <t>215072</t>
  </si>
  <si>
    <t>9283190811</t>
  </si>
  <si>
    <t>leela.kumar257@student.college.edu</t>
  </si>
  <si>
    <t>STU0020</t>
  </si>
  <si>
    <t>Aarav Iyer</t>
  </si>
  <si>
    <t>Ananya Sharma</t>
  </si>
  <si>
    <t>27, Park Street</t>
  </si>
  <si>
    <t>747515</t>
  </si>
  <si>
    <t>9907854904</t>
  </si>
  <si>
    <t>aarav.iyer412@gmail.com</t>
  </si>
  <si>
    <t>CRS08</t>
  </si>
  <si>
    <t>B.Sc Mathematics</t>
  </si>
  <si>
    <t>STU0021</t>
  </si>
  <si>
    <t>Ananya Rao</t>
  </si>
  <si>
    <t>65, Anna Salai</t>
  </si>
  <si>
    <t>352547</t>
  </si>
  <si>
    <t>9168584848</t>
  </si>
  <si>
    <t>varun.kumar409@gmail.com</t>
  </si>
  <si>
    <t>STU0022</t>
  </si>
  <si>
    <t>Meera Iyer</t>
  </si>
  <si>
    <t>Diya Gupta</t>
  </si>
  <si>
    <t>Tanvi Kumar</t>
  </si>
  <si>
    <t>35, Brigade Road</t>
  </si>
  <si>
    <t>473109</t>
  </si>
  <si>
    <t>9564894902</t>
  </si>
  <si>
    <t>meera.iyer320@gmail.com</t>
  </si>
  <si>
    <t>STU0023</t>
  </si>
  <si>
    <t>Diya Das</t>
  </si>
  <si>
    <t>Diya Verma</t>
  </si>
  <si>
    <t>391, Anna Salai</t>
  </si>
  <si>
    <t>889866</t>
  </si>
  <si>
    <t>9098217330</t>
  </si>
  <si>
    <t>tanvi.kumar891@student.college.edu</t>
  </si>
  <si>
    <t>STU0024</t>
  </si>
  <si>
    <t>Arjun Mukherjee</t>
  </si>
  <si>
    <t>Aditya Mukherjee</t>
  </si>
  <si>
    <t>Priya Reddy</t>
  </si>
  <si>
    <t>193, Charminar Rd</t>
  </si>
  <si>
    <t>133958</t>
  </si>
  <si>
    <t>9170044642</t>
  </si>
  <si>
    <t>arjun.mukherjee525@student.college.edu</t>
  </si>
  <si>
    <t>STU0025</t>
  </si>
  <si>
    <t>Rahul Banerjee</t>
  </si>
  <si>
    <t>Tanvi Nair</t>
  </si>
  <si>
    <t>24, Ring Road</t>
  </si>
  <si>
    <t>032123</t>
  </si>
  <si>
    <t>9071375880</t>
  </si>
  <si>
    <t>rahul.banerjee883@student.college.edu</t>
  </si>
  <si>
    <t>STU0026</t>
  </si>
  <si>
    <t>Surya Verma</t>
  </si>
  <si>
    <t>Meera Rao</t>
  </si>
  <si>
    <t>Ira Mukherjee</t>
  </si>
  <si>
    <t>328, Charminar Rd</t>
  </si>
  <si>
    <t>491946</t>
  </si>
  <si>
    <t>9341440872</t>
  </si>
  <si>
    <t>surya.verma798@student.college.edu</t>
  </si>
  <si>
    <t>STU0027</t>
  </si>
  <si>
    <t>Amrita Iyer</t>
  </si>
  <si>
    <t>Sujith Banerjee</t>
  </si>
  <si>
    <t>Sujith Gupta</t>
  </si>
  <si>
    <t>121, Brigade Road</t>
  </si>
  <si>
    <t>Mumbai</t>
  </si>
  <si>
    <t>167617</t>
  </si>
  <si>
    <t>9477495668</t>
  </si>
  <si>
    <t>amrita.iyer643@gmail.com</t>
  </si>
  <si>
    <t>STU0028</t>
  </si>
  <si>
    <t>Saanvi Kumar</t>
  </si>
  <si>
    <t>Pooja Nair</t>
  </si>
  <si>
    <t>Shreya Sharma</t>
  </si>
  <si>
    <t>181, Brigade Road</t>
  </si>
  <si>
    <t>408088</t>
  </si>
  <si>
    <t>9654578486</t>
  </si>
  <si>
    <t>saanvi.kumar330@gmail.com</t>
  </si>
  <si>
    <t>STU0029</t>
  </si>
  <si>
    <t>Riya Verma</t>
  </si>
  <si>
    <t>21, Ring Road</t>
  </si>
  <si>
    <t>563937</t>
  </si>
  <si>
    <t>9606335328</t>
  </si>
  <si>
    <t>riya.verma988@student.college.edu</t>
  </si>
  <si>
    <t>STU0030</t>
  </si>
  <si>
    <t>Surya Iyer</t>
  </si>
  <si>
    <t>Varun Banerjee</t>
  </si>
  <si>
    <t>Ira Gupta</t>
  </si>
  <si>
    <t>305, Brigade Road</t>
  </si>
  <si>
    <t>631799</t>
  </si>
  <si>
    <t>9906503937</t>
  </si>
  <si>
    <t>surya.iyer197@student.college.edu</t>
  </si>
  <si>
    <t>STU0031</t>
  </si>
  <si>
    <t>Rahul Verma</t>
  </si>
  <si>
    <t>Nisha Mukherjee</t>
  </si>
  <si>
    <t>Amrita Das</t>
  </si>
  <si>
    <t>20, FC Road</t>
  </si>
  <si>
    <t>511669</t>
  </si>
  <si>
    <t>9703796772</t>
  </si>
  <si>
    <t>rahul.verma245@gmail.com</t>
  </si>
  <si>
    <t>STU0032</t>
  </si>
  <si>
    <t>Riya Nair</t>
  </si>
  <si>
    <t>Neeraj Patel</t>
  </si>
  <si>
    <t>258, Charminar Rd</t>
  </si>
  <si>
    <t>812685</t>
  </si>
  <si>
    <t>9188272914</t>
  </si>
  <si>
    <t>diya.banerjee970@student.college.edu</t>
  </si>
  <si>
    <t>STU0033</t>
  </si>
  <si>
    <t>Surya Sharma</t>
  </si>
  <si>
    <t>Ira Das</t>
  </si>
  <si>
    <t>Diya Reddy</t>
  </si>
  <si>
    <t>198, Brigade Road</t>
  </si>
  <si>
    <t>098671</t>
  </si>
  <si>
    <t>9286174002</t>
  </si>
  <si>
    <t>surya.sharma856@student.college.edu</t>
  </si>
  <si>
    <t>STU0034</t>
  </si>
  <si>
    <t>Neeraj Nair</t>
  </si>
  <si>
    <t>328, LBS Marg</t>
  </si>
  <si>
    <t>845657</t>
  </si>
  <si>
    <t>9203516539</t>
  </si>
  <si>
    <t>neeraj.nair558@student.college.edu</t>
  </si>
  <si>
    <t>STU0035</t>
  </si>
  <si>
    <t>Harsha Patel</t>
  </si>
  <si>
    <t>Aditi Sharma</t>
  </si>
  <si>
    <t>177, Ring Road</t>
  </si>
  <si>
    <t>133686</t>
  </si>
  <si>
    <t>9941179027</t>
  </si>
  <si>
    <t>harsha.patel908@student.college.edu</t>
  </si>
  <si>
    <t>STU0036</t>
  </si>
  <si>
    <t>Sujith Das</t>
  </si>
  <si>
    <t>Vihaan Banerjee</t>
  </si>
  <si>
    <t>Ishaan Nair</t>
  </si>
  <si>
    <t>183, MG Road</t>
  </si>
  <si>
    <t>138783</t>
  </si>
  <si>
    <t>9944958706</t>
  </si>
  <si>
    <t>sujith.das843@student.college.edu</t>
  </si>
  <si>
    <t>STU0037</t>
  </si>
  <si>
    <t>Kabir Verma</t>
  </si>
  <si>
    <t>Rahul Nair</t>
  </si>
  <si>
    <t>Riya Rao</t>
  </si>
  <si>
    <t>368, Charminar Rd</t>
  </si>
  <si>
    <t>308392</t>
  </si>
  <si>
    <t>9990638691</t>
  </si>
  <si>
    <t>kabir.verma623@gmail.com</t>
  </si>
  <si>
    <t>STU0038</t>
  </si>
  <si>
    <t>Rohan Banerjee</t>
  </si>
  <si>
    <t>Ira Rao</t>
  </si>
  <si>
    <t>Vihaan Rao</t>
  </si>
  <si>
    <t>79, LBS Marg</t>
  </si>
  <si>
    <t>401332</t>
  </si>
  <si>
    <t>9901591772</t>
  </si>
  <si>
    <t>rohan.banerjee627@gmail.com</t>
  </si>
  <si>
    <t>STU0039</t>
  </si>
  <si>
    <t>Kabir Gupta</t>
  </si>
  <si>
    <t>Sai Mukherjee</t>
  </si>
  <si>
    <t>415, FC Road</t>
  </si>
  <si>
    <t>522177</t>
  </si>
  <si>
    <t>9132972435</t>
  </si>
  <si>
    <t>kabir.gupta479@student.college.edu</t>
  </si>
  <si>
    <t>STU0040</t>
  </si>
  <si>
    <t>Rahul Patel</t>
  </si>
  <si>
    <t>Meera Patel</t>
  </si>
  <si>
    <t>422, Brigade Road</t>
  </si>
  <si>
    <t>646387</t>
  </si>
  <si>
    <t>9619490111</t>
  </si>
  <si>
    <t>rahul.patel331@student.college.edu</t>
  </si>
  <si>
    <t>STU0041</t>
  </si>
  <si>
    <t>Kunal Reddy</t>
  </si>
  <si>
    <t>Kunal Gupta</t>
  </si>
  <si>
    <t>Harsha Nair</t>
  </si>
  <si>
    <t>315, Brigade Road</t>
  </si>
  <si>
    <t>Kochi</t>
  </si>
  <si>
    <t>551693</t>
  </si>
  <si>
    <t>9908097225</t>
  </si>
  <si>
    <t>kunal.reddy633@student.college.edu</t>
  </si>
  <si>
    <t>STU0042</t>
  </si>
  <si>
    <t>31, Park Street</t>
  </si>
  <si>
    <t>426377</t>
  </si>
  <si>
    <t>9891353422</t>
  </si>
  <si>
    <t>saanvi.reddy100@student.college.edu</t>
  </si>
  <si>
    <t>STU0043</t>
  </si>
  <si>
    <t>Rohan Gupta</t>
  </si>
  <si>
    <t>Aditi Iyer</t>
  </si>
  <si>
    <t>Ishaan Gupta</t>
  </si>
  <si>
    <t>256, LBS Marg</t>
  </si>
  <si>
    <t>403425</t>
  </si>
  <si>
    <t>9025862011</t>
  </si>
  <si>
    <t>rohan.gupta271@gmail.com</t>
  </si>
  <si>
    <t>STU0044</t>
  </si>
  <si>
    <t>Vihaan Patel</t>
  </si>
  <si>
    <t>Nisha Reddy</t>
  </si>
  <si>
    <t>148, Brigade Road</t>
  </si>
  <si>
    <t>729619</t>
  </si>
  <si>
    <t>9373971550</t>
  </si>
  <si>
    <t>vihaan.patel141@gmail.com</t>
  </si>
  <si>
    <t>STU0045</t>
  </si>
  <si>
    <t>Arjun Rao</t>
  </si>
  <si>
    <t>Ananya Gupta</t>
  </si>
  <si>
    <t>202, Anna Salai</t>
  </si>
  <si>
    <t>554540</t>
  </si>
  <si>
    <t>9314388652</t>
  </si>
  <si>
    <t>arjun.rao672@student.college.edu</t>
  </si>
  <si>
    <t>STU0046</t>
  </si>
  <si>
    <t>Sai Das</t>
  </si>
  <si>
    <t>Kavya Patel</t>
  </si>
  <si>
    <t>Arjun Banerjee</t>
  </si>
  <si>
    <t>125, MG Road</t>
  </si>
  <si>
    <t>144425</t>
  </si>
  <si>
    <t>9648775594</t>
  </si>
  <si>
    <t>sai.das386@gmail.com</t>
  </si>
  <si>
    <t>STU0047</t>
  </si>
  <si>
    <t>Nisha Iyer</t>
  </si>
  <si>
    <t>Leela Mukherjee</t>
  </si>
  <si>
    <t>Tanvi Banerjee</t>
  </si>
  <si>
    <t>412, Anna Salai</t>
  </si>
  <si>
    <t>125292</t>
  </si>
  <si>
    <t>9227339721</t>
  </si>
  <si>
    <t>nisha.iyer693@gmail.com</t>
  </si>
  <si>
    <t>STU0048</t>
  </si>
  <si>
    <t>Rahul Sharma</t>
  </si>
  <si>
    <t>Aditya Iyer</t>
  </si>
  <si>
    <t>Surya Kumar</t>
  </si>
  <si>
    <t>336, Anna Salai</t>
  </si>
  <si>
    <t>259616</t>
  </si>
  <si>
    <t>9526560471</t>
  </si>
  <si>
    <t>rahul.sharma790@student.college.edu</t>
  </si>
  <si>
    <t>STU0049</t>
  </si>
  <si>
    <t>Ananya Nair</t>
  </si>
  <si>
    <t>331, MG Road</t>
  </si>
  <si>
    <t>579918</t>
  </si>
  <si>
    <t>9199349998</t>
  </si>
  <si>
    <t>harsha.kumar10@gmail.com</t>
  </si>
  <si>
    <t>STU0050</t>
  </si>
  <si>
    <t>Priya Kumar</t>
  </si>
  <si>
    <t>Amrita Gupta</t>
  </si>
  <si>
    <t>436, LBS Marg</t>
  </si>
  <si>
    <t>837670</t>
  </si>
  <si>
    <t>9326166443</t>
  </si>
  <si>
    <t>rahul.kumar411@student.college.edu</t>
  </si>
  <si>
    <t>STU0051</t>
  </si>
  <si>
    <t>Ananya Reddy</t>
  </si>
  <si>
    <t>Ira Reddy</t>
  </si>
  <si>
    <t>489, FC Road</t>
  </si>
  <si>
    <t>232641</t>
  </si>
  <si>
    <t>9698766932</t>
  </si>
  <si>
    <t>ananya.reddy981@student.college.edu</t>
  </si>
  <si>
    <t>STU0052</t>
  </si>
  <si>
    <t>Aditi Rao</t>
  </si>
  <si>
    <t>Varun Das</t>
  </si>
  <si>
    <t>388, Ring Road</t>
  </si>
  <si>
    <t>553918</t>
  </si>
  <si>
    <t>9925184674</t>
  </si>
  <si>
    <t>aditi.rao921@gmail.com</t>
  </si>
  <si>
    <t>STU0053</t>
  </si>
  <si>
    <t>Arjun Das</t>
  </si>
  <si>
    <t>Nisha Kumar</t>
  </si>
  <si>
    <t>202047</t>
  </si>
  <si>
    <t>9508942116</t>
  </si>
  <si>
    <t>arjun.das747@gmail.com</t>
  </si>
  <si>
    <t>STU0054</t>
  </si>
  <si>
    <t>Leela Das</t>
  </si>
  <si>
    <t>69, FC Road</t>
  </si>
  <si>
    <t>931987</t>
  </si>
  <si>
    <t>9947432411</t>
  </si>
  <si>
    <t>leela.patel897@student.college.edu</t>
  </si>
  <si>
    <t>STU0055</t>
  </si>
  <si>
    <t>Rohan Reddy</t>
  </si>
  <si>
    <t>Kavya Sharma</t>
  </si>
  <si>
    <t>345, MG Road</t>
  </si>
  <si>
    <t>422805</t>
  </si>
  <si>
    <t>9287356331</t>
  </si>
  <si>
    <t>rohan.reddy677@student.college.edu</t>
  </si>
  <si>
    <t>STU0056</t>
  </si>
  <si>
    <t>Vihaan Das</t>
  </si>
  <si>
    <t>Surya Gupta</t>
  </si>
  <si>
    <t>Harsha Banerjee</t>
  </si>
  <si>
    <t>219, LBS Marg</t>
  </si>
  <si>
    <t>967341</t>
  </si>
  <si>
    <t>9374837895</t>
  </si>
  <si>
    <t>vihaan.das992@gmail.com</t>
  </si>
  <si>
    <t>STU0057</t>
  </si>
  <si>
    <t>Rohan Nair</t>
  </si>
  <si>
    <t>Harsha Verma</t>
  </si>
  <si>
    <t>434, FC Road</t>
  </si>
  <si>
    <t>036008</t>
  </si>
  <si>
    <t>9562293921</t>
  </si>
  <si>
    <t>rohan.nair760@student.college.edu</t>
  </si>
  <si>
    <t>STU0058</t>
  </si>
  <si>
    <t>Varun Rao</t>
  </si>
  <si>
    <t>398, Anna Salai</t>
  </si>
  <si>
    <t>532540</t>
  </si>
  <si>
    <t>9948934521</t>
  </si>
  <si>
    <t>varun.rao268@gmail.com</t>
  </si>
  <si>
    <t>STU0059</t>
  </si>
  <si>
    <t>Sujith Reddy</t>
  </si>
  <si>
    <t>336, FC Road</t>
  </si>
  <si>
    <t>964171</t>
  </si>
  <si>
    <t>9749560089</t>
  </si>
  <si>
    <t>ananya.reddy685@student.college.edu</t>
  </si>
  <si>
    <t>STU0060</t>
  </si>
  <si>
    <t>Varun Gupta</t>
  </si>
  <si>
    <t>Aarav Reddy</t>
  </si>
  <si>
    <t>259, LBS Marg</t>
  </si>
  <si>
    <t>666440</t>
  </si>
  <si>
    <t>9505290868</t>
  </si>
  <si>
    <t>arjun.banerjee932@student.college.edu</t>
  </si>
  <si>
    <t>STU0061</t>
  </si>
  <si>
    <t>Kunal Iyer</t>
  </si>
  <si>
    <t>41, FC Road</t>
  </si>
  <si>
    <t>592686</t>
  </si>
  <si>
    <t>9870350014</t>
  </si>
  <si>
    <t>rohan.reddy445@gmail.com</t>
  </si>
  <si>
    <t>STU0062</t>
  </si>
  <si>
    <t>Saanvi Nair</t>
  </si>
  <si>
    <t>Vihaan Verma</t>
  </si>
  <si>
    <t>351, Anna Salai</t>
  </si>
  <si>
    <t>180218</t>
  </si>
  <si>
    <t>9892558653</t>
  </si>
  <si>
    <t>rohan.reddy758@student.college.edu</t>
  </si>
  <si>
    <t>STU0063</t>
  </si>
  <si>
    <t>Sujith Verma</t>
  </si>
  <si>
    <t>394, Charminar Rd</t>
  </si>
  <si>
    <t>674253</t>
  </si>
  <si>
    <t>9153722023</t>
  </si>
  <si>
    <t>vihaan.verma803@student.college.edu</t>
  </si>
  <si>
    <t>STU0064</t>
  </si>
  <si>
    <t>53, Park Street</t>
  </si>
  <si>
    <t>455105</t>
  </si>
  <si>
    <t>9578047759</t>
  </si>
  <si>
    <t>diya.verma249@student.college.edu</t>
  </si>
  <si>
    <t>STU0065</t>
  </si>
  <si>
    <t>Arjun Nair</t>
  </si>
  <si>
    <t>Saanvi Gupta</t>
  </si>
  <si>
    <t>Aditya Gupta</t>
  </si>
  <si>
    <t>223, Anna Salai</t>
  </si>
  <si>
    <t>402265</t>
  </si>
  <si>
    <t>9113936833</t>
  </si>
  <si>
    <t>arjun.nair836@student.college.edu</t>
  </si>
  <si>
    <t>STU0066</t>
  </si>
  <si>
    <t>Saanvi Iyer</t>
  </si>
  <si>
    <t>Aditi Mukherjee</t>
  </si>
  <si>
    <t>325, LBS Marg</t>
  </si>
  <si>
    <t>327391</t>
  </si>
  <si>
    <t>9917079278</t>
  </si>
  <si>
    <t>saanvi.iyer71@gmail.com</t>
  </si>
  <si>
    <t>STU0067</t>
  </si>
  <si>
    <t>Tanvi Gupta</t>
  </si>
  <si>
    <t>Varun Patel</t>
  </si>
  <si>
    <t>405, Charminar Rd</t>
  </si>
  <si>
    <t>944596</t>
  </si>
  <si>
    <t>9573856076</t>
  </si>
  <si>
    <t>harsha.nair364@student.college.edu</t>
  </si>
  <si>
    <t>STU0068</t>
  </si>
  <si>
    <t>Neeraj Iyer</t>
  </si>
  <si>
    <t>Aarav Verma</t>
  </si>
  <si>
    <t>262, Ring Road</t>
  </si>
  <si>
    <t>375530</t>
  </si>
  <si>
    <t>9149191342</t>
  </si>
  <si>
    <t>neeraj.iyer495@gmail.com</t>
  </si>
  <si>
    <t>STU0069</t>
  </si>
  <si>
    <t>Aditya Nair</t>
  </si>
  <si>
    <t>Vihaan Mukherjee</t>
  </si>
  <si>
    <t>59, MG Road</t>
  </si>
  <si>
    <t>619211</t>
  </si>
  <si>
    <t>9592416406</t>
  </si>
  <si>
    <t>aditi.mukherjee203@gmail.com</t>
  </si>
  <si>
    <t>STU0070</t>
  </si>
  <si>
    <t>Aarav Mukherjee</t>
  </si>
  <si>
    <t>Kunal Mukherjee</t>
  </si>
  <si>
    <t>Pooja Verma</t>
  </si>
  <si>
    <t>296, Brigade Road</t>
  </si>
  <si>
    <t>311649</t>
  </si>
  <si>
    <t>9333134168</t>
  </si>
  <si>
    <t>aarav.mukherjee941@student.college.edu</t>
  </si>
  <si>
    <t>STU0071</t>
  </si>
  <si>
    <t>Sai Iyer</t>
  </si>
  <si>
    <t>262, Charminar Rd</t>
  </si>
  <si>
    <t>544599</t>
  </si>
  <si>
    <t>9112186894</t>
  </si>
  <si>
    <t>kabir.reddy200@gmail.com</t>
  </si>
  <si>
    <t>STU0072</t>
  </si>
  <si>
    <t>43, MG Road</t>
  </si>
  <si>
    <t>022757</t>
  </si>
  <si>
    <t>9455259577</t>
  </si>
  <si>
    <t>tanvi.kumar452@student.college.edu</t>
  </si>
  <si>
    <t>STU0073</t>
  </si>
  <si>
    <t>398, Ring Road</t>
  </si>
  <si>
    <t>864678</t>
  </si>
  <si>
    <t>9855519259</t>
  </si>
  <si>
    <t>rahul.sharma527@student.college.edu</t>
  </si>
  <si>
    <t>STU0074</t>
  </si>
  <si>
    <t>Kunal Banerjee</t>
  </si>
  <si>
    <t>Leela Gupta</t>
  </si>
  <si>
    <t>365, FC Road</t>
  </si>
  <si>
    <t>452446</t>
  </si>
  <si>
    <t>9805293930</t>
  </si>
  <si>
    <t>kunal.banerjee793@student.college.edu</t>
  </si>
  <si>
    <t>STU0075</t>
  </si>
  <si>
    <t>Leela Verma</t>
  </si>
  <si>
    <t>Ishaan Patel</t>
  </si>
  <si>
    <t>254, Anna Salai</t>
  </si>
  <si>
    <t>355436</t>
  </si>
  <si>
    <t>9007418409</t>
  </si>
  <si>
    <t>leela.verma208@student.college.edu</t>
  </si>
  <si>
    <t>STU0076</t>
  </si>
  <si>
    <t>Leela Nair</t>
  </si>
  <si>
    <t>341, Park Street</t>
  </si>
  <si>
    <t>677400</t>
  </si>
  <si>
    <t>9205540318</t>
  </si>
  <si>
    <t>leela.nair711@student.college.edu</t>
  </si>
  <si>
    <t>STU0077</t>
  </si>
  <si>
    <t>Ira Verma</t>
  </si>
  <si>
    <t>Kabir Iyer</t>
  </si>
  <si>
    <t>71, Charminar Rd</t>
  </si>
  <si>
    <t>056132</t>
  </si>
  <si>
    <t>9796428117</t>
  </si>
  <si>
    <t>ira.verma360@gmail.com</t>
  </si>
  <si>
    <t>STU0078</t>
  </si>
  <si>
    <t>Nisha Rao</t>
  </si>
  <si>
    <t>Kavya Mukherjee</t>
  </si>
  <si>
    <t>312, Anna Salai</t>
  </si>
  <si>
    <t>261367</t>
  </si>
  <si>
    <t>9723260803</t>
  </si>
  <si>
    <t>kunal.banerjee325@student.college.edu</t>
  </si>
  <si>
    <t>STU0079</t>
  </si>
  <si>
    <t>Nisha Banerjee</t>
  </si>
  <si>
    <t>Saanvi Verma</t>
  </si>
  <si>
    <t>Aarav Rao</t>
  </si>
  <si>
    <t>35, MG Road</t>
  </si>
  <si>
    <t>007565</t>
  </si>
  <si>
    <t>9470562352</t>
  </si>
  <si>
    <t>nisha.banerjee828@student.college.edu</t>
  </si>
  <si>
    <t>STU0080</t>
  </si>
  <si>
    <t>Shreya Banerjee</t>
  </si>
  <si>
    <t>Rahul Mukherjee</t>
  </si>
  <si>
    <t>224, Ring Road</t>
  </si>
  <si>
    <t>044637</t>
  </si>
  <si>
    <t>9717719577</t>
  </si>
  <si>
    <t>shreya.banerjee171@gmail.com</t>
  </si>
  <si>
    <t>STU0081</t>
  </si>
  <si>
    <t>Neeraj Sharma</t>
  </si>
  <si>
    <t>Kunal Das</t>
  </si>
  <si>
    <t>365, Brigade Road</t>
  </si>
  <si>
    <t>508117</t>
  </si>
  <si>
    <t>9861708003</t>
  </si>
  <si>
    <t>neeraj.sharma943@student.college.edu</t>
  </si>
  <si>
    <t>STU0082</t>
  </si>
  <si>
    <t>Rohan Iyer</t>
  </si>
  <si>
    <t>Surya Mukherjee</t>
  </si>
  <si>
    <t>423, Brigade Road</t>
  </si>
  <si>
    <t>160250</t>
  </si>
  <si>
    <t>9488730432</t>
  </si>
  <si>
    <t>rohan.iyer804@gmail.com</t>
  </si>
  <si>
    <t>STU0083</t>
  </si>
  <si>
    <t>Diya Rao</t>
  </si>
  <si>
    <t>Neeraj Reddy</t>
  </si>
  <si>
    <t>390, Ring Road</t>
  </si>
  <si>
    <t>905660</t>
  </si>
  <si>
    <t>9373732949</t>
  </si>
  <si>
    <t>diya.rao996@student.college.edu</t>
  </si>
  <si>
    <t>STU0084</t>
  </si>
  <si>
    <t>Varun Iyer</t>
  </si>
  <si>
    <t>Riya Mukherjee</t>
  </si>
  <si>
    <t>44, Brigade Road</t>
  </si>
  <si>
    <t>635061</t>
  </si>
  <si>
    <t>9289383429</t>
  </si>
  <si>
    <t>vihaan.reddy140@student.college.edu</t>
  </si>
  <si>
    <t>STU0085</t>
  </si>
  <si>
    <t>Kabir Das</t>
  </si>
  <si>
    <t>232, Anna Salai</t>
  </si>
  <si>
    <t>808376</t>
  </si>
  <si>
    <t>9281793028</t>
  </si>
  <si>
    <t>riya.kumar179@student.college.edu</t>
  </si>
  <si>
    <t>STU0086</t>
  </si>
  <si>
    <t>Kabir Kumar</t>
  </si>
  <si>
    <t>Aarav Sharma</t>
  </si>
  <si>
    <t>426, Ring Road</t>
  </si>
  <si>
    <t>836652</t>
  </si>
  <si>
    <t>9800941983</t>
  </si>
  <si>
    <t>kabir.kumar44@gmail.com</t>
  </si>
  <si>
    <t>STU0087</t>
  </si>
  <si>
    <t>Sujith Mukherjee</t>
  </si>
  <si>
    <t>Tanvi Patel</t>
  </si>
  <si>
    <t>89, FC Road</t>
  </si>
  <si>
    <t>241666</t>
  </si>
  <si>
    <t>9484034672</t>
  </si>
  <si>
    <t>sujith.mukherjee822@student.college.edu</t>
  </si>
  <si>
    <t>STU0088</t>
  </si>
  <si>
    <t>Priya Iyer</t>
  </si>
  <si>
    <t>Ira Nair</t>
  </si>
  <si>
    <t>93, MG Road</t>
  </si>
  <si>
    <t>082843</t>
  </si>
  <si>
    <t>9521225777</t>
  </si>
  <si>
    <t>nisha.kumar971@student.college.edu</t>
  </si>
  <si>
    <t>STU0089</t>
  </si>
  <si>
    <t>Shreya Iyer</t>
  </si>
  <si>
    <t>Pooja Mukherjee</t>
  </si>
  <si>
    <t>358, FC Road</t>
  </si>
  <si>
    <t>735198</t>
  </si>
  <si>
    <t>9895100604</t>
  </si>
  <si>
    <t>surya.gupta340@student.college.edu</t>
  </si>
  <si>
    <t>STU0090</t>
  </si>
  <si>
    <t>Aarav Gupta</t>
  </si>
  <si>
    <t>Shreya Mukherjee</t>
  </si>
  <si>
    <t>470, Park Street</t>
  </si>
  <si>
    <t>939313</t>
  </si>
  <si>
    <t>9119796196</t>
  </si>
  <si>
    <t>varun.gupta952@gmail.com</t>
  </si>
  <si>
    <t>STU0091</t>
  </si>
  <si>
    <t>Arjun Gupta</t>
  </si>
  <si>
    <t>486, Charminar Rd</t>
  </si>
  <si>
    <t>138661</t>
  </si>
  <si>
    <t>9430336986</t>
  </si>
  <si>
    <t>rahul.mukherjee747@gmail.com</t>
  </si>
  <si>
    <t>STU0092</t>
  </si>
  <si>
    <t>Ishaan Reddy</t>
  </si>
  <si>
    <t>369, MG Road</t>
  </si>
  <si>
    <t>441483</t>
  </si>
  <si>
    <t>9387572470</t>
  </si>
  <si>
    <t>ishaan.reddy21@gmail.com</t>
  </si>
  <si>
    <t>STU0093</t>
  </si>
  <si>
    <t>Aditi Verma</t>
  </si>
  <si>
    <t>174, LBS Marg</t>
  </si>
  <si>
    <t>918112</t>
  </si>
  <si>
    <t>9167722205</t>
  </si>
  <si>
    <t>ananya.gupta861@gmail.com</t>
  </si>
  <si>
    <t>STU0094</t>
  </si>
  <si>
    <t>246, Ring Road</t>
  </si>
  <si>
    <t>269417</t>
  </si>
  <si>
    <t>9482633310</t>
  </si>
  <si>
    <t>aarav.patel451@gmail.com</t>
  </si>
  <si>
    <t>STU0095</t>
  </si>
  <si>
    <t>343, FC Road</t>
  </si>
  <si>
    <t>955884</t>
  </si>
  <si>
    <t>9584840975</t>
  </si>
  <si>
    <t>shreya.sharma923@student.college.edu</t>
  </si>
  <si>
    <t>STU0096</t>
  </si>
  <si>
    <t>Sai Reddy</t>
  </si>
  <si>
    <t>Aditya Banerjee</t>
  </si>
  <si>
    <t>223, Ring Road</t>
  </si>
  <si>
    <t>378055</t>
  </si>
  <si>
    <t>9859075711</t>
  </si>
  <si>
    <t>sai.reddy581@student.college.edu</t>
  </si>
  <si>
    <t>STU0097</t>
  </si>
  <si>
    <t>293, LBS Marg</t>
  </si>
  <si>
    <t>216608</t>
  </si>
  <si>
    <t>9327980832</t>
  </si>
  <si>
    <t>leela.das504@student.college.edu</t>
  </si>
  <si>
    <t>STU0098</t>
  </si>
  <si>
    <t>Sujith Iyer</t>
  </si>
  <si>
    <t>214, Brigade Road</t>
  </si>
  <si>
    <t>287788</t>
  </si>
  <si>
    <t>9513518801</t>
  </si>
  <si>
    <t>rahul.mukherjee853@student.college.edu</t>
  </si>
  <si>
    <t>STU0099</t>
  </si>
  <si>
    <t>Vihaan Kumar</t>
  </si>
  <si>
    <t>Varun Reddy</t>
  </si>
  <si>
    <t>422, LBS Marg</t>
  </si>
  <si>
    <t>610351</t>
  </si>
  <si>
    <t>9853187623</t>
  </si>
  <si>
    <t>vihaan.kumar167@student.college.edu</t>
  </si>
  <si>
    <t>STU0100</t>
  </si>
  <si>
    <t>Tanvi Reddy</t>
  </si>
  <si>
    <t>Meera Das</t>
  </si>
  <si>
    <t>Aarav Banerjee</t>
  </si>
  <si>
    <t>5, LBS Marg</t>
  </si>
  <si>
    <t>602839</t>
  </si>
  <si>
    <t>9643324683</t>
  </si>
  <si>
    <t>tanvi.reddy105@student.college.edu</t>
  </si>
  <si>
    <t>STU0101</t>
  </si>
  <si>
    <t>167, Anna Salai</t>
  </si>
  <si>
    <t>152088</t>
  </si>
  <si>
    <t>9431042947</t>
  </si>
  <si>
    <t>rahul.banerjee598@student.college.edu</t>
  </si>
  <si>
    <t>STU0102</t>
  </si>
  <si>
    <t>Surya Banerjee</t>
  </si>
  <si>
    <t>Rahul Gupta</t>
  </si>
  <si>
    <t>449, Park Street</t>
  </si>
  <si>
    <t>477599</t>
  </si>
  <si>
    <t>9862284835</t>
  </si>
  <si>
    <t>surya.banerjee475@student.college.edu</t>
  </si>
  <si>
    <t>STU0103</t>
  </si>
  <si>
    <t>153, Charminar Rd</t>
  </si>
  <si>
    <t>124594</t>
  </si>
  <si>
    <t>9377461602</t>
  </si>
  <si>
    <t>saanvi.reddy780@student.college.edu</t>
  </si>
  <si>
    <t>STU0104</t>
  </si>
  <si>
    <t>Meera Banerjee</t>
  </si>
  <si>
    <t>220, LBS Marg</t>
  </si>
  <si>
    <t>013038</t>
  </si>
  <si>
    <t>9166263135</t>
  </si>
  <si>
    <t>pooja.verma172@student.college.edu</t>
  </si>
  <si>
    <t>STU0105</t>
  </si>
  <si>
    <t>Kavya Das</t>
  </si>
  <si>
    <t>455, Park Street</t>
  </si>
  <si>
    <t>319942</t>
  </si>
  <si>
    <t>9717513608</t>
  </si>
  <si>
    <t>rahul.kumar262@student.college.edu</t>
  </si>
  <si>
    <t>STU0106</t>
  </si>
  <si>
    <t>Harsha Sharma</t>
  </si>
  <si>
    <t>Kabir Patel</t>
  </si>
  <si>
    <t>Riya Patel</t>
  </si>
  <si>
    <t>64, Anna Salai</t>
  </si>
  <si>
    <t>260415</t>
  </si>
  <si>
    <t>9674856274</t>
  </si>
  <si>
    <t>harsha.sharma624@student.college.edu</t>
  </si>
  <si>
    <t>STU0107</t>
  </si>
  <si>
    <t>Sai Sharma</t>
  </si>
  <si>
    <t>467, Ring Road</t>
  </si>
  <si>
    <t>200154</t>
  </si>
  <si>
    <t>9970796492</t>
  </si>
  <si>
    <t>diya.mukherjee52@student.college.edu</t>
  </si>
  <si>
    <t>STU0108</t>
  </si>
  <si>
    <t>Tanvi Iyer</t>
  </si>
  <si>
    <t>Meera Mukherjee</t>
  </si>
  <si>
    <t>60, Brigade Road</t>
  </si>
  <si>
    <t>861346</t>
  </si>
  <si>
    <t>9808149238</t>
  </si>
  <si>
    <t>leela.nair820@gmail.com</t>
  </si>
  <si>
    <t>STU0109</t>
  </si>
  <si>
    <t>467, LBS Marg</t>
  </si>
  <si>
    <t>133068</t>
  </si>
  <si>
    <t>9919140237</t>
  </si>
  <si>
    <t>arjun.mukherjee695@student.college.edu</t>
  </si>
  <si>
    <t>STU0110</t>
  </si>
  <si>
    <t>329, Charminar Rd</t>
  </si>
  <si>
    <t>095441</t>
  </si>
  <si>
    <t>9733255380</t>
  </si>
  <si>
    <t>meera.banerjee455@gmail.com</t>
  </si>
  <si>
    <t>STU0111</t>
  </si>
  <si>
    <t>Ananya Verma</t>
  </si>
  <si>
    <t>212, MG Road</t>
  </si>
  <si>
    <t>879685</t>
  </si>
  <si>
    <t>9643888375</t>
  </si>
  <si>
    <t>ananya.verma734@gmail.com</t>
  </si>
  <si>
    <t>STU0112</t>
  </si>
  <si>
    <t>Kabir Banerjee</t>
  </si>
  <si>
    <t>Ananya Iyer</t>
  </si>
  <si>
    <t>701177</t>
  </si>
  <si>
    <t>9161934771</t>
  </si>
  <si>
    <t>kabir.banerjee425@student.college.edu</t>
  </si>
  <si>
    <t>STU0113</t>
  </si>
  <si>
    <t>Riya Banerjee</t>
  </si>
  <si>
    <t>Arjun Kumar</t>
  </si>
  <si>
    <t>Aarav Das</t>
  </si>
  <si>
    <t>377, MG Road</t>
  </si>
  <si>
    <t>845915</t>
  </si>
  <si>
    <t>9713685399</t>
  </si>
  <si>
    <t>riya.banerjee781@student.college.edu</t>
  </si>
  <si>
    <t>STU0114</t>
  </si>
  <si>
    <t>Varun Mukherjee</t>
  </si>
  <si>
    <t>263, Anna Salai</t>
  </si>
  <si>
    <t>796262</t>
  </si>
  <si>
    <t>9369695631</t>
  </si>
  <si>
    <t>rahul.kumar361@gmail.com</t>
  </si>
  <si>
    <t>STU0115</t>
  </si>
  <si>
    <t>Amrita Patel</t>
  </si>
  <si>
    <t>28, MG Road</t>
  </si>
  <si>
    <t>712286</t>
  </si>
  <si>
    <t>9270818787</t>
  </si>
  <si>
    <t>amrita.patel575@gmail.com</t>
  </si>
  <si>
    <t>STU0116</t>
  </si>
  <si>
    <t>Surya Patel</t>
  </si>
  <si>
    <t>Pooja Banerjee</t>
  </si>
  <si>
    <t>Ananya Das</t>
  </si>
  <si>
    <t>678897</t>
  </si>
  <si>
    <t>9675679216</t>
  </si>
  <si>
    <t>surya.patel192@student.college.edu</t>
  </si>
  <si>
    <t>STU0117</t>
  </si>
  <si>
    <t>434, Anna Salai</t>
  </si>
  <si>
    <t>490957</t>
  </si>
  <si>
    <t>9683750759</t>
  </si>
  <si>
    <t>vihaan.patel534@student.college.edu</t>
  </si>
  <si>
    <t>STU0118</t>
  </si>
  <si>
    <t>Nisha Das</t>
  </si>
  <si>
    <t>Amrita Reddy</t>
  </si>
  <si>
    <t>340, FC Road</t>
  </si>
  <si>
    <t>296457</t>
  </si>
  <si>
    <t>9613269208</t>
  </si>
  <si>
    <t>nisha.das391@student.college.edu</t>
  </si>
  <si>
    <t>STU0119</t>
  </si>
  <si>
    <t>Pooja Das</t>
  </si>
  <si>
    <t>23, Anna Salai</t>
  </si>
  <si>
    <t>591950</t>
  </si>
  <si>
    <t>9067841579</t>
  </si>
  <si>
    <t>aarav.das794@gmail.com</t>
  </si>
  <si>
    <t>STU0120</t>
  </si>
  <si>
    <t>92, Anna Salai</t>
  </si>
  <si>
    <t>522364</t>
  </si>
  <si>
    <t>9065667570</t>
  </si>
  <si>
    <t>aarav.kumar951@student.college.edu</t>
  </si>
  <si>
    <t>STU0121</t>
  </si>
  <si>
    <t>81, Ring Road</t>
  </si>
  <si>
    <t>782628</t>
  </si>
  <si>
    <t>9986908105</t>
  </si>
  <si>
    <t>rahul.kumar404@student.college.edu</t>
  </si>
  <si>
    <t>STU0122</t>
  </si>
  <si>
    <t>316, Anna Salai</t>
  </si>
  <si>
    <t>178899</t>
  </si>
  <si>
    <t>9452007431</t>
  </si>
  <si>
    <t>ishaan.patel672@student.college.edu</t>
  </si>
  <si>
    <t>STU0123</t>
  </si>
  <si>
    <t>157, Park Street</t>
  </si>
  <si>
    <t>891377</t>
  </si>
  <si>
    <t>9623634474</t>
  </si>
  <si>
    <t>amrita.reddy112@student.college.edu</t>
  </si>
  <si>
    <t>STU0124</t>
  </si>
  <si>
    <t>Amrita Banerjee</t>
  </si>
  <si>
    <t>40, Brigade Road</t>
  </si>
  <si>
    <t>857202</t>
  </si>
  <si>
    <t>9856138581</t>
  </si>
  <si>
    <t>leela.gupta514@student.college.edu</t>
  </si>
  <si>
    <t>STU0125</t>
  </si>
  <si>
    <t>82, Park Street</t>
  </si>
  <si>
    <t>743240</t>
  </si>
  <si>
    <t>9302934409</t>
  </si>
  <si>
    <t>tanvi.reddy332@student.college.edu</t>
  </si>
  <si>
    <t>STU0126</t>
  </si>
  <si>
    <t>Shreya Das</t>
  </si>
  <si>
    <t>Ira Banerjee</t>
  </si>
  <si>
    <t>Ira Iyer</t>
  </si>
  <si>
    <t>301, Brigade Road</t>
  </si>
  <si>
    <t>395384</t>
  </si>
  <si>
    <t>9465110621</t>
  </si>
  <si>
    <t>shreya.das371@student.college.edu</t>
  </si>
  <si>
    <t>STU0127</t>
  </si>
  <si>
    <t>Pooja Iyer</t>
  </si>
  <si>
    <t>Saanvi Banerjee</t>
  </si>
  <si>
    <t>108, Park Street</t>
  </si>
  <si>
    <t>215158</t>
  </si>
  <si>
    <t>9119549687</t>
  </si>
  <si>
    <t>pooja.iyer842@gmail.com</t>
  </si>
  <si>
    <t>STU0128</t>
  </si>
  <si>
    <t>Kavya Gupta</t>
  </si>
  <si>
    <t>407, Park Street</t>
  </si>
  <si>
    <t>169503</t>
  </si>
  <si>
    <t>9105968619</t>
  </si>
  <si>
    <t>kavya.kumar615@student.college.edu</t>
  </si>
  <si>
    <t>STU0129</t>
  </si>
  <si>
    <t>Nisha Sharma</t>
  </si>
  <si>
    <t>333, Charminar Rd</t>
  </si>
  <si>
    <t>305287</t>
  </si>
  <si>
    <t>9357760142</t>
  </si>
  <si>
    <t>saanvi.banerjee880@student.college.edu</t>
  </si>
  <si>
    <t>STU0130</t>
  </si>
  <si>
    <t>Ishaan Sharma</t>
  </si>
  <si>
    <t>Pooja Sharma</t>
  </si>
  <si>
    <t>61, MG Road</t>
  </si>
  <si>
    <t>633162</t>
  </si>
  <si>
    <t>9843267474</t>
  </si>
  <si>
    <t>ishaan.sharma380@gmail.com</t>
  </si>
  <si>
    <t>STU0131</t>
  </si>
  <si>
    <t>Neeraj Mukherjee</t>
  </si>
  <si>
    <t>Kabir Mukherjee</t>
  </si>
  <si>
    <t>118, LBS Marg</t>
  </si>
  <si>
    <t>243567</t>
  </si>
  <si>
    <t>9190019402</t>
  </si>
  <si>
    <t>neeraj.mukherjee82@student.college.edu</t>
  </si>
  <si>
    <t>STU0132</t>
  </si>
  <si>
    <t>Vihaan Gupta</t>
  </si>
  <si>
    <t>268205</t>
  </si>
  <si>
    <t>9521020197</t>
  </si>
  <si>
    <t>kavya.banerjee362@gmail.com</t>
  </si>
  <si>
    <t>STU0133</t>
  </si>
  <si>
    <t>469, FC Road</t>
  </si>
  <si>
    <t>294401</t>
  </si>
  <si>
    <t>9555315257</t>
  </si>
  <si>
    <t>aditi.mukherjee257@gmail.com</t>
  </si>
  <si>
    <t>STU0134</t>
  </si>
  <si>
    <t>Leela Sharma</t>
  </si>
  <si>
    <t>247, Brigade Road</t>
  </si>
  <si>
    <t>372784</t>
  </si>
  <si>
    <t>9357223735</t>
  </si>
  <si>
    <t>neeraj.iyer183@gmail.com</t>
  </si>
  <si>
    <t>STU0135</t>
  </si>
  <si>
    <t>Amrita Rao</t>
  </si>
  <si>
    <t>Aditi Banerjee</t>
  </si>
  <si>
    <t>Surya Reddy</t>
  </si>
  <si>
    <t>256, Ring Road</t>
  </si>
  <si>
    <t>822261</t>
  </si>
  <si>
    <t>9196667504</t>
  </si>
  <si>
    <t>amrita.rao636@gmail.com</t>
  </si>
  <si>
    <t>STU0136</t>
  </si>
  <si>
    <t>Rohan Rao</t>
  </si>
  <si>
    <t>Arjun Sharma</t>
  </si>
  <si>
    <t>270, Charminar Rd</t>
  </si>
  <si>
    <t>536196</t>
  </si>
  <si>
    <t>9460253625</t>
  </si>
  <si>
    <t>sai.das243@gmail.com</t>
  </si>
  <si>
    <t>STU0137</t>
  </si>
  <si>
    <t>Sai Kumar</t>
  </si>
  <si>
    <t>187, Charminar Rd</t>
  </si>
  <si>
    <t>115202</t>
  </si>
  <si>
    <t>9243191814</t>
  </si>
  <si>
    <t>sai.kumar915@gmail.com</t>
  </si>
  <si>
    <t>STU0138</t>
  </si>
  <si>
    <t>31, Ring Road</t>
  </si>
  <si>
    <t>807235</t>
  </si>
  <si>
    <t>9834366565</t>
  </si>
  <si>
    <t>kunal.das800@gmail.com</t>
  </si>
  <si>
    <t>STU0139</t>
  </si>
  <si>
    <t>324, Park Street</t>
  </si>
  <si>
    <t>464903</t>
  </si>
  <si>
    <t>9367638797</t>
  </si>
  <si>
    <t>neeraj.mukherjee534@gmail.com</t>
  </si>
  <si>
    <t>STU0140</t>
  </si>
  <si>
    <t>359, Brigade Road</t>
  </si>
  <si>
    <t>309407</t>
  </si>
  <si>
    <t>9591609327</t>
  </si>
  <si>
    <t>leela.sharma454@student.college.edu</t>
  </si>
  <si>
    <t>STU0141</t>
  </si>
  <si>
    <t>479, Anna Salai</t>
  </si>
  <si>
    <t>195547</t>
  </si>
  <si>
    <t>9846594203</t>
  </si>
  <si>
    <t>vihaan.banerjee423@gmail.com</t>
  </si>
  <si>
    <t>STU0142</t>
  </si>
  <si>
    <t>353, LBS Marg</t>
  </si>
  <si>
    <t>042203</t>
  </si>
  <si>
    <t>9453173324</t>
  </si>
  <si>
    <t>aarav.das246@gmail.com</t>
  </si>
  <si>
    <t>STU0143</t>
  </si>
  <si>
    <t>Ishaan Verma</t>
  </si>
  <si>
    <t>317, LBS Marg</t>
  </si>
  <si>
    <t>100511</t>
  </si>
  <si>
    <t>9277214337</t>
  </si>
  <si>
    <t>ishaan.verma381@gmail.com</t>
  </si>
  <si>
    <t>STU0144</t>
  </si>
  <si>
    <t>241, Park Street</t>
  </si>
  <si>
    <t>881727</t>
  </si>
  <si>
    <t>9470475946</t>
  </si>
  <si>
    <t>aditya.gupta320@gmail.com</t>
  </si>
  <si>
    <t>STU0145</t>
  </si>
  <si>
    <t>Kunal Kumar</t>
  </si>
  <si>
    <t>Ishaan Iyer</t>
  </si>
  <si>
    <t>Amrita Sharma</t>
  </si>
  <si>
    <t>443, Ring Road</t>
  </si>
  <si>
    <t>631217</t>
  </si>
  <si>
    <t>9007453010</t>
  </si>
  <si>
    <t>kunal.kumar634@gmail.com</t>
  </si>
  <si>
    <t>STU0146</t>
  </si>
  <si>
    <t>120, FC Road</t>
  </si>
  <si>
    <t>841631</t>
  </si>
  <si>
    <t>9844261137</t>
  </si>
  <si>
    <t>diya.banerjee282@student.college.edu</t>
  </si>
  <si>
    <t>STU0147</t>
  </si>
  <si>
    <t>Riya Sharma</t>
  </si>
  <si>
    <t>Neeraj Banerjee</t>
  </si>
  <si>
    <t>260, Charminar Rd</t>
  </si>
  <si>
    <t>636309</t>
  </si>
  <si>
    <t>9816712430</t>
  </si>
  <si>
    <t>rahul.nair675@student.college.edu</t>
  </si>
  <si>
    <t>STU0148</t>
  </si>
  <si>
    <t>293, Charminar Rd</t>
  </si>
  <si>
    <t>027096</t>
  </si>
  <si>
    <t>9984637887</t>
  </si>
  <si>
    <t>leela.sharma60@gmail.com</t>
  </si>
  <si>
    <t>STU0149</t>
  </si>
  <si>
    <t>Sujith Nair</t>
  </si>
  <si>
    <t>Priya Verma</t>
  </si>
  <si>
    <t>119, Charminar Rd</t>
  </si>
  <si>
    <t>526174</t>
  </si>
  <si>
    <t>9163468114</t>
  </si>
  <si>
    <t>sujith.nair346@student.college.edu</t>
  </si>
  <si>
    <t>STU0150</t>
  </si>
  <si>
    <t>Leela Iyer</t>
  </si>
  <si>
    <t>221, FC Road</t>
  </si>
  <si>
    <t>527929</t>
  </si>
  <si>
    <t>9437955933</t>
  </si>
  <si>
    <t>amrita.iyer228@student.college.edu</t>
  </si>
  <si>
    <t>STU0151</t>
  </si>
  <si>
    <t>Priya Das</t>
  </si>
  <si>
    <t>80, Brigade Road</t>
  </si>
  <si>
    <t>313528</t>
  </si>
  <si>
    <t>9039777186</t>
  </si>
  <si>
    <t>neeraj.mukherjee591@student.college.edu</t>
  </si>
  <si>
    <t>STU0152</t>
  </si>
  <si>
    <t>179, Charminar Rd</t>
  </si>
  <si>
    <t>826607</t>
  </si>
  <si>
    <t>9330515207</t>
  </si>
  <si>
    <t>aditi.rao403@gmail.com</t>
  </si>
  <si>
    <t>STU0153</t>
  </si>
  <si>
    <t>Arjun Iyer</t>
  </si>
  <si>
    <t>Aditya Kumar</t>
  </si>
  <si>
    <t>293, MG Road</t>
  </si>
  <si>
    <t>234674</t>
  </si>
  <si>
    <t>9135595224</t>
  </si>
  <si>
    <t>meera.nair702@student.college.edu</t>
  </si>
  <si>
    <t>STU0154</t>
  </si>
  <si>
    <t>Diya Iyer</t>
  </si>
  <si>
    <t>395, Anna Salai</t>
  </si>
  <si>
    <t>694108</t>
  </si>
  <si>
    <t>9137810998</t>
  </si>
  <si>
    <t>diya.iyer840@gmail.com</t>
  </si>
  <si>
    <t>STU0155</t>
  </si>
  <si>
    <t>109, Ring Road</t>
  </si>
  <si>
    <t>569663</t>
  </si>
  <si>
    <t>9952026249</t>
  </si>
  <si>
    <t>rahul.kumar69@gmail.com</t>
  </si>
  <si>
    <t>STU0156</t>
  </si>
  <si>
    <t>195, Brigade Road</t>
  </si>
  <si>
    <t>851549</t>
  </si>
  <si>
    <t>9025331336</t>
  </si>
  <si>
    <t>leela.verma242@gmail.com</t>
  </si>
  <si>
    <t>STU0157</t>
  </si>
  <si>
    <t>460, Charminar Rd</t>
  </si>
  <si>
    <t>756864</t>
  </si>
  <si>
    <t>9543641656</t>
  </si>
  <si>
    <t>amrita.patel208@student.college.edu</t>
  </si>
  <si>
    <t>STU0158</t>
  </si>
  <si>
    <t>286, Brigade Road</t>
  </si>
  <si>
    <t>810399</t>
  </si>
  <si>
    <t>9378671110</t>
  </si>
  <si>
    <t>surya.gupta627@gmail.com</t>
  </si>
  <si>
    <t>STU0159</t>
  </si>
  <si>
    <t>Neeraj Kumar</t>
  </si>
  <si>
    <t>69, LBS Marg</t>
  </si>
  <si>
    <t>841107</t>
  </si>
  <si>
    <t>9024797099</t>
  </si>
  <si>
    <t>rohan.banerjee888@gmail.com</t>
  </si>
  <si>
    <t>STU0160</t>
  </si>
  <si>
    <t>423, Charminar Rd</t>
  </si>
  <si>
    <t>675587</t>
  </si>
  <si>
    <t>9548095375</t>
  </si>
  <si>
    <t>amrita.reddy529@student.college.edu</t>
  </si>
  <si>
    <t>STU0161</t>
  </si>
  <si>
    <t>Sai Patel</t>
  </si>
  <si>
    <t>Rahul Rao</t>
  </si>
  <si>
    <t>471, MG Road</t>
  </si>
  <si>
    <t>460515</t>
  </si>
  <si>
    <t>9853304888</t>
  </si>
  <si>
    <t>ira.nair93@gmail.com</t>
  </si>
  <si>
    <t>STU0162</t>
  </si>
  <si>
    <t>Aditya Verma</t>
  </si>
  <si>
    <t>Harsha Iyer</t>
  </si>
  <si>
    <t>363, Charminar Rd</t>
  </si>
  <si>
    <t>337956</t>
  </si>
  <si>
    <t>9181743746</t>
  </si>
  <si>
    <t>aditya.verma121@student.college.edu</t>
  </si>
  <si>
    <t>STU0163</t>
  </si>
  <si>
    <t>122, Ring Road</t>
  </si>
  <si>
    <t>446082</t>
  </si>
  <si>
    <t>9682103105</t>
  </si>
  <si>
    <t>aarav.kumar618@gmail.com</t>
  </si>
  <si>
    <t>STU0164</t>
  </si>
  <si>
    <t>355, Park Street</t>
  </si>
  <si>
    <t>902330</t>
  </si>
  <si>
    <t>9452162556</t>
  </si>
  <si>
    <t>kabir.patel627@student.college.edu</t>
  </si>
  <si>
    <t>STU0165</t>
  </si>
  <si>
    <t>435, FC Road</t>
  </si>
  <si>
    <t>964748</t>
  </si>
  <si>
    <t>9822114772</t>
  </si>
  <si>
    <t>aditi.mukherjee631@gmail.com</t>
  </si>
  <si>
    <t>STU0166</t>
  </si>
  <si>
    <t>Ishaan Mukherjee</t>
  </si>
  <si>
    <t>145, Anna Salai</t>
  </si>
  <si>
    <t>357133</t>
  </si>
  <si>
    <t>9598189440</t>
  </si>
  <si>
    <t>diya.das140@gmail.com</t>
  </si>
  <si>
    <t>STU0167</t>
  </si>
  <si>
    <t>372, FC Road</t>
  </si>
  <si>
    <t>267839</t>
  </si>
  <si>
    <t>9209685358</t>
  </si>
  <si>
    <t>riya.patel770@gmail.com</t>
  </si>
  <si>
    <t>STU0168</t>
  </si>
  <si>
    <t>Diya Kumar</t>
  </si>
  <si>
    <t>425, Anna Salai</t>
  </si>
  <si>
    <t>130205</t>
  </si>
  <si>
    <t>9791348337</t>
  </si>
  <si>
    <t>kunal.patel101@student.college.edu</t>
  </si>
  <si>
    <t>STU0169</t>
  </si>
  <si>
    <t>Aarav Nair</t>
  </si>
  <si>
    <t>352, Brigade Road</t>
  </si>
  <si>
    <t>817707</t>
  </si>
  <si>
    <t>9622257621</t>
  </si>
  <si>
    <t>ira.mukherjee118@student.college.edu</t>
  </si>
  <si>
    <t>STU0170</t>
  </si>
  <si>
    <t>294, Ring Road</t>
  </si>
  <si>
    <t>385009</t>
  </si>
  <si>
    <t>9030378664</t>
  </si>
  <si>
    <t>nisha.iyer365@gmail.com</t>
  </si>
  <si>
    <t>STU0171</t>
  </si>
  <si>
    <t>234, Anna Salai</t>
  </si>
  <si>
    <t>228693</t>
  </si>
  <si>
    <t>9667840434</t>
  </si>
  <si>
    <t>surya.kumar175@gmail.com</t>
  </si>
  <si>
    <t>STU0172</t>
  </si>
  <si>
    <t>333, Brigade Road</t>
  </si>
  <si>
    <t>446593</t>
  </si>
  <si>
    <t>9385747526</t>
  </si>
  <si>
    <t>priya.verma80@gmail.com</t>
  </si>
  <si>
    <t>STU0173</t>
  </si>
  <si>
    <t>Aditya Rao</t>
  </si>
  <si>
    <t>56, Charminar Rd</t>
  </si>
  <si>
    <t>602157</t>
  </si>
  <si>
    <t>9876426428</t>
  </si>
  <si>
    <t>nisha.verma307@gmail.com</t>
  </si>
  <si>
    <t>STU0174</t>
  </si>
  <si>
    <t>32, FC Road</t>
  </si>
  <si>
    <t>059120</t>
  </si>
  <si>
    <t>9456744211</t>
  </si>
  <si>
    <t>shreya.sharma569@gmail.com</t>
  </si>
  <si>
    <t>STU0175</t>
  </si>
  <si>
    <t>9, Park Street</t>
  </si>
  <si>
    <t>911888</t>
  </si>
  <si>
    <t>9696448324</t>
  </si>
  <si>
    <t>arjun.nair8@gmail.com</t>
  </si>
  <si>
    <t>STU0176</t>
  </si>
  <si>
    <t>Vihaan Sharma</t>
  </si>
  <si>
    <t>Shreya Kumar</t>
  </si>
  <si>
    <t>361, FC Road</t>
  </si>
  <si>
    <t>907587</t>
  </si>
  <si>
    <t>9255626666</t>
  </si>
  <si>
    <t>meera.das553@gmail.com</t>
  </si>
  <si>
    <t>STU0177</t>
  </si>
  <si>
    <t>170, Charminar Rd</t>
  </si>
  <si>
    <t>209775</t>
  </si>
  <si>
    <t>9041098620</t>
  </si>
  <si>
    <t>nisha.sharma518@student.college.edu</t>
  </si>
  <si>
    <t>STU0178</t>
  </si>
  <si>
    <t>58, Park Street</t>
  </si>
  <si>
    <t>631721</t>
  </si>
  <si>
    <t>9509958874</t>
  </si>
  <si>
    <t>arjun.rao393@student.college.edu</t>
  </si>
  <si>
    <t>STU0179</t>
  </si>
  <si>
    <t>Ishaan Rao</t>
  </si>
  <si>
    <t>Kunal Verma</t>
  </si>
  <si>
    <t>449926</t>
  </si>
  <si>
    <t>9325427335</t>
  </si>
  <si>
    <t>ishaan.rao979@student.college.edu</t>
  </si>
  <si>
    <t>STU0180</t>
  </si>
  <si>
    <t>131, Charminar Rd</t>
  </si>
  <si>
    <t>751361</t>
  </si>
  <si>
    <t>9568001422</t>
  </si>
  <si>
    <t>kavya.banerjee198@student.college.edu</t>
  </si>
  <si>
    <t>STU0181</t>
  </si>
  <si>
    <t>45, Park Street</t>
  </si>
  <si>
    <t>862496</t>
  </si>
  <si>
    <t>9924973107</t>
  </si>
  <si>
    <t>kavya.banerjee392@gmail.com</t>
  </si>
  <si>
    <t>STU0182</t>
  </si>
  <si>
    <t>313, Charminar Rd</t>
  </si>
  <si>
    <t>154614</t>
  </si>
  <si>
    <t>9200770460</t>
  </si>
  <si>
    <t>sujith.nair39@gmail.com</t>
  </si>
  <si>
    <t>STU0183</t>
  </si>
  <si>
    <t>Priya Mukherjee</t>
  </si>
  <si>
    <t>245, Charminar Rd</t>
  </si>
  <si>
    <t>509845</t>
  </si>
  <si>
    <t>9936469059</t>
  </si>
  <si>
    <t>amrita.patel83@gmail.com</t>
  </si>
  <si>
    <t>STU0184</t>
  </si>
  <si>
    <t>200, Brigade Road</t>
  </si>
  <si>
    <t>067117</t>
  </si>
  <si>
    <t>9540535849</t>
  </si>
  <si>
    <t>sai.das38@gmail.com</t>
  </si>
  <si>
    <t>STU0185</t>
  </si>
  <si>
    <t>Tanvi Das</t>
  </si>
  <si>
    <t>446, Park Street</t>
  </si>
  <si>
    <t>901649</t>
  </si>
  <si>
    <t>9071103741</t>
  </si>
  <si>
    <t>ira.verma606@student.college.edu</t>
  </si>
  <si>
    <t>STU0186</t>
  </si>
  <si>
    <t>Saanvi Rao</t>
  </si>
  <si>
    <t>Aditya Reddy</t>
  </si>
  <si>
    <t>416, Charminar Rd</t>
  </si>
  <si>
    <t>951877</t>
  </si>
  <si>
    <t>9531146549</t>
  </si>
  <si>
    <t>saanvi.rao42@student.college.edu</t>
  </si>
  <si>
    <t>STU0187</t>
  </si>
  <si>
    <t>362, Anna Salai</t>
  </si>
  <si>
    <t>626549</t>
  </si>
  <si>
    <t>9601496730</t>
  </si>
  <si>
    <t>aarav.kumar242@student.college.edu</t>
  </si>
  <si>
    <t>STU0188</t>
  </si>
  <si>
    <t>142, MG Road</t>
  </si>
  <si>
    <t>769416</t>
  </si>
  <si>
    <t>9062438707</t>
  </si>
  <si>
    <t>leela.das948@student.college.edu</t>
  </si>
  <si>
    <t>STU0189</t>
  </si>
  <si>
    <t>Aditi Kumar</t>
  </si>
  <si>
    <t>167, Charminar Rd</t>
  </si>
  <si>
    <t>212241</t>
  </si>
  <si>
    <t>9805042613</t>
  </si>
  <si>
    <t>priya.verma469@student.college.edu</t>
  </si>
  <si>
    <t>STU0190</t>
  </si>
  <si>
    <t>Vihaan Nair</t>
  </si>
  <si>
    <t>70, Brigade Road</t>
  </si>
  <si>
    <t>472217</t>
  </si>
  <si>
    <t>9995524582</t>
  </si>
  <si>
    <t>ishaan.iyer485@gmail.com</t>
  </si>
  <si>
    <t>STU0191</t>
  </si>
  <si>
    <t>Aditi Reddy</t>
  </si>
  <si>
    <t>485, Park Street</t>
  </si>
  <si>
    <t>409754</t>
  </si>
  <si>
    <t>9386040764</t>
  </si>
  <si>
    <t>aditi.reddy224@student.college.edu</t>
  </si>
  <si>
    <t>STU0192</t>
  </si>
  <si>
    <t>236, MG Road</t>
  </si>
  <si>
    <t>784734</t>
  </si>
  <si>
    <t>9680830429</t>
  </si>
  <si>
    <t>harsha.verma556@student.college.edu</t>
  </si>
  <si>
    <t>STU0193</t>
  </si>
  <si>
    <t>Diya Sharma</t>
  </si>
  <si>
    <t>188, LBS Marg</t>
  </si>
  <si>
    <t>315072</t>
  </si>
  <si>
    <t>9921495927</t>
  </si>
  <si>
    <t>aditi.sharma231@gmail.com</t>
  </si>
  <si>
    <t>STU0194</t>
  </si>
  <si>
    <t>Kunal Sharma</t>
  </si>
  <si>
    <t>270, Brigade Road</t>
  </si>
  <si>
    <t>436698</t>
  </si>
  <si>
    <t>9180319011</t>
  </si>
  <si>
    <t>kunal.sharma152@gmail.com</t>
  </si>
  <si>
    <t>STU0195</t>
  </si>
  <si>
    <t>216, LBS Marg</t>
  </si>
  <si>
    <t>108853</t>
  </si>
  <si>
    <t>9567465545</t>
  </si>
  <si>
    <t>rahul.patel920@gmail.com</t>
  </si>
  <si>
    <t>STU0196</t>
  </si>
  <si>
    <t>146, LBS Marg</t>
  </si>
  <si>
    <t>729866</t>
  </si>
  <si>
    <t>9120312150</t>
  </si>
  <si>
    <t>saanvi.iyer325@gmail.com</t>
  </si>
  <si>
    <t>STU0197</t>
  </si>
  <si>
    <t>Nisha Gupta</t>
  </si>
  <si>
    <t>394, Park Street</t>
  </si>
  <si>
    <t>195562</t>
  </si>
  <si>
    <t>9897967793</t>
  </si>
  <si>
    <t>nisha.gupta116@gmail.com</t>
  </si>
  <si>
    <t>STU0198</t>
  </si>
  <si>
    <t>48, FC Road</t>
  </si>
  <si>
    <t>529205</t>
  </si>
  <si>
    <t>9460513699</t>
  </si>
  <si>
    <t>rahul.sharma370@gmail.com</t>
  </si>
  <si>
    <t>STU0199</t>
  </si>
  <si>
    <t>448, Brigade Road</t>
  </si>
  <si>
    <t>744178</t>
  </si>
  <si>
    <t>9748513953</t>
  </si>
  <si>
    <t>ira.iyer956@gmail.com</t>
  </si>
  <si>
    <t>STU0200</t>
  </si>
  <si>
    <t>387, Park Street</t>
  </si>
  <si>
    <t>824835</t>
  </si>
  <si>
    <t>9472713661</t>
  </si>
  <si>
    <t>harsha.nair682@gmail.com</t>
  </si>
  <si>
    <t>STU0201</t>
  </si>
  <si>
    <t>253, Brigade Road</t>
  </si>
  <si>
    <t>558646</t>
  </si>
  <si>
    <t>9155810381</t>
  </si>
  <si>
    <t>surya.mukherjee168@student.college.edu</t>
  </si>
  <si>
    <t>STU0202</t>
  </si>
  <si>
    <t>Rahul Das</t>
  </si>
  <si>
    <t>264, Ring Road</t>
  </si>
  <si>
    <t>513387</t>
  </si>
  <si>
    <t>9263531127</t>
  </si>
  <si>
    <t>harsha.iyer422@gmail.com</t>
  </si>
  <si>
    <t>STU0203</t>
  </si>
  <si>
    <t>426, Brigade Road</t>
  </si>
  <si>
    <t>911036</t>
  </si>
  <si>
    <t>9149591371</t>
  </si>
  <si>
    <t>arjun.das132@student.college.edu</t>
  </si>
  <si>
    <t>STU0204</t>
  </si>
  <si>
    <t>Arjun Reddy</t>
  </si>
  <si>
    <t>Neeraj Verma</t>
  </si>
  <si>
    <t>40, MG Road</t>
  </si>
  <si>
    <t>017501</t>
  </si>
  <si>
    <t>9206779291</t>
  </si>
  <si>
    <t>arjun.reddy360@student.college.edu</t>
  </si>
  <si>
    <t>STU0205</t>
  </si>
  <si>
    <t>314, Ring Road</t>
  </si>
  <si>
    <t>050212</t>
  </si>
  <si>
    <t>9959025735</t>
  </si>
  <si>
    <t>shreya.iyer451@student.college.edu</t>
  </si>
  <si>
    <t>STU0206</t>
  </si>
  <si>
    <t>Meera Reddy</t>
  </si>
  <si>
    <t>Meera Verma</t>
  </si>
  <si>
    <t>64, LBS Marg</t>
  </si>
  <si>
    <t>432704</t>
  </si>
  <si>
    <t>9347682494</t>
  </si>
  <si>
    <t>meera.reddy878@student.college.edu</t>
  </si>
  <si>
    <t>STU0207</t>
  </si>
  <si>
    <t>Tanvi Verma</t>
  </si>
  <si>
    <t>268, Brigade Road</t>
  </si>
  <si>
    <t>369781</t>
  </si>
  <si>
    <t>9312842447</t>
  </si>
  <si>
    <t>sai.sharma785@gmail.com</t>
  </si>
  <si>
    <t>STU0208</t>
  </si>
  <si>
    <t>394, LBS Marg</t>
  </si>
  <si>
    <t>246100</t>
  </si>
  <si>
    <t>9069361600</t>
  </si>
  <si>
    <t>saanvi.banerjee770@gmail.com</t>
  </si>
  <si>
    <t>STU0209</t>
  </si>
  <si>
    <t>Priya Nair</t>
  </si>
  <si>
    <t>415, MG Road</t>
  </si>
  <si>
    <t>814840</t>
  </si>
  <si>
    <t>9167814337</t>
  </si>
  <si>
    <t>rahul.banerjee583@gmail.com</t>
  </si>
  <si>
    <t>STU0210</t>
  </si>
  <si>
    <t>498, Charminar Rd</t>
  </si>
  <si>
    <t>720513</t>
  </si>
  <si>
    <t>9857634940</t>
  </si>
  <si>
    <t>nisha.gupta251@student.college.edu</t>
  </si>
  <si>
    <t>STU0211</t>
  </si>
  <si>
    <t>276, FC Road</t>
  </si>
  <si>
    <t>645404</t>
  </si>
  <si>
    <t>9035304624</t>
  </si>
  <si>
    <t>surya.mukherjee831@gmail.com</t>
  </si>
  <si>
    <t>STU0212</t>
  </si>
  <si>
    <t>110, Anna Salai</t>
  </si>
  <si>
    <t>258697</t>
  </si>
  <si>
    <t>9552554308</t>
  </si>
  <si>
    <t>meera.reddy517@gmail.com</t>
  </si>
  <si>
    <t>STU0213</t>
  </si>
  <si>
    <t>529749</t>
  </si>
  <si>
    <t>9567456531</t>
  </si>
  <si>
    <t>meera.patel155@gmail.com</t>
  </si>
  <si>
    <t>STU0214</t>
  </si>
  <si>
    <t>331, Park Street</t>
  </si>
  <si>
    <t>411284</t>
  </si>
  <si>
    <t>9546011286</t>
  </si>
  <si>
    <t>ananya.verma181@student.college.edu</t>
  </si>
  <si>
    <t>STU0215</t>
  </si>
  <si>
    <t>460, FC Road</t>
  </si>
  <si>
    <t>971179</t>
  </si>
  <si>
    <t>9589928218</t>
  </si>
  <si>
    <t>vihaan.verma338@gmail.com</t>
  </si>
  <si>
    <t>STU0216</t>
  </si>
  <si>
    <t>131, MG Road</t>
  </si>
  <si>
    <t>615422</t>
  </si>
  <si>
    <t>9714336907</t>
  </si>
  <si>
    <t>ishaan.gupta819@student.college.edu</t>
  </si>
  <si>
    <t>STU0217</t>
  </si>
  <si>
    <t>Nisha Patel</t>
  </si>
  <si>
    <t>63, Ring Road</t>
  </si>
  <si>
    <t>099939</t>
  </si>
  <si>
    <t>9728143867</t>
  </si>
  <si>
    <t>nisha.patel281@student.college.edu</t>
  </si>
  <si>
    <t>STU0218</t>
  </si>
  <si>
    <t>Aditi Patel</t>
  </si>
  <si>
    <t>358, Anna Salai</t>
  </si>
  <si>
    <t>368740</t>
  </si>
  <si>
    <t>9066714630</t>
  </si>
  <si>
    <t>aditi.patel162@student.college.edu</t>
  </si>
  <si>
    <t>STU0219</t>
  </si>
  <si>
    <t>033385</t>
  </si>
  <si>
    <t>9005620428</t>
  </si>
  <si>
    <t>pooja.iyer51@gmail.com</t>
  </si>
  <si>
    <t>STU0220</t>
  </si>
  <si>
    <t>Shreya Verma</t>
  </si>
  <si>
    <t>171872</t>
  </si>
  <si>
    <t>9418692644</t>
  </si>
  <si>
    <t>arjun.verma150@student.college.edu</t>
  </si>
  <si>
    <t>STU0221</t>
  </si>
  <si>
    <t>44, MG Road</t>
  </si>
  <si>
    <t>893234</t>
  </si>
  <si>
    <t>9505094366</t>
  </si>
  <si>
    <t>kavya.kumar822@student.college.edu</t>
  </si>
  <si>
    <t>STU0222</t>
  </si>
  <si>
    <t>981351</t>
  </si>
  <si>
    <t>9101887928</t>
  </si>
  <si>
    <t>rahul.patel628@gmail.com</t>
  </si>
  <si>
    <t>STU0223</t>
  </si>
  <si>
    <t>326, LBS Marg</t>
  </si>
  <si>
    <t>120274</t>
  </si>
  <si>
    <t>9990374488</t>
  </si>
  <si>
    <t>amrita.gupta127@gmail.com</t>
  </si>
  <si>
    <t>STU0224</t>
  </si>
  <si>
    <t>300, Ring Road</t>
  </si>
  <si>
    <t>554076</t>
  </si>
  <si>
    <t>9806635981</t>
  </si>
  <si>
    <t>sai.gupta84@gmail.com</t>
  </si>
  <si>
    <t>STU0225</t>
  </si>
  <si>
    <t>319, LBS Marg</t>
  </si>
  <si>
    <t>206300</t>
  </si>
  <si>
    <t>9933198081</t>
  </si>
  <si>
    <t>harsha.nair799@gmail.com</t>
  </si>
  <si>
    <t>STU0226</t>
  </si>
  <si>
    <t>309, Park Street</t>
  </si>
  <si>
    <t>854845</t>
  </si>
  <si>
    <t>9478644034</t>
  </si>
  <si>
    <t>rahul.kumar230@student.college.edu</t>
  </si>
  <si>
    <t>STU0227</t>
  </si>
  <si>
    <t>200014</t>
  </si>
  <si>
    <t>9065220516</t>
  </si>
  <si>
    <t>riya.patel184@student.college.edu</t>
  </si>
  <si>
    <t>STU0228</t>
  </si>
  <si>
    <t>388, LBS Marg</t>
  </si>
  <si>
    <t>398209</t>
  </si>
  <si>
    <t>9264030644</t>
  </si>
  <si>
    <t>aditya.patel674@gmail.com</t>
  </si>
  <si>
    <t>STU0229</t>
  </si>
  <si>
    <t>418, MG Road</t>
  </si>
  <si>
    <t>266467</t>
  </si>
  <si>
    <t>9134401179</t>
  </si>
  <si>
    <t>pooja.nair483@student.college.edu</t>
  </si>
  <si>
    <t>STU0230</t>
  </si>
  <si>
    <t>Vihaan Iyer</t>
  </si>
  <si>
    <t>323, Charminar Rd</t>
  </si>
  <si>
    <t>755244</t>
  </si>
  <si>
    <t>9566847543</t>
  </si>
  <si>
    <t>ishaan.nair66@gmail.com</t>
  </si>
  <si>
    <t>STU0231</t>
  </si>
  <si>
    <t>11, Park Street</t>
  </si>
  <si>
    <t>445569</t>
  </si>
  <si>
    <t>9874873496</t>
  </si>
  <si>
    <t>kabir.kumar369@gmail.com</t>
  </si>
  <si>
    <t>STU0232</t>
  </si>
  <si>
    <t>103, Park Street</t>
  </si>
  <si>
    <t>149320</t>
  </si>
  <si>
    <t>9083188004</t>
  </si>
  <si>
    <t>rahul.mukherjee633@student.college.edu</t>
  </si>
  <si>
    <t>STU0233</t>
  </si>
  <si>
    <t>437, Brigade Road</t>
  </si>
  <si>
    <t>797976</t>
  </si>
  <si>
    <t>9815511237</t>
  </si>
  <si>
    <t>kunal.iyer726@gmail.com</t>
  </si>
  <si>
    <t>STU0234</t>
  </si>
  <si>
    <t>225, Charminar Rd</t>
  </si>
  <si>
    <t>842127</t>
  </si>
  <si>
    <t>9462757149</t>
  </si>
  <si>
    <t>arjun.banerjee920@gmail.com</t>
  </si>
  <si>
    <t>STU0235</t>
  </si>
  <si>
    <t>Riya Gupta</t>
  </si>
  <si>
    <t>174, FC Road</t>
  </si>
  <si>
    <t>430915</t>
  </si>
  <si>
    <t>9997894878</t>
  </si>
  <si>
    <t>riya.gupta739@gmail.com</t>
  </si>
  <si>
    <t>STU0236</t>
  </si>
  <si>
    <t>106, LBS Marg</t>
  </si>
  <si>
    <t>780537</t>
  </si>
  <si>
    <t>9855253360</t>
  </si>
  <si>
    <t>amrita.das912@gmail.com</t>
  </si>
  <si>
    <t>STU0237</t>
  </si>
  <si>
    <t>260, FC Road</t>
  </si>
  <si>
    <t>794503</t>
  </si>
  <si>
    <t>9275796822</t>
  </si>
  <si>
    <t>priya.verma683@student.college.edu</t>
  </si>
  <si>
    <t>STU0238</t>
  </si>
  <si>
    <t>76, Charminar Rd</t>
  </si>
  <si>
    <t>041206</t>
  </si>
  <si>
    <t>9457856969</t>
  </si>
  <si>
    <t>kabir.iyer750@gmail.com</t>
  </si>
  <si>
    <t>STU0239</t>
  </si>
  <si>
    <t>Priya Gupta</t>
  </si>
  <si>
    <t>442, Brigade Road</t>
  </si>
  <si>
    <t>479396</t>
  </si>
  <si>
    <t>9415013934</t>
  </si>
  <si>
    <t>priya.gupta811@student.college.edu</t>
  </si>
  <si>
    <t>STU0240</t>
  </si>
  <si>
    <t>Saanvi Sharma</t>
  </si>
  <si>
    <t>63, FC Road</t>
  </si>
  <si>
    <t>455974</t>
  </si>
  <si>
    <t>9767544483</t>
  </si>
  <si>
    <t>surya.nair820@gmail.com</t>
  </si>
  <si>
    <t>STU0241</t>
  </si>
  <si>
    <t>Amrita Kumar</t>
  </si>
  <si>
    <t>Aditi Nair</t>
  </si>
  <si>
    <t>331, Brigade Road</t>
  </si>
  <si>
    <t>577515</t>
  </si>
  <si>
    <t>9165051481</t>
  </si>
  <si>
    <t>ananya.das959@student.college.edu</t>
  </si>
  <si>
    <t>STU0242</t>
  </si>
  <si>
    <t>Rohan Mukherjee</t>
  </si>
  <si>
    <t>Kavya Iyer</t>
  </si>
  <si>
    <t>206, MG Road</t>
  </si>
  <si>
    <t>310530</t>
  </si>
  <si>
    <t>9952171960</t>
  </si>
  <si>
    <t>rohan.mukherjee985@gmail.com</t>
  </si>
  <si>
    <t>STU0243</t>
  </si>
  <si>
    <t>133, Charminar Rd</t>
  </si>
  <si>
    <t>275473</t>
  </si>
  <si>
    <t>9104444282</t>
  </si>
  <si>
    <t>rahul.patel987@student.college.edu</t>
  </si>
  <si>
    <t>STU0244</t>
  </si>
  <si>
    <t>401, Park Street</t>
  </si>
  <si>
    <t>754940</t>
  </si>
  <si>
    <t>9482909458</t>
  </si>
  <si>
    <t>shreya.patel390@gmail.com</t>
  </si>
  <si>
    <t>STU0245</t>
  </si>
  <si>
    <t>203, Brigade Road</t>
  </si>
  <si>
    <t>825889</t>
  </si>
  <si>
    <t>9697263293</t>
  </si>
  <si>
    <t>vihaan.gupta936@student.college.edu</t>
  </si>
  <si>
    <t>STU0246</t>
  </si>
  <si>
    <t>Amrita Mukherjee</t>
  </si>
  <si>
    <t>361, LBS Marg</t>
  </si>
  <si>
    <t>760086</t>
  </si>
  <si>
    <t>9638831760</t>
  </si>
  <si>
    <t>aarav.sharma474@gmail.com</t>
  </si>
  <si>
    <t>STU0247</t>
  </si>
  <si>
    <t>184, Ring Road</t>
  </si>
  <si>
    <t>829904</t>
  </si>
  <si>
    <t>9760961251</t>
  </si>
  <si>
    <t>rohan.mukherjee199@student.college.edu</t>
  </si>
  <si>
    <t>STU0248</t>
  </si>
  <si>
    <t>99, MG Road</t>
  </si>
  <si>
    <t>680466</t>
  </si>
  <si>
    <t>9838415450</t>
  </si>
  <si>
    <t>arjun.nair739@student.college.edu</t>
  </si>
  <si>
    <t>STU0249</t>
  </si>
  <si>
    <t>451, MG Road</t>
  </si>
  <si>
    <t>991306</t>
  </si>
  <si>
    <t>9040798249</t>
  </si>
  <si>
    <t>nisha.kumar853@student.college.edu</t>
  </si>
  <si>
    <t>STU0250</t>
  </si>
  <si>
    <t>297, Brigade Road</t>
  </si>
  <si>
    <t>938670</t>
  </si>
  <si>
    <t>9806410084</t>
  </si>
  <si>
    <t>aditya.rao633@gmail.com</t>
  </si>
  <si>
    <t>STU0251</t>
  </si>
  <si>
    <t>Kavya Verma</t>
  </si>
  <si>
    <t>481, MG Road</t>
  </si>
  <si>
    <t>510758</t>
  </si>
  <si>
    <t>9915346110</t>
  </si>
  <si>
    <t>ira.kumar131@gmail.com</t>
  </si>
  <si>
    <t>STU0252</t>
  </si>
  <si>
    <t>309, FC Road</t>
  </si>
  <si>
    <t>956128</t>
  </si>
  <si>
    <t>9503962014</t>
  </si>
  <si>
    <t>rahul.rao709@gmail.com</t>
  </si>
  <si>
    <t>STU0253</t>
  </si>
  <si>
    <t>Kavya Nair</t>
  </si>
  <si>
    <t>Sai Verma</t>
  </si>
  <si>
    <t>254, Ring Road</t>
  </si>
  <si>
    <t>642478</t>
  </si>
  <si>
    <t>9834800351</t>
  </si>
  <si>
    <t>kavya.nair451@student.college.edu</t>
  </si>
  <si>
    <t>STU0254</t>
  </si>
  <si>
    <t>Amrita Nair</t>
  </si>
  <si>
    <t>369, Park Street</t>
  </si>
  <si>
    <t>108906</t>
  </si>
  <si>
    <t>9371932869</t>
  </si>
  <si>
    <t>aarav.reddy819@gmail.com</t>
  </si>
  <si>
    <t>STU0255</t>
  </si>
  <si>
    <t>163, Charminar Rd</t>
  </si>
  <si>
    <t>758212</t>
  </si>
  <si>
    <t>9621554777</t>
  </si>
  <si>
    <t>arjun.gupta630@student.college.edu</t>
  </si>
  <si>
    <t>STU0256</t>
  </si>
  <si>
    <t>356, LBS Marg</t>
  </si>
  <si>
    <t>249502</t>
  </si>
  <si>
    <t>9283385935</t>
  </si>
  <si>
    <t>saanvi.das138@student.college.edu</t>
  </si>
  <si>
    <t>STU0257</t>
  </si>
  <si>
    <t>Priya Rao</t>
  </si>
  <si>
    <t>231, LBS Marg</t>
  </si>
  <si>
    <t>342042</t>
  </si>
  <si>
    <t>9092550221</t>
  </si>
  <si>
    <t>rohan.rao369@student.college.edu</t>
  </si>
  <si>
    <t>STU0258</t>
  </si>
  <si>
    <t>433, Anna Salai</t>
  </si>
  <si>
    <t>977902</t>
  </si>
  <si>
    <t>9874456457</t>
  </si>
  <si>
    <t>ishaan.banerjee153@gmail.com</t>
  </si>
  <si>
    <t>STU0259</t>
  </si>
  <si>
    <t>370, LBS Marg</t>
  </si>
  <si>
    <t>317624</t>
  </si>
  <si>
    <t>9535190883</t>
  </si>
  <si>
    <t>saanvi.reddy430@gmail.com</t>
  </si>
  <si>
    <t>STU0260</t>
  </si>
  <si>
    <t>79, FC Road</t>
  </si>
  <si>
    <t>923511</t>
  </si>
  <si>
    <t>9548015064</t>
  </si>
  <si>
    <t>ananya.rao192@student.college.edu</t>
  </si>
  <si>
    <t>STU0261</t>
  </si>
  <si>
    <t>189, MG Road</t>
  </si>
  <si>
    <t>841154</t>
  </si>
  <si>
    <t>9098124746</t>
  </si>
  <si>
    <t>ishaan.reddy962@gmail.com</t>
  </si>
  <si>
    <t>STU0262</t>
  </si>
  <si>
    <t>Sujith Patel</t>
  </si>
  <si>
    <t>310, Ring Road</t>
  </si>
  <si>
    <t>984572</t>
  </si>
  <si>
    <t>9847726812</t>
  </si>
  <si>
    <t>kunal.reddy922@gmail.com</t>
  </si>
  <si>
    <t>STU0263</t>
  </si>
  <si>
    <t>Varun Sharma</t>
  </si>
  <si>
    <t>141, Anna Salai</t>
  </si>
  <si>
    <t>947137</t>
  </si>
  <si>
    <t>9574120066</t>
  </si>
  <si>
    <t>varun.rao473@gmail.com</t>
  </si>
  <si>
    <t>STU0264</t>
  </si>
  <si>
    <t>Ira Sharma</t>
  </si>
  <si>
    <t>168, LBS Marg</t>
  </si>
  <si>
    <t>052918</t>
  </si>
  <si>
    <t>9810125307</t>
  </si>
  <si>
    <t>ira.sharma694@gmail.com</t>
  </si>
  <si>
    <t>STU0265</t>
  </si>
  <si>
    <t>227, MG Road</t>
  </si>
  <si>
    <t>330077</t>
  </si>
  <si>
    <t>9932049316</t>
  </si>
  <si>
    <t>sai.reddy226@student.college.edu</t>
  </si>
  <si>
    <t>STU0266</t>
  </si>
  <si>
    <t>321, Ring Road</t>
  </si>
  <si>
    <t>934213</t>
  </si>
  <si>
    <t>9060226260</t>
  </si>
  <si>
    <t>vihaan.patel907@student.college.edu</t>
  </si>
  <si>
    <t>STU0267</t>
  </si>
  <si>
    <t>Surya Rao</t>
  </si>
  <si>
    <t>492, Brigade Road</t>
  </si>
  <si>
    <t>966963</t>
  </si>
  <si>
    <t>9683843653</t>
  </si>
  <si>
    <t>kabir.mukherjee656@student.college.edu</t>
  </si>
  <si>
    <t>STU0268</t>
  </si>
  <si>
    <t>318, Brigade Road</t>
  </si>
  <si>
    <t>321209</t>
  </si>
  <si>
    <t>9597326759</t>
  </si>
  <si>
    <t>aarav.rao664@gmail.com</t>
  </si>
  <si>
    <t>STU0269</t>
  </si>
  <si>
    <t>465, Ring Road</t>
  </si>
  <si>
    <t>516049</t>
  </si>
  <si>
    <t>9099115725</t>
  </si>
  <si>
    <t>leela.mukherjee437@gmail.com</t>
  </si>
  <si>
    <t>STU0270</t>
  </si>
  <si>
    <t>230, Ring Road</t>
  </si>
  <si>
    <t>093145</t>
  </si>
  <si>
    <t>9778703879</t>
  </si>
  <si>
    <t>rohan.patel610@student.college.edu</t>
  </si>
  <si>
    <t>STU0271</t>
  </si>
  <si>
    <t>719087</t>
  </si>
  <si>
    <t>9344373390</t>
  </si>
  <si>
    <t>ira.kumar907@student.college.edu</t>
  </si>
  <si>
    <t>STU0272</t>
  </si>
  <si>
    <t>364, LBS Marg</t>
  </si>
  <si>
    <t>697208</t>
  </si>
  <si>
    <t>9666624626</t>
  </si>
  <si>
    <t>ishaan.patel975@student.college.edu</t>
  </si>
  <si>
    <t>STU0273</t>
  </si>
  <si>
    <t>Harsha Mukherjee</t>
  </si>
  <si>
    <t>Amrita Verma</t>
  </si>
  <si>
    <t>266, Ring Road</t>
  </si>
  <si>
    <t>823963</t>
  </si>
  <si>
    <t>9348706731</t>
  </si>
  <si>
    <t>harsha.mukherjee767@student.college.edu</t>
  </si>
  <si>
    <t>STU0274</t>
  </si>
  <si>
    <t>214, Charminar Rd</t>
  </si>
  <si>
    <t>137119</t>
  </si>
  <si>
    <t>9481017294</t>
  </si>
  <si>
    <t>aarav.gupta642@student.college.edu</t>
  </si>
  <si>
    <t>STU0275</t>
  </si>
  <si>
    <t>610705</t>
  </si>
  <si>
    <t>9905069794</t>
  </si>
  <si>
    <t>rahul.verma346@gmail.com</t>
  </si>
  <si>
    <t>STU0276</t>
  </si>
  <si>
    <t>Ira Patel</t>
  </si>
  <si>
    <t>500, FC Road</t>
  </si>
  <si>
    <t>084890</t>
  </si>
  <si>
    <t>9159724685</t>
  </si>
  <si>
    <t>ananya.reddy677@student.college.edu</t>
  </si>
  <si>
    <t>STU0277</t>
  </si>
  <si>
    <t>Riya Reddy</t>
  </si>
  <si>
    <t>311, LBS Marg</t>
  </si>
  <si>
    <t>399466</t>
  </si>
  <si>
    <t>9136788770</t>
  </si>
  <si>
    <t>harsha.iyer510@student.college.edu</t>
  </si>
  <si>
    <t>STU0278</t>
  </si>
  <si>
    <t>109, Park Street</t>
  </si>
  <si>
    <t>471997</t>
  </si>
  <si>
    <t>9224811570</t>
  </si>
  <si>
    <t>amrita.kumar709@gmail.com</t>
  </si>
  <si>
    <t>STU0279</t>
  </si>
  <si>
    <t>335, Charminar Rd</t>
  </si>
  <si>
    <t>221351</t>
  </si>
  <si>
    <t>9951337351</t>
  </si>
  <si>
    <t>harsha.iyer398@gmail.com</t>
  </si>
  <si>
    <t>STU0280</t>
  </si>
  <si>
    <t>Priya Banerjee</t>
  </si>
  <si>
    <t>Rohan Verma</t>
  </si>
  <si>
    <t>276, LBS Marg</t>
  </si>
  <si>
    <t>822612</t>
  </si>
  <si>
    <t>9788035628</t>
  </si>
  <si>
    <t>priya.banerjee588@gmail.com</t>
  </si>
  <si>
    <t>STU0281</t>
  </si>
  <si>
    <t>108, Ring Road</t>
  </si>
  <si>
    <t>872891</t>
  </si>
  <si>
    <t>9034433072</t>
  </si>
  <si>
    <t>rahul.mukherjee946@student.college.edu</t>
  </si>
  <si>
    <t>STU0282</t>
  </si>
  <si>
    <t>336, Park Street</t>
  </si>
  <si>
    <t>448281</t>
  </si>
  <si>
    <t>9638178396</t>
  </si>
  <si>
    <t>arjun.iyer173@student.college.edu</t>
  </si>
  <si>
    <t>STU0283</t>
  </si>
  <si>
    <t>497, Park Street</t>
  </si>
  <si>
    <t>024696</t>
  </si>
  <si>
    <t>9367678626</t>
  </si>
  <si>
    <t>sai.sharma377@student.college.edu</t>
  </si>
  <si>
    <t>STU0284</t>
  </si>
  <si>
    <t>Surya Das</t>
  </si>
  <si>
    <t>Rohan Sharma</t>
  </si>
  <si>
    <t>301, LBS Marg</t>
  </si>
  <si>
    <t>714645</t>
  </si>
  <si>
    <t>9009718055</t>
  </si>
  <si>
    <t>kabir.kumar832@gmail.com</t>
  </si>
  <si>
    <t>STU0285</t>
  </si>
  <si>
    <t>229, FC Road</t>
  </si>
  <si>
    <t>121580</t>
  </si>
  <si>
    <t>9953549039</t>
  </si>
  <si>
    <t>tanvi.verma532@gmail.com</t>
  </si>
  <si>
    <t>STU0286</t>
  </si>
  <si>
    <t>212896</t>
  </si>
  <si>
    <t>9231602394</t>
  </si>
  <si>
    <t>shreya.kumar86@gmail.com</t>
  </si>
  <si>
    <t>STU0287</t>
  </si>
  <si>
    <t>331, Ring Road</t>
  </si>
  <si>
    <t>419406</t>
  </si>
  <si>
    <t>9011506332</t>
  </si>
  <si>
    <t>nisha.reddy890@student.college.edu</t>
  </si>
  <si>
    <t>STU0288</t>
  </si>
  <si>
    <t>373, Anna Salai</t>
  </si>
  <si>
    <t>035220</t>
  </si>
  <si>
    <t>9037186758</t>
  </si>
  <si>
    <t>ira.reddy413@gmail.com</t>
  </si>
  <si>
    <t>STU0289</t>
  </si>
  <si>
    <t>194, Anna Salai</t>
  </si>
  <si>
    <t>726719</t>
  </si>
  <si>
    <t>9752498838</t>
  </si>
  <si>
    <t>aarav.banerjee971@gmail.com</t>
  </si>
  <si>
    <t>STU0290</t>
  </si>
  <si>
    <t>30, Brigade Road</t>
  </si>
  <si>
    <t>809691</t>
  </si>
  <si>
    <t>9466510180</t>
  </si>
  <si>
    <t>harsha.verma436@gmail.com</t>
  </si>
  <si>
    <t>STU0291</t>
  </si>
  <si>
    <t>Sai Banerjee</t>
  </si>
  <si>
    <t>264, FC Road</t>
  </si>
  <si>
    <t>419368</t>
  </si>
  <si>
    <t>9882420639</t>
  </si>
  <si>
    <t>sai.banerjee952@student.college.edu</t>
  </si>
  <si>
    <t>STU0292</t>
  </si>
  <si>
    <t>3, FC Road</t>
  </si>
  <si>
    <t>314051</t>
  </si>
  <si>
    <t>9141623241</t>
  </si>
  <si>
    <t>diya.sharma832@gmail.com</t>
  </si>
  <si>
    <t>STU0293</t>
  </si>
  <si>
    <t>102, Brigade Road</t>
  </si>
  <si>
    <t>037911</t>
  </si>
  <si>
    <t>9462457737</t>
  </si>
  <si>
    <t>sai.gupta903@gmail.com</t>
  </si>
  <si>
    <t>STU0294</t>
  </si>
  <si>
    <t>Priya Sharma</t>
  </si>
  <si>
    <t>393, Ring Road</t>
  </si>
  <si>
    <t>450420</t>
  </si>
  <si>
    <t>9467121276</t>
  </si>
  <si>
    <t>kabir.verma440@student.college.edu</t>
  </si>
  <si>
    <t>STU0295</t>
  </si>
  <si>
    <t>946004</t>
  </si>
  <si>
    <t>9362345632</t>
  </si>
  <si>
    <t>ishaan.rao288@gmail.com</t>
  </si>
  <si>
    <t>STU0296</t>
  </si>
  <si>
    <t>Tanvi Mukherjee</t>
  </si>
  <si>
    <t>165, Ring Road</t>
  </si>
  <si>
    <t>264243</t>
  </si>
  <si>
    <t>9166713875</t>
  </si>
  <si>
    <t>ananya.sharma620@gmail.com</t>
  </si>
  <si>
    <t>STU0297</t>
  </si>
  <si>
    <t>62, MG Road</t>
  </si>
  <si>
    <t>140963</t>
  </si>
  <si>
    <t>9475114787</t>
  </si>
  <si>
    <t>shreya.patel867@gmail.com</t>
  </si>
  <si>
    <t>STU0298</t>
  </si>
  <si>
    <t>405, MG Road</t>
  </si>
  <si>
    <t>610576</t>
  </si>
  <si>
    <t>9736891737</t>
  </si>
  <si>
    <t>surya.patel411@gmail.com</t>
  </si>
  <si>
    <t>STU0299</t>
  </si>
  <si>
    <t>221252</t>
  </si>
  <si>
    <t>9692180992</t>
  </si>
  <si>
    <t>sai.rao119@student.college.edu</t>
  </si>
  <si>
    <t>STU0300</t>
  </si>
  <si>
    <t>460, Anna Salai</t>
  </si>
  <si>
    <t>603722</t>
  </si>
  <si>
    <t>9068957692</t>
  </si>
  <si>
    <t>ananya.verma642@student.college.edu</t>
  </si>
  <si>
    <t>STU0301</t>
  </si>
  <si>
    <t>901181</t>
  </si>
  <si>
    <t>9476011360</t>
  </si>
  <si>
    <t>ananya.nair74@gmail.com</t>
  </si>
  <si>
    <t>STU0302</t>
  </si>
  <si>
    <t>194, Charminar Rd</t>
  </si>
  <si>
    <t>876020</t>
  </si>
  <si>
    <t>9160991737</t>
  </si>
  <si>
    <t>kabir.mukherjee208@student.college.edu</t>
  </si>
  <si>
    <t>STU0303</t>
  </si>
  <si>
    <t>Rahul Iyer</t>
  </si>
  <si>
    <t>137, Brigade Road</t>
  </si>
  <si>
    <t>125819</t>
  </si>
  <si>
    <t>9041628388</t>
  </si>
  <si>
    <t>rahul.iyer116@gmail.com</t>
  </si>
  <si>
    <t>STU0304</t>
  </si>
  <si>
    <t>Kabir Nair</t>
  </si>
  <si>
    <t>473, Brigade Road</t>
  </si>
  <si>
    <t>155616</t>
  </si>
  <si>
    <t>9383196987</t>
  </si>
  <si>
    <t>kabir.nair79@student.college.edu</t>
  </si>
  <si>
    <t>STU0305</t>
  </si>
  <si>
    <t>58, Charminar Rd</t>
  </si>
  <si>
    <t>091334</t>
  </si>
  <si>
    <t>9647386244</t>
  </si>
  <si>
    <t>ananya.gupta547@gmail.com</t>
  </si>
  <si>
    <t>STU0306</t>
  </si>
  <si>
    <t>416, Ring Road</t>
  </si>
  <si>
    <t>328341</t>
  </si>
  <si>
    <t>9193871485</t>
  </si>
  <si>
    <t>aditya.rao954@gmail.com</t>
  </si>
  <si>
    <t>STU0307</t>
  </si>
  <si>
    <t>376, MG Road</t>
  </si>
  <si>
    <t>015451</t>
  </si>
  <si>
    <t>9112084741</t>
  </si>
  <si>
    <t>vihaan.mukherjee541@gmail.com</t>
  </si>
  <si>
    <t>STU0308</t>
  </si>
  <si>
    <t>452, MG Road</t>
  </si>
  <si>
    <t>508685</t>
  </si>
  <si>
    <t>9895741959</t>
  </si>
  <si>
    <t>riya.banerjee129@student.college.edu</t>
  </si>
  <si>
    <t>STU0309</t>
  </si>
  <si>
    <t>240, LBS Marg</t>
  </si>
  <si>
    <t>818611</t>
  </si>
  <si>
    <t>9068025057</t>
  </si>
  <si>
    <t>ira.gupta317@student.college.edu</t>
  </si>
  <si>
    <t>STU0310</t>
  </si>
  <si>
    <t>24, MG Road</t>
  </si>
  <si>
    <t>903231</t>
  </si>
  <si>
    <t>9779704718</t>
  </si>
  <si>
    <t>rohan.nair154@student.college.edu</t>
  </si>
  <si>
    <t>STU0311</t>
  </si>
  <si>
    <t>454, Brigade Road</t>
  </si>
  <si>
    <t>867195</t>
  </si>
  <si>
    <t>9769373384</t>
  </si>
  <si>
    <t>shreya.sharma913@gmail.com</t>
  </si>
  <si>
    <t>STU0312</t>
  </si>
  <si>
    <t>281, Brigade Road</t>
  </si>
  <si>
    <t>412053</t>
  </si>
  <si>
    <t>9074997499</t>
  </si>
  <si>
    <t>arjun.rao996@gmail.com</t>
  </si>
  <si>
    <t>STU0313</t>
  </si>
  <si>
    <t>433, FC Road</t>
  </si>
  <si>
    <t>652866</t>
  </si>
  <si>
    <t>9672808213</t>
  </si>
  <si>
    <t>ira.patel75@student.college.edu</t>
  </si>
  <si>
    <t>STU0314</t>
  </si>
  <si>
    <t>93, Brigade Road</t>
  </si>
  <si>
    <t>133947</t>
  </si>
  <si>
    <t>9420146306</t>
  </si>
  <si>
    <t>diya.kumar390@student.college.edu</t>
  </si>
  <si>
    <t>STU0315</t>
  </si>
  <si>
    <t>217, Anna Salai</t>
  </si>
  <si>
    <t>004278</t>
  </si>
  <si>
    <t>9562809371</t>
  </si>
  <si>
    <t>saanvi.reddy358@gmail.com</t>
  </si>
  <si>
    <t>STU0316</t>
  </si>
  <si>
    <t>Sujith Sharma</t>
  </si>
  <si>
    <t>288, Ring Road</t>
  </si>
  <si>
    <t>399773</t>
  </si>
  <si>
    <t>9141819450</t>
  </si>
  <si>
    <t>varun.patel462@student.college.edu</t>
  </si>
  <si>
    <t>STU0317</t>
  </si>
  <si>
    <t>308, Charminar Rd</t>
  </si>
  <si>
    <t>216933</t>
  </si>
  <si>
    <t>9338149438</t>
  </si>
  <si>
    <t>vihaan.reddy437@gmail.com</t>
  </si>
  <si>
    <t>STU0318</t>
  </si>
  <si>
    <t>196, Anna Salai</t>
  </si>
  <si>
    <t>799008</t>
  </si>
  <si>
    <t>9009176565</t>
  </si>
  <si>
    <t>meera.iyer826@student.college.edu</t>
  </si>
  <si>
    <t>STU0319</t>
  </si>
  <si>
    <t>Ishaan Kumar</t>
  </si>
  <si>
    <t>487, Brigade Road</t>
  </si>
  <si>
    <t>487703</t>
  </si>
  <si>
    <t>9228287429</t>
  </si>
  <si>
    <t>ishaan.reddy425@student.college.edu</t>
  </si>
  <si>
    <t>STU0320</t>
  </si>
  <si>
    <t>492, Charminar Rd</t>
  </si>
  <si>
    <t>168851</t>
  </si>
  <si>
    <t>9691954085</t>
  </si>
  <si>
    <t>pooja.iyer647@gmail.com</t>
  </si>
  <si>
    <t>STU0321</t>
  </si>
  <si>
    <t>395, Park Street</t>
  </si>
  <si>
    <t>507967</t>
  </si>
  <si>
    <t>9162187832</t>
  </si>
  <si>
    <t>ananya.reddy53@gmail.com</t>
  </si>
  <si>
    <t>STU0322</t>
  </si>
  <si>
    <t>73, Anna Salai</t>
  </si>
  <si>
    <t>043834</t>
  </si>
  <si>
    <t>9009063398</t>
  </si>
  <si>
    <t>harsha.rao185@gmail.com</t>
  </si>
  <si>
    <t>STU0323</t>
  </si>
  <si>
    <t>Kavya Rao</t>
  </si>
  <si>
    <t>82, Anna Salai</t>
  </si>
  <si>
    <t>655723</t>
  </si>
  <si>
    <t>9801061210</t>
  </si>
  <si>
    <t>kabir.iyer726@gmail.com</t>
  </si>
  <si>
    <t>STU0324</t>
  </si>
  <si>
    <t>Priya Patel</t>
  </si>
  <si>
    <t>144, Charminar Rd</t>
  </si>
  <si>
    <t>127445</t>
  </si>
  <si>
    <t>9231313884</t>
  </si>
  <si>
    <t>priya.patel911@student.college.edu</t>
  </si>
  <si>
    <t>STU0325</t>
  </si>
  <si>
    <t>Diya Patel</t>
  </si>
  <si>
    <t>93, FC Road</t>
  </si>
  <si>
    <t>306371</t>
  </si>
  <si>
    <t>9303478536</t>
  </si>
  <si>
    <t>rahul.rao540@student.college.edu</t>
  </si>
  <si>
    <t>STU0326</t>
  </si>
  <si>
    <t>102, Ring Road</t>
  </si>
  <si>
    <t>494113</t>
  </si>
  <si>
    <t>9352689928</t>
  </si>
  <si>
    <t>shreya.banerjee413@student.college.edu</t>
  </si>
  <si>
    <t>STU0327</t>
  </si>
  <si>
    <t>141, FC Road</t>
  </si>
  <si>
    <t>074029</t>
  </si>
  <si>
    <t>9469891281</t>
  </si>
  <si>
    <t>harsha.sharma331@gmail.com</t>
  </si>
  <si>
    <t>STU0328</t>
  </si>
  <si>
    <t>133, MG Road</t>
  </si>
  <si>
    <t>903682</t>
  </si>
  <si>
    <t>9114187894</t>
  </si>
  <si>
    <t>ishaan.mukherjee458@student.college.edu</t>
  </si>
  <si>
    <t>STU0329</t>
  </si>
  <si>
    <t>48, Anna Salai</t>
  </si>
  <si>
    <t>382686</t>
  </si>
  <si>
    <t>9042643438</t>
  </si>
  <si>
    <t>tanvi.kumar780@gmail.com</t>
  </si>
  <si>
    <t>STU0330</t>
  </si>
  <si>
    <t>198, LBS Marg</t>
  </si>
  <si>
    <t>712138</t>
  </si>
  <si>
    <t>9618728106</t>
  </si>
  <si>
    <t>harsha.gupta464@gmail.com</t>
  </si>
  <si>
    <t>STU0331</t>
  </si>
  <si>
    <t>171, MG Road</t>
  </si>
  <si>
    <t>303911</t>
  </si>
  <si>
    <t>9126510211</t>
  </si>
  <si>
    <t>diya.patel917@student.college.edu</t>
  </si>
  <si>
    <t>STU0332</t>
  </si>
  <si>
    <t>208, Charminar Rd</t>
  </si>
  <si>
    <t>286412</t>
  </si>
  <si>
    <t>9672019678</t>
  </si>
  <si>
    <t>aditya.das705@student.college.edu</t>
  </si>
  <si>
    <t>STU0333</t>
  </si>
  <si>
    <t>220, FC Road</t>
  </si>
  <si>
    <t>981703</t>
  </si>
  <si>
    <t>9408400622</t>
  </si>
  <si>
    <t>sai.gupta516@student.college.edu</t>
  </si>
  <si>
    <t>STU0334</t>
  </si>
  <si>
    <t>280, Anna Salai</t>
  </si>
  <si>
    <t>303787</t>
  </si>
  <si>
    <t>9895167098</t>
  </si>
  <si>
    <t>kabir.nair676@student.college.edu</t>
  </si>
  <si>
    <t>STU0335</t>
  </si>
  <si>
    <t>46, Ring Road</t>
  </si>
  <si>
    <t>986849</t>
  </si>
  <si>
    <t>9526834930</t>
  </si>
  <si>
    <t>rohan.rao533@gmail.com</t>
  </si>
  <si>
    <t>STU0336</t>
  </si>
  <si>
    <t>Pooja Kumar</t>
  </si>
  <si>
    <t>497, MG Road</t>
  </si>
  <si>
    <t>419663</t>
  </si>
  <si>
    <t>9270025034</t>
  </si>
  <si>
    <t>pooja.kumar677@student.college.edu</t>
  </si>
  <si>
    <t>STU0337</t>
  </si>
  <si>
    <t>Neeraj Das</t>
  </si>
  <si>
    <t>366, Anna Salai</t>
  </si>
  <si>
    <t>492092</t>
  </si>
  <si>
    <t>9633989514</t>
  </si>
  <si>
    <t>diya.nair897@gmail.com</t>
  </si>
  <si>
    <t>STU0338</t>
  </si>
  <si>
    <t>153, LBS Marg</t>
  </si>
  <si>
    <t>384143</t>
  </si>
  <si>
    <t>9974444059</t>
  </si>
  <si>
    <t>kunal.gupta432@student.college.edu</t>
  </si>
  <si>
    <t>STU0339</t>
  </si>
  <si>
    <t>Pooja Reddy</t>
  </si>
  <si>
    <t>461, Anna Salai</t>
  </si>
  <si>
    <t>164758</t>
  </si>
  <si>
    <t>9029158568</t>
  </si>
  <si>
    <t>pooja.reddy125@student.college.edu</t>
  </si>
  <si>
    <t>STU0340</t>
  </si>
  <si>
    <t>155, Anna Salai</t>
  </si>
  <si>
    <t>620185</t>
  </si>
  <si>
    <t>9210539241</t>
  </si>
  <si>
    <t>nisha.mukherjee241@gmail.com</t>
  </si>
  <si>
    <t>STU0341</t>
  </si>
  <si>
    <t>Meera Gupta</t>
  </si>
  <si>
    <t>337, Ring Road</t>
  </si>
  <si>
    <t>426946</t>
  </si>
  <si>
    <t>9361440450</t>
  </si>
  <si>
    <t>meera.gupta311@student.college.edu</t>
  </si>
  <si>
    <t>STU0342</t>
  </si>
  <si>
    <t>5, Park Street</t>
  </si>
  <si>
    <t>373063</t>
  </si>
  <si>
    <t>9737727339</t>
  </si>
  <si>
    <t>surya.iyer661@gmail.com</t>
  </si>
  <si>
    <t>STU0343</t>
  </si>
  <si>
    <t>580072</t>
  </si>
  <si>
    <t>9646327971</t>
  </si>
  <si>
    <t>shreya.mukherjee902@student.college.edu</t>
  </si>
  <si>
    <t>STU0344</t>
  </si>
  <si>
    <t>38, LBS Marg</t>
  </si>
  <si>
    <t>936395</t>
  </si>
  <si>
    <t>9124221881</t>
  </si>
  <si>
    <t>surya.verma597@student.college.edu</t>
  </si>
  <si>
    <t>STU0345</t>
  </si>
  <si>
    <t>443, Brigade Road</t>
  </si>
  <si>
    <t>697512</t>
  </si>
  <si>
    <t>9853888468</t>
  </si>
  <si>
    <t>vihaan.gupta583@student.college.edu</t>
  </si>
  <si>
    <t>STU0346</t>
  </si>
  <si>
    <t>115, Anna Salai</t>
  </si>
  <si>
    <t>708905</t>
  </si>
  <si>
    <t>9895306149</t>
  </si>
  <si>
    <t>kabir.kumar270@student.college.edu</t>
  </si>
  <si>
    <t>STU0347</t>
  </si>
  <si>
    <t>Ishaan Das</t>
  </si>
  <si>
    <t>419, FC Road</t>
  </si>
  <si>
    <t>485688</t>
  </si>
  <si>
    <t>9304798417</t>
  </si>
  <si>
    <t>kunal.reddy107@student.college.edu</t>
  </si>
  <si>
    <t>STU0348</t>
  </si>
  <si>
    <t>Leela Reddy</t>
  </si>
  <si>
    <t>14, Ring Road</t>
  </si>
  <si>
    <t>675076</t>
  </si>
  <si>
    <t>9441489314</t>
  </si>
  <si>
    <t>meera.kumar60@student.college.edu</t>
  </si>
  <si>
    <t>STU0349</t>
  </si>
  <si>
    <t>411, MG Road</t>
  </si>
  <si>
    <t>011036</t>
  </si>
  <si>
    <t>9226410254</t>
  </si>
  <si>
    <t>rohan.patel753@gmail.com</t>
  </si>
  <si>
    <t>STU0350</t>
  </si>
  <si>
    <t>126, Anna Salai</t>
  </si>
  <si>
    <t>097622</t>
  </si>
  <si>
    <t>9192723819</t>
  </si>
  <si>
    <t>varun.nair716@gmail.com</t>
  </si>
  <si>
    <t>STU0351</t>
  </si>
  <si>
    <t>Kunal Rao</t>
  </si>
  <si>
    <t>424, Brigade Road</t>
  </si>
  <si>
    <t>830342</t>
  </si>
  <si>
    <t>9365607997</t>
  </si>
  <si>
    <t>aarav.kumar345@gmail.com</t>
  </si>
  <si>
    <t>STU0352</t>
  </si>
  <si>
    <t>476, MG Road</t>
  </si>
  <si>
    <t>992954</t>
  </si>
  <si>
    <t>9772949292</t>
  </si>
  <si>
    <t>ananya.mukherjee699@gmail.com</t>
  </si>
  <si>
    <t>STU0353</t>
  </si>
  <si>
    <t>338, Anna Salai</t>
  </si>
  <si>
    <t>153214</t>
  </si>
  <si>
    <t>9449482092</t>
  </si>
  <si>
    <t>ananya.rao625@gmail.com</t>
  </si>
  <si>
    <t>STU0354</t>
  </si>
  <si>
    <t>76, MG Road</t>
  </si>
  <si>
    <t>615435</t>
  </si>
  <si>
    <t>9299908850</t>
  </si>
  <si>
    <t>kunal.nair241@gmail.com</t>
  </si>
  <si>
    <t>STU0355</t>
  </si>
  <si>
    <t>425, Charminar Rd</t>
  </si>
  <si>
    <t>813734</t>
  </si>
  <si>
    <t>9649610990</t>
  </si>
  <si>
    <t>kabir.das624@student.college.edu</t>
  </si>
  <si>
    <t>STU0356</t>
  </si>
  <si>
    <t>391, Brigade Road</t>
  </si>
  <si>
    <t>596751</t>
  </si>
  <si>
    <t>9876653159</t>
  </si>
  <si>
    <t>ishaan.patel337@student.college.edu</t>
  </si>
  <si>
    <t>STU0357</t>
  </si>
  <si>
    <t>491, Charminar Rd</t>
  </si>
  <si>
    <t>359664</t>
  </si>
  <si>
    <t>9458157451</t>
  </si>
  <si>
    <t>riya.iyer267@gmail.com</t>
  </si>
  <si>
    <t>STU0358</t>
  </si>
  <si>
    <t>452, Ring Road</t>
  </si>
  <si>
    <t>012597</t>
  </si>
  <si>
    <t>9104691899</t>
  </si>
  <si>
    <t>aditya.patel363@student.college.edu</t>
  </si>
  <si>
    <t>STU0359</t>
  </si>
  <si>
    <t>24, Brigade Road</t>
  </si>
  <si>
    <t>967477</t>
  </si>
  <si>
    <t>9775851056</t>
  </si>
  <si>
    <t>kabir.iyer465@gmail.com</t>
  </si>
  <si>
    <t>STU0360</t>
  </si>
  <si>
    <t>253, FC Road</t>
  </si>
  <si>
    <t>237909</t>
  </si>
  <si>
    <t>9874283312</t>
  </si>
  <si>
    <t>priya.mukherjee499@gmail.com</t>
  </si>
  <si>
    <t>STU0361</t>
  </si>
  <si>
    <t>73, Brigade Road</t>
  </si>
  <si>
    <t>099570</t>
  </si>
  <si>
    <t>9802957582</t>
  </si>
  <si>
    <t>surya.nair113@student.college.edu</t>
  </si>
  <si>
    <t>STU0362</t>
  </si>
  <si>
    <t>412, Brigade Road</t>
  </si>
  <si>
    <t>352657</t>
  </si>
  <si>
    <t>9739497386</t>
  </si>
  <si>
    <t>kunal.verma899@student.college.edu</t>
  </si>
  <si>
    <t>STU0363</t>
  </si>
  <si>
    <t>78, LBS Marg</t>
  </si>
  <si>
    <t>218987</t>
  </si>
  <si>
    <t>9005214235</t>
  </si>
  <si>
    <t>arjun.rao654@gmail.com</t>
  </si>
  <si>
    <t>STU0364</t>
  </si>
  <si>
    <t>201, FC Road</t>
  </si>
  <si>
    <t>229874</t>
  </si>
  <si>
    <t>9424196331</t>
  </si>
  <si>
    <t>sujith.reddy904@gmail.com</t>
  </si>
  <si>
    <t>STU0365</t>
  </si>
  <si>
    <t>484204</t>
  </si>
  <si>
    <t>9260428571</t>
  </si>
  <si>
    <t>tanvi.reddy992@gmail.com</t>
  </si>
  <si>
    <t>STU0366</t>
  </si>
  <si>
    <t>Pooja Patel</t>
  </si>
  <si>
    <t>393, Brigade Road</t>
  </si>
  <si>
    <t>311582</t>
  </si>
  <si>
    <t>9893279009</t>
  </si>
  <si>
    <t>pooja.patel105@gmail.com</t>
  </si>
  <si>
    <t>STU0367</t>
  </si>
  <si>
    <t>127, MG Road</t>
  </si>
  <si>
    <t>834888</t>
  </si>
  <si>
    <t>9057707590</t>
  </si>
  <si>
    <t>sai.nair603@gmail.com</t>
  </si>
  <si>
    <t>STU0368</t>
  </si>
  <si>
    <t>52, Anna Salai</t>
  </si>
  <si>
    <t>342422</t>
  </si>
  <si>
    <t>9753979774</t>
  </si>
  <si>
    <t>meera.das592@student.college.edu</t>
  </si>
  <si>
    <t>STU0369</t>
  </si>
  <si>
    <t>415, Brigade Road</t>
  </si>
  <si>
    <t>295048</t>
  </si>
  <si>
    <t>9587044780</t>
  </si>
  <si>
    <t>diya.kumar706@gmail.com</t>
  </si>
  <si>
    <t>STU0370</t>
  </si>
  <si>
    <t>492, Ring Road</t>
  </si>
  <si>
    <t>758901</t>
  </si>
  <si>
    <t>9637171490</t>
  </si>
  <si>
    <t>varun.reddy435@gmail.com</t>
  </si>
  <si>
    <t>STU0371</t>
  </si>
  <si>
    <t>151, Anna Salai</t>
  </si>
  <si>
    <t>636152</t>
  </si>
  <si>
    <t>9675249978</t>
  </si>
  <si>
    <t>aditi.das139@student.college.edu</t>
  </si>
  <si>
    <t>STU0372</t>
  </si>
  <si>
    <t>360, Ring Road</t>
  </si>
  <si>
    <t>530413</t>
  </si>
  <si>
    <t>9526928853</t>
  </si>
  <si>
    <t>ananya.patel640@gmail.com</t>
  </si>
  <si>
    <t>STU0373</t>
  </si>
  <si>
    <t>Shreya Gupta</t>
  </si>
  <si>
    <t>289, Brigade Road</t>
  </si>
  <si>
    <t>375288</t>
  </si>
  <si>
    <t>9641790811</t>
  </si>
  <si>
    <t>shreya.gupta896@student.college.edu</t>
  </si>
  <si>
    <t>STU0374</t>
  </si>
  <si>
    <t>257, Brigade Road</t>
  </si>
  <si>
    <t>334355</t>
  </si>
  <si>
    <t>9889987854</t>
  </si>
  <si>
    <t>arjun.das808@gmail.com</t>
  </si>
  <si>
    <t>STU0375</t>
  </si>
  <si>
    <t>395, FC Road</t>
  </si>
  <si>
    <t>689139</t>
  </si>
  <si>
    <t>9913153995</t>
  </si>
  <si>
    <t>harsha.iyer14@gmail.com</t>
  </si>
  <si>
    <t>STU0376</t>
  </si>
  <si>
    <t>448780</t>
  </si>
  <si>
    <t>9081781480</t>
  </si>
  <si>
    <t>ira.sharma653@student.college.edu</t>
  </si>
  <si>
    <t>STU0377</t>
  </si>
  <si>
    <t>594860</t>
  </si>
  <si>
    <t>9857042151</t>
  </si>
  <si>
    <t>leela.reddy765@student.college.edu</t>
  </si>
  <si>
    <t>STU0378</t>
  </si>
  <si>
    <t>477, LBS Marg</t>
  </si>
  <si>
    <t>910360</t>
  </si>
  <si>
    <t>9106489369</t>
  </si>
  <si>
    <t>kabir.iyer886@student.college.edu</t>
  </si>
  <si>
    <t>STU0379</t>
  </si>
  <si>
    <t>162, Charminar Rd</t>
  </si>
  <si>
    <t>219240</t>
  </si>
  <si>
    <t>9337586195</t>
  </si>
  <si>
    <t>vihaan.patel160@student.college.edu</t>
  </si>
  <si>
    <t>STU0380</t>
  </si>
  <si>
    <t>240161</t>
  </si>
  <si>
    <t>9153350768</t>
  </si>
  <si>
    <t>harsha.banerjee9@student.college.edu</t>
  </si>
  <si>
    <t>STU0381</t>
  </si>
  <si>
    <t>240, Park Street</t>
  </si>
  <si>
    <t>845438</t>
  </si>
  <si>
    <t>9233639879</t>
  </si>
  <si>
    <t>ananya.banerjee520@student.college.edu</t>
  </si>
  <si>
    <t>STU0382</t>
  </si>
  <si>
    <t>454, Ring Road</t>
  </si>
  <si>
    <t>139937</t>
  </si>
  <si>
    <t>9841018302</t>
  </si>
  <si>
    <t>shreya.patel209@gmail.com</t>
  </si>
  <si>
    <t>STU0383</t>
  </si>
  <si>
    <t>242, Charminar Rd</t>
  </si>
  <si>
    <t>687701</t>
  </si>
  <si>
    <t>9717887430</t>
  </si>
  <si>
    <t>tanvi.das501@student.college.edu</t>
  </si>
  <si>
    <t>STU0384</t>
  </si>
  <si>
    <t>385, Charminar Rd</t>
  </si>
  <si>
    <t>112436</t>
  </si>
  <si>
    <t>9423809416</t>
  </si>
  <si>
    <t>diya.iyer855@student.college.edu</t>
  </si>
  <si>
    <t>STU0385</t>
  </si>
  <si>
    <t>83, FC Road</t>
  </si>
  <si>
    <t>606640</t>
  </si>
  <si>
    <t>9471895778</t>
  </si>
  <si>
    <t>tanvi.mukherjee996@gmail.com</t>
  </si>
  <si>
    <t>STU0386</t>
  </si>
  <si>
    <t>303, Anna Salai</t>
  </si>
  <si>
    <t>440840</t>
  </si>
  <si>
    <t>9534670224</t>
  </si>
  <si>
    <t>nisha.patel458@gmail.com</t>
  </si>
  <si>
    <t>STU0387</t>
  </si>
  <si>
    <t>642962</t>
  </si>
  <si>
    <t>9887540319</t>
  </si>
  <si>
    <t>diya.mukherjee654@student.college.edu</t>
  </si>
  <si>
    <t>STU0388</t>
  </si>
  <si>
    <t>487, Anna Salai</t>
  </si>
  <si>
    <t>975965</t>
  </si>
  <si>
    <t>9760529261</t>
  </si>
  <si>
    <t>surya.banerjee514@student.college.edu</t>
  </si>
  <si>
    <t>STU0389</t>
  </si>
  <si>
    <t>337, Park Street</t>
  </si>
  <si>
    <t>476027</t>
  </si>
  <si>
    <t>9267644554</t>
  </si>
  <si>
    <t>tanvi.nair572@student.college.edu</t>
  </si>
  <si>
    <t>STU0390</t>
  </si>
  <si>
    <t>273, Park Street</t>
  </si>
  <si>
    <t>465049</t>
  </si>
  <si>
    <t>9075374415</t>
  </si>
  <si>
    <t>diya.kumar640@gmail.com</t>
  </si>
  <si>
    <t>STU0391</t>
  </si>
  <si>
    <t>472, Park Street</t>
  </si>
  <si>
    <t>029511</t>
  </si>
  <si>
    <t>9774474533</t>
  </si>
  <si>
    <t>neeraj.sharma109@gmail.com</t>
  </si>
  <si>
    <t>STU0392</t>
  </si>
  <si>
    <t>81, Park Street</t>
  </si>
  <si>
    <t>087660</t>
  </si>
  <si>
    <t>9544102650</t>
  </si>
  <si>
    <t>leela.patel585@gmail.com</t>
  </si>
  <si>
    <t>STU0393</t>
  </si>
  <si>
    <t>381, Charminar Rd</t>
  </si>
  <si>
    <t>813819</t>
  </si>
  <si>
    <t>9932824269</t>
  </si>
  <si>
    <t>sai.rao816@student.college.edu</t>
  </si>
  <si>
    <t>STU0394</t>
  </si>
  <si>
    <t>17, Charminar Rd</t>
  </si>
  <si>
    <t>804271</t>
  </si>
  <si>
    <t>9765047238</t>
  </si>
  <si>
    <t>leela.gupta788@student.college.edu</t>
  </si>
  <si>
    <t>STU0395</t>
  </si>
  <si>
    <t>Neeraj Rao</t>
  </si>
  <si>
    <t>386, Brigade Road</t>
  </si>
  <si>
    <t>439720</t>
  </si>
  <si>
    <t>9608422247</t>
  </si>
  <si>
    <t>meera.verma717@gmail.com</t>
  </si>
  <si>
    <t>STU0396</t>
  </si>
  <si>
    <t>289, FC Road</t>
  </si>
  <si>
    <t>916442</t>
  </si>
  <si>
    <t>9761236023</t>
  </si>
  <si>
    <t>neeraj.gupta599@student.college.edu</t>
  </si>
  <si>
    <t>STU0397</t>
  </si>
  <si>
    <t>161, FC Road</t>
  </si>
  <si>
    <t>684436</t>
  </si>
  <si>
    <t>9022167114</t>
  </si>
  <si>
    <t>saanvi.rao584@student.college.edu</t>
  </si>
  <si>
    <t>STU0398</t>
  </si>
  <si>
    <t>35, Anna Salai</t>
  </si>
  <si>
    <t>905227</t>
  </si>
  <si>
    <t>9662640650</t>
  </si>
  <si>
    <t>diya.banerjee195@student.college.edu</t>
  </si>
  <si>
    <t>STU0399</t>
  </si>
  <si>
    <t>51, MG Road</t>
  </si>
  <si>
    <t>110152</t>
  </si>
  <si>
    <t>9455818718</t>
  </si>
  <si>
    <t>ishaan.reddy630@gmail.com</t>
  </si>
  <si>
    <t>STU0400</t>
  </si>
  <si>
    <t>264, Anna Salai</t>
  </si>
  <si>
    <t>822534</t>
  </si>
  <si>
    <t>9994394104</t>
  </si>
  <si>
    <t>kavya.nair312@student.college.edu</t>
  </si>
  <si>
    <t>STU0401</t>
  </si>
  <si>
    <t>351365</t>
  </si>
  <si>
    <t>9117786199</t>
  </si>
  <si>
    <t>harsha.banerjee670@gmail.com</t>
  </si>
  <si>
    <t>STU0402</t>
  </si>
  <si>
    <t>373, FC Road</t>
  </si>
  <si>
    <t>357090</t>
  </si>
  <si>
    <t>9461428262</t>
  </si>
  <si>
    <t>surya.nair853@gmail.com</t>
  </si>
  <si>
    <t>STU0403</t>
  </si>
  <si>
    <t>017959</t>
  </si>
  <si>
    <t>9973972950</t>
  </si>
  <si>
    <t>pooja.patel58@gmail.com</t>
  </si>
  <si>
    <t>STU0404</t>
  </si>
  <si>
    <t>397, Charminar Rd</t>
  </si>
  <si>
    <t>555435</t>
  </si>
  <si>
    <t>9658617867</t>
  </si>
  <si>
    <t>surya.nair981@gmail.com</t>
  </si>
  <si>
    <t>STU0405</t>
  </si>
  <si>
    <t>347, Anna Salai</t>
  </si>
  <si>
    <t>164878</t>
  </si>
  <si>
    <t>9093599835</t>
  </si>
  <si>
    <t>sai.iyer290@gmail.com</t>
  </si>
  <si>
    <t>STU0406</t>
  </si>
  <si>
    <t>434, Brigade Road</t>
  </si>
  <si>
    <t>697742</t>
  </si>
  <si>
    <t>9487606356</t>
  </si>
  <si>
    <t>shreya.verma840@gmail.com</t>
  </si>
  <si>
    <t>STU0407</t>
  </si>
  <si>
    <t>78, Anna Salai</t>
  </si>
  <si>
    <t>562898</t>
  </si>
  <si>
    <t>9751131590</t>
  </si>
  <si>
    <t>aarav.rao131@gmail.com</t>
  </si>
  <si>
    <t>STU0408</t>
  </si>
  <si>
    <t>139, Ring Road</t>
  </si>
  <si>
    <t>089190</t>
  </si>
  <si>
    <t>9882041751</t>
  </si>
  <si>
    <t>surya.reddy993@student.college.edu</t>
  </si>
  <si>
    <t>STU0409</t>
  </si>
  <si>
    <t>973214</t>
  </si>
  <si>
    <t>9084839848</t>
  </si>
  <si>
    <t>neeraj.reddy308@student.college.edu</t>
  </si>
  <si>
    <t>STU0410</t>
  </si>
  <si>
    <t>24, Park Street</t>
  </si>
  <si>
    <t>511670</t>
  </si>
  <si>
    <t>9886341199</t>
  </si>
  <si>
    <t>amrita.kumar760@student.college.edu</t>
  </si>
  <si>
    <t>STU0411</t>
  </si>
  <si>
    <t>319, FC Road</t>
  </si>
  <si>
    <t>380890</t>
  </si>
  <si>
    <t>9355108091</t>
  </si>
  <si>
    <t>aarav.kumar488@gmail.com</t>
  </si>
  <si>
    <t>STU0412</t>
  </si>
  <si>
    <t>Leela Rao</t>
  </si>
  <si>
    <t>66, FC Road</t>
  </si>
  <si>
    <t>960485</t>
  </si>
  <si>
    <t>9158167726</t>
  </si>
  <si>
    <t>leela.rao256@student.college.edu</t>
  </si>
  <si>
    <t>STU0413</t>
  </si>
  <si>
    <t>453, Anna Salai</t>
  </si>
  <si>
    <t>465909</t>
  </si>
  <si>
    <t>9301110713</t>
  </si>
  <si>
    <t>ananya.mukherjee586@gmail.com</t>
  </si>
  <si>
    <t>STU0414</t>
  </si>
  <si>
    <t>280, LBS Marg</t>
  </si>
  <si>
    <t>653913</t>
  </si>
  <si>
    <t>9874087274</t>
  </si>
  <si>
    <t>harsha.rao27@student.college.edu</t>
  </si>
  <si>
    <t>STU0415</t>
  </si>
  <si>
    <t>158, LBS Marg</t>
  </si>
  <si>
    <t>991885</t>
  </si>
  <si>
    <t>9167175755</t>
  </si>
  <si>
    <t>sujith.verma49@gmail.com</t>
  </si>
  <si>
    <t>STU0416</t>
  </si>
  <si>
    <t>116, Park Street</t>
  </si>
  <si>
    <t>829929</t>
  </si>
  <si>
    <t>9984190253</t>
  </si>
  <si>
    <t>diya.gupta946@student.college.edu</t>
  </si>
  <si>
    <t>STU0417</t>
  </si>
  <si>
    <t>331, Charminar Rd</t>
  </si>
  <si>
    <t>232914</t>
  </si>
  <si>
    <t>9756212365</t>
  </si>
  <si>
    <t>arjun.kumar537@student.college.edu</t>
  </si>
  <si>
    <t>STU0418</t>
  </si>
  <si>
    <t>79, Brigade Road</t>
  </si>
  <si>
    <t>908264</t>
  </si>
  <si>
    <t>9178425079</t>
  </si>
  <si>
    <t>tanvi.kumar886@gmail.com</t>
  </si>
  <si>
    <t>STU0419</t>
  </si>
  <si>
    <t>376, Anna Salai</t>
  </si>
  <si>
    <t>489018</t>
  </si>
  <si>
    <t>9245617758</t>
  </si>
  <si>
    <t>meera.sharma385@gmail.com</t>
  </si>
  <si>
    <t>STU0420</t>
  </si>
  <si>
    <t>364, Charminar Rd</t>
  </si>
  <si>
    <t>378559</t>
  </si>
  <si>
    <t>9867605090</t>
  </si>
  <si>
    <t>shreya.verma943@gmail.com</t>
  </si>
  <si>
    <t>STU0421</t>
  </si>
  <si>
    <t>229, MG Road</t>
  </si>
  <si>
    <t>667158</t>
  </si>
  <si>
    <t>9677714035</t>
  </si>
  <si>
    <t>leela.nair825@student.college.edu</t>
  </si>
  <si>
    <t>STU0422</t>
  </si>
  <si>
    <t>328, Park Street</t>
  </si>
  <si>
    <t>273887</t>
  </si>
  <si>
    <t>9931597575</t>
  </si>
  <si>
    <t>surya.mukherjee408@student.college.edu</t>
  </si>
  <si>
    <t>STU0423</t>
  </si>
  <si>
    <t>175, FC Road</t>
  </si>
  <si>
    <t>919882</t>
  </si>
  <si>
    <t>9509405624</t>
  </si>
  <si>
    <t>varun.rao854@student.college.edu</t>
  </si>
  <si>
    <t>STU0424</t>
  </si>
  <si>
    <t>Harsha Reddy</t>
  </si>
  <si>
    <t>Rahul Reddy</t>
  </si>
  <si>
    <t>248, LBS Marg</t>
  </si>
  <si>
    <t>485689</t>
  </si>
  <si>
    <t>9779823993</t>
  </si>
  <si>
    <t>harsha.reddy366@student.college.edu</t>
  </si>
  <si>
    <t>STU0425</t>
  </si>
  <si>
    <t>470, LBS Marg</t>
  </si>
  <si>
    <t>182379</t>
  </si>
  <si>
    <t>9822844509</t>
  </si>
  <si>
    <t>leela.mukherjee23@gmail.com</t>
  </si>
  <si>
    <t>STU0426</t>
  </si>
  <si>
    <t>Saanvi Mukherjee</t>
  </si>
  <si>
    <t>142, Anna Salai</t>
  </si>
  <si>
    <t>471363</t>
  </si>
  <si>
    <t>9632754795</t>
  </si>
  <si>
    <t>saanvi.mukherjee884@student.college.edu</t>
  </si>
  <si>
    <t>STU0427</t>
  </si>
  <si>
    <t>83, Ring Road</t>
  </si>
  <si>
    <t>809730</t>
  </si>
  <si>
    <t>9476834813</t>
  </si>
  <si>
    <t>shreya.verma182@gmail.com</t>
  </si>
  <si>
    <t>STU0428</t>
  </si>
  <si>
    <t>42, FC Road</t>
  </si>
  <si>
    <t>506903</t>
  </si>
  <si>
    <t>9195030958</t>
  </si>
  <si>
    <t>sai.nair979@student.college.edu</t>
  </si>
  <si>
    <t>STU0429</t>
  </si>
  <si>
    <t>308, FC Road</t>
  </si>
  <si>
    <t>878118</t>
  </si>
  <si>
    <t>9005998323</t>
  </si>
  <si>
    <t>nisha.reddy185@student.college.edu</t>
  </si>
  <si>
    <t>STU0430</t>
  </si>
  <si>
    <t>402, LBS Marg</t>
  </si>
  <si>
    <t>332814</t>
  </si>
  <si>
    <t>9399897805</t>
  </si>
  <si>
    <t>kavya.gupta680@gmail.com</t>
  </si>
  <si>
    <t>STU0431</t>
  </si>
  <si>
    <t>219, Charminar Rd</t>
  </si>
  <si>
    <t>001563</t>
  </si>
  <si>
    <t>9977650935</t>
  </si>
  <si>
    <t>rahul.iyer922@student.college.edu</t>
  </si>
  <si>
    <t>STU0432</t>
  </si>
  <si>
    <t>27, Charminar Rd</t>
  </si>
  <si>
    <t>560241</t>
  </si>
  <si>
    <t>9237456039</t>
  </si>
  <si>
    <t>nisha.sharma120@gmail.com</t>
  </si>
  <si>
    <t>STU0433</t>
  </si>
  <si>
    <t>73, Ring Road</t>
  </si>
  <si>
    <t>845862</t>
  </si>
  <si>
    <t>9872644298</t>
  </si>
  <si>
    <t>sai.patel500@gmail.com</t>
  </si>
  <si>
    <t>STU0434</t>
  </si>
  <si>
    <t>327, Brigade Road</t>
  </si>
  <si>
    <t>941392</t>
  </si>
  <si>
    <t>9693525118</t>
  </si>
  <si>
    <t>vihaan.mukherjee906@student.college.edu</t>
  </si>
  <si>
    <t>STU0435</t>
  </si>
  <si>
    <t>20, Charminar Rd</t>
  </si>
  <si>
    <t>782641</t>
  </si>
  <si>
    <t>9509712359</t>
  </si>
  <si>
    <t>arjun.das350@gmail.com</t>
  </si>
  <si>
    <t>STU0436</t>
  </si>
  <si>
    <t>33, Ring Road</t>
  </si>
  <si>
    <t>370486</t>
  </si>
  <si>
    <t>9215310507</t>
  </si>
  <si>
    <t>ishaan.banerjee742@gmail.com</t>
  </si>
  <si>
    <t>STU0437</t>
  </si>
  <si>
    <t>30, Charminar Rd</t>
  </si>
  <si>
    <t>870508</t>
  </si>
  <si>
    <t>9453639242</t>
  </si>
  <si>
    <t>amrita.verma652@gmail.com</t>
  </si>
  <si>
    <t>STU0438</t>
  </si>
  <si>
    <t>Aditi Gupta</t>
  </si>
  <si>
    <t>494, Charminar Rd</t>
  </si>
  <si>
    <t>308147</t>
  </si>
  <si>
    <t>9524839447</t>
  </si>
  <si>
    <t>nisha.iyer455@gmail.com</t>
  </si>
  <si>
    <t>STU0439</t>
  </si>
  <si>
    <t>112, Ring Road</t>
  </si>
  <si>
    <t>977348</t>
  </si>
  <si>
    <t>9733345499</t>
  </si>
  <si>
    <t>ananya.banerjee891@gmail.com</t>
  </si>
  <si>
    <t>STU0440</t>
  </si>
  <si>
    <t>483, LBS Marg</t>
  </si>
  <si>
    <t>362751</t>
  </si>
  <si>
    <t>9471448193</t>
  </si>
  <si>
    <t>ananya.das956@student.college.edu</t>
  </si>
  <si>
    <t>STU0441</t>
  </si>
  <si>
    <t>104, Park Street</t>
  </si>
  <si>
    <t>839584</t>
  </si>
  <si>
    <t>9721591456</t>
  </si>
  <si>
    <t>aditya.sharma163@gmail.com</t>
  </si>
  <si>
    <t>STU0442</t>
  </si>
  <si>
    <t>759345</t>
  </si>
  <si>
    <t>9404633031</t>
  </si>
  <si>
    <t>kabir.banerjee640@gmail.com</t>
  </si>
  <si>
    <t>STU0443</t>
  </si>
  <si>
    <t>182, LBS Marg</t>
  </si>
  <si>
    <t>932599</t>
  </si>
  <si>
    <t>9031672932</t>
  </si>
  <si>
    <t>kabir.banerjee778@gmail.com</t>
  </si>
  <si>
    <t>STU0444</t>
  </si>
  <si>
    <t>155, Charminar Rd</t>
  </si>
  <si>
    <t>306638</t>
  </si>
  <si>
    <t>9874397542</t>
  </si>
  <si>
    <t>nisha.sharma936@gmail.com</t>
  </si>
  <si>
    <t>STU0445</t>
  </si>
  <si>
    <t>Pooja Gupta</t>
  </si>
  <si>
    <t>125, Brigade Road</t>
  </si>
  <si>
    <t>052007</t>
  </si>
  <si>
    <t>9739059963</t>
  </si>
  <si>
    <t>leela.das681@student.college.edu</t>
  </si>
  <si>
    <t>STU0446</t>
  </si>
  <si>
    <t>368, Brigade Road</t>
  </si>
  <si>
    <t>720035</t>
  </si>
  <si>
    <t>9419612680</t>
  </si>
  <si>
    <t>varun.gupta190@student.college.edu</t>
  </si>
  <si>
    <t>STU0447</t>
  </si>
  <si>
    <t>390, Brigade Road</t>
  </si>
  <si>
    <t>872382</t>
  </si>
  <si>
    <t>9462232086</t>
  </si>
  <si>
    <t>kunal.gupta289@student.college.edu</t>
  </si>
  <si>
    <t>STU0448</t>
  </si>
  <si>
    <t>392, LBS Marg</t>
  </si>
  <si>
    <t>379669</t>
  </si>
  <si>
    <t>9573383345</t>
  </si>
  <si>
    <t>saanvi.iyer763@student.college.edu</t>
  </si>
  <si>
    <t>STU0449</t>
  </si>
  <si>
    <t>238, LBS Marg</t>
  </si>
  <si>
    <t>174013</t>
  </si>
  <si>
    <t>9963076151</t>
  </si>
  <si>
    <t>varun.iyer98@student.college.edu</t>
  </si>
  <si>
    <t>STU0450</t>
  </si>
  <si>
    <t>Saanvi Patel</t>
  </si>
  <si>
    <t>474919</t>
  </si>
  <si>
    <t>9090342298</t>
  </si>
  <si>
    <t>kunal.iyer427@gmail.com</t>
  </si>
  <si>
    <t>STU0451</t>
  </si>
  <si>
    <t>307, Park Street</t>
  </si>
  <si>
    <t>336154</t>
  </si>
  <si>
    <t>9032969969</t>
  </si>
  <si>
    <t>ananya.banerjee488@gmail.com</t>
  </si>
  <si>
    <t>STU0452</t>
  </si>
  <si>
    <t>Shreya Reddy</t>
  </si>
  <si>
    <t>363, Ring Road</t>
  </si>
  <si>
    <t>583831</t>
  </si>
  <si>
    <t>9354997031</t>
  </si>
  <si>
    <t>varun.reddy789@gmail.com</t>
  </si>
  <si>
    <t>STU0453</t>
  </si>
  <si>
    <t>183, LBS Marg</t>
  </si>
  <si>
    <t>794382</t>
  </si>
  <si>
    <t>9819620855</t>
  </si>
  <si>
    <t>leela.sharma255@gmail.com</t>
  </si>
  <si>
    <t>STU0454</t>
  </si>
  <si>
    <t>391, Charminar Rd</t>
  </si>
  <si>
    <t>491655</t>
  </si>
  <si>
    <t>9712274119</t>
  </si>
  <si>
    <t>kunal.reddy127@student.college.edu</t>
  </si>
  <si>
    <t>STU0455</t>
  </si>
  <si>
    <t>223, FC Road</t>
  </si>
  <si>
    <t>380255</t>
  </si>
  <si>
    <t>9807100159</t>
  </si>
  <si>
    <t>diya.gupta241@student.college.edu</t>
  </si>
  <si>
    <t>STU0456</t>
  </si>
  <si>
    <t>280, MG Road</t>
  </si>
  <si>
    <t>631884</t>
  </si>
  <si>
    <t>9192265082</t>
  </si>
  <si>
    <t>ananya.verma44@student.college.edu</t>
  </si>
  <si>
    <t>STU0457</t>
  </si>
  <si>
    <t>344, Charminar Rd</t>
  </si>
  <si>
    <t>466505</t>
  </si>
  <si>
    <t>9250753812</t>
  </si>
  <si>
    <t>leela.gupta550@student.college.edu</t>
  </si>
  <si>
    <t>STU0458</t>
  </si>
  <si>
    <t>132, FC Road</t>
  </si>
  <si>
    <t>836449</t>
  </si>
  <si>
    <t>9672131927</t>
  </si>
  <si>
    <t>nisha.iyer754@gmail.com</t>
  </si>
  <si>
    <t>STU0459</t>
  </si>
  <si>
    <t>112, MG Road</t>
  </si>
  <si>
    <t>213477</t>
  </si>
  <si>
    <t>9437945769</t>
  </si>
  <si>
    <t>diya.kumar80@student.college.edu</t>
  </si>
  <si>
    <t>STU0460</t>
  </si>
  <si>
    <t>291, Park Street</t>
  </si>
  <si>
    <t>369732</t>
  </si>
  <si>
    <t>9620114999</t>
  </si>
  <si>
    <t>leela.sharma124@student.college.edu</t>
  </si>
  <si>
    <t>STU0461</t>
  </si>
  <si>
    <t>140, Anna Salai</t>
  </si>
  <si>
    <t>062330</t>
  </si>
  <si>
    <t>9441086987</t>
  </si>
  <si>
    <t>kabir.verma737@gmail.com</t>
  </si>
  <si>
    <t>STU0462</t>
  </si>
  <si>
    <t>333, MG Road</t>
  </si>
  <si>
    <t>577772</t>
  </si>
  <si>
    <t>9038539753</t>
  </si>
  <si>
    <t>tanvi.nair655@gmail.com</t>
  </si>
  <si>
    <t>STU0463</t>
  </si>
  <si>
    <t>385, LBS Marg</t>
  </si>
  <si>
    <t>346833</t>
  </si>
  <si>
    <t>9478105865</t>
  </si>
  <si>
    <t>diya.kumar554@student.college.edu</t>
  </si>
  <si>
    <t>STU0464</t>
  </si>
  <si>
    <t>257, MG Road</t>
  </si>
  <si>
    <t>525976</t>
  </si>
  <si>
    <t>9743839582</t>
  </si>
  <si>
    <t>sujith.mukherjee360@gmail.com</t>
  </si>
  <si>
    <t>STU0465</t>
  </si>
  <si>
    <t>367, MG Road</t>
  </si>
  <si>
    <t>496373</t>
  </si>
  <si>
    <t>9269102286</t>
  </si>
  <si>
    <t>harsha.banerjee69@gmail.com</t>
  </si>
  <si>
    <t>STU0466</t>
  </si>
  <si>
    <t>199, FC Road</t>
  </si>
  <si>
    <t>454604</t>
  </si>
  <si>
    <t>9030783506</t>
  </si>
  <si>
    <t>diya.banerjee636@gmail.com</t>
  </si>
  <si>
    <t>STU0467</t>
  </si>
  <si>
    <t>279, Brigade Road</t>
  </si>
  <si>
    <t>779472</t>
  </si>
  <si>
    <t>9903782401</t>
  </si>
  <si>
    <t>ira.sharma884@student.college.edu</t>
  </si>
  <si>
    <t>STU0468</t>
  </si>
  <si>
    <t>335, MG Road</t>
  </si>
  <si>
    <t>649212</t>
  </si>
  <si>
    <t>9311814078</t>
  </si>
  <si>
    <t>priya.gupta928@student.college.edu</t>
  </si>
  <si>
    <t>STU0469</t>
  </si>
  <si>
    <t>119604</t>
  </si>
  <si>
    <t>9747835404</t>
  </si>
  <si>
    <t>rahul.gupta719@gmail.com</t>
  </si>
  <si>
    <t>STU0470</t>
  </si>
  <si>
    <t>465, Park Street</t>
  </si>
  <si>
    <t>156493</t>
  </si>
  <si>
    <t>9207145211</t>
  </si>
  <si>
    <t>kunal.banerjee719@gmail.com</t>
  </si>
  <si>
    <t>STU0471</t>
  </si>
  <si>
    <t>5, Anna Salai</t>
  </si>
  <si>
    <t>988144</t>
  </si>
  <si>
    <t>9036581158</t>
  </si>
  <si>
    <t>priya.sharma70@gmail.com</t>
  </si>
  <si>
    <t>STU0472</t>
  </si>
  <si>
    <t>209, MG Road</t>
  </si>
  <si>
    <t>870693</t>
  </si>
  <si>
    <t>9687167867</t>
  </si>
  <si>
    <t>rohan.banerjee162@student.college.edu</t>
  </si>
  <si>
    <t>STU0473</t>
  </si>
  <si>
    <t>44, Park Street</t>
  </si>
  <si>
    <t>226938</t>
  </si>
  <si>
    <t>9698447855</t>
  </si>
  <si>
    <t>neeraj.verma699@student.college.edu</t>
  </si>
  <si>
    <t>STU0474</t>
  </si>
  <si>
    <t>129, Anna Salai</t>
  </si>
  <si>
    <t>529321</t>
  </si>
  <si>
    <t>9913625616</t>
  </si>
  <si>
    <t>varun.kumar806@student.college.edu</t>
  </si>
  <si>
    <t>STU0475</t>
  </si>
  <si>
    <t>409, LBS Marg</t>
  </si>
  <si>
    <t>172256</t>
  </si>
  <si>
    <t>9388337943</t>
  </si>
  <si>
    <t>tanvi.banerjee261@student.college.edu</t>
  </si>
  <si>
    <t>STU0476</t>
  </si>
  <si>
    <t>476, LBS Marg</t>
  </si>
  <si>
    <t>542964</t>
  </si>
  <si>
    <t>9143117900</t>
  </si>
  <si>
    <t>sujith.das111@gmail.com</t>
  </si>
  <si>
    <t>STU0477</t>
  </si>
  <si>
    <t>320, Anna Salai</t>
  </si>
  <si>
    <t>226793</t>
  </si>
  <si>
    <t>9205719350</t>
  </si>
  <si>
    <t>ishaan.sharma165@student.college.edu</t>
  </si>
  <si>
    <t>STU0478</t>
  </si>
  <si>
    <t>85, Park Street</t>
  </si>
  <si>
    <t>123553</t>
  </si>
  <si>
    <t>9210747363</t>
  </si>
  <si>
    <t>kabir.verma555@gmail.com</t>
  </si>
  <si>
    <t>STU0479</t>
  </si>
  <si>
    <t>199, LBS Marg</t>
  </si>
  <si>
    <t>376637</t>
  </si>
  <si>
    <t>9234222640</t>
  </si>
  <si>
    <t>pooja.das958@student.college.edu</t>
  </si>
  <si>
    <t>STU0480</t>
  </si>
  <si>
    <t>252, Charminar Rd</t>
  </si>
  <si>
    <t>022394</t>
  </si>
  <si>
    <t>9186588937</t>
  </si>
  <si>
    <t>varun.sharma93@student.college.edu</t>
  </si>
  <si>
    <t>STU0481</t>
  </si>
  <si>
    <t>143, Park Street</t>
  </si>
  <si>
    <t>352006</t>
  </si>
  <si>
    <t>9799159828</t>
  </si>
  <si>
    <t>aditya.das201@student.college.edu</t>
  </si>
  <si>
    <t>STU0482</t>
  </si>
  <si>
    <t>371, Park Street</t>
  </si>
  <si>
    <t>208750</t>
  </si>
  <si>
    <t>9501011885</t>
  </si>
  <si>
    <t>sujith.gupta286@gmail.com</t>
  </si>
  <si>
    <t>STU0483</t>
  </si>
  <si>
    <t>35, Charminar Rd</t>
  </si>
  <si>
    <t>254757</t>
  </si>
  <si>
    <t>9846575842</t>
  </si>
  <si>
    <t>varun.verma960@gmail.com</t>
  </si>
  <si>
    <t>STU0484</t>
  </si>
  <si>
    <t>60, Charminar Rd</t>
  </si>
  <si>
    <t>204727</t>
  </si>
  <si>
    <t>9745717319</t>
  </si>
  <si>
    <t>pooja.sharma926@gmail.com</t>
  </si>
  <si>
    <t>STU0485</t>
  </si>
  <si>
    <t>213, MG Road</t>
  </si>
  <si>
    <t>892043</t>
  </si>
  <si>
    <t>9645354984</t>
  </si>
  <si>
    <t>riya.mukherjee361@gmail.com</t>
  </si>
  <si>
    <t>STU0486</t>
  </si>
  <si>
    <t>13, Ring Road</t>
  </si>
  <si>
    <t>047462</t>
  </si>
  <si>
    <t>9051447077</t>
  </si>
  <si>
    <t>aarav.verma580@student.college.edu</t>
  </si>
  <si>
    <t>STU0487</t>
  </si>
  <si>
    <t>220014</t>
  </si>
  <si>
    <t>9178459291</t>
  </si>
  <si>
    <t>tanvi.mukherjee39@gmail.com</t>
  </si>
  <si>
    <t>STU0488</t>
  </si>
  <si>
    <t>Rohan Kumar</t>
  </si>
  <si>
    <t>236, FC Road</t>
  </si>
  <si>
    <t>892588</t>
  </si>
  <si>
    <t>9365685687</t>
  </si>
  <si>
    <t>rohan.kumar252@student.college.edu</t>
  </si>
  <si>
    <t>STU0489</t>
  </si>
  <si>
    <t>27, Anna Salai</t>
  </si>
  <si>
    <t>858294</t>
  </si>
  <si>
    <t>9105374301</t>
  </si>
  <si>
    <t>saanvi.nair493@student.college.edu</t>
  </si>
  <si>
    <t>STU0490</t>
  </si>
  <si>
    <t>481, FC Road</t>
  </si>
  <si>
    <t>284954</t>
  </si>
  <si>
    <t>9826113300</t>
  </si>
  <si>
    <t>meera.patel816@student.college.edu</t>
  </si>
  <si>
    <t>STU0491</t>
  </si>
  <si>
    <t>91, MG Road</t>
  </si>
  <si>
    <t>936835</t>
  </si>
  <si>
    <t>9083059681</t>
  </si>
  <si>
    <t>amrita.verma175@gmail.com</t>
  </si>
  <si>
    <t>STU0492</t>
  </si>
  <si>
    <t>146, Park Street</t>
  </si>
  <si>
    <t>626606</t>
  </si>
  <si>
    <t>9608668352</t>
  </si>
  <si>
    <t>kunal.rao723@gmail.com</t>
  </si>
  <si>
    <t>STU0493</t>
  </si>
  <si>
    <t>19, Brigade Road</t>
  </si>
  <si>
    <t>191723</t>
  </si>
  <si>
    <t>9324496673</t>
  </si>
  <si>
    <t>tanvi.iyer727@student.college.edu</t>
  </si>
  <si>
    <t>STU0494</t>
  </si>
  <si>
    <t>200, Park Street</t>
  </si>
  <si>
    <t>637313</t>
  </si>
  <si>
    <t>9943956079</t>
  </si>
  <si>
    <t>sai.patel426@student.college.edu</t>
  </si>
  <si>
    <t>STU0495</t>
  </si>
  <si>
    <t>370, Park Street</t>
  </si>
  <si>
    <t>767830</t>
  </si>
  <si>
    <t>9485236755</t>
  </si>
  <si>
    <t>vihaan.gupta911@student.college.edu</t>
  </si>
  <si>
    <t>STU0496</t>
  </si>
  <si>
    <t>489962</t>
  </si>
  <si>
    <t>9354360292</t>
  </si>
  <si>
    <t>aditi.rao272@student.college.edu</t>
  </si>
  <si>
    <t>STU0497</t>
  </si>
  <si>
    <t>411, Anna Salai</t>
  </si>
  <si>
    <t>087777</t>
  </si>
  <si>
    <t>9645557893</t>
  </si>
  <si>
    <t>rohan.kumar744@gmail.com</t>
  </si>
  <si>
    <t>STU0498</t>
  </si>
  <si>
    <t>51, Park Street</t>
  </si>
  <si>
    <t>664921</t>
  </si>
  <si>
    <t>9093550988</t>
  </si>
  <si>
    <t>tanvi.patel4@student.college.edu</t>
  </si>
  <si>
    <t>STU0499</t>
  </si>
  <si>
    <t>63, LBS Marg</t>
  </si>
  <si>
    <t>730185</t>
  </si>
  <si>
    <t>9209870011</t>
  </si>
  <si>
    <t>kabir.kumar835@student.college.edu</t>
  </si>
  <si>
    <t>STU0500</t>
  </si>
  <si>
    <t>770926</t>
  </si>
  <si>
    <t>9947361040</t>
  </si>
  <si>
    <t>ananya.patel364@student.college.edu</t>
  </si>
  <si>
    <t>FacultyID</t>
  </si>
  <si>
    <t>FacultyName</t>
  </si>
  <si>
    <t>Qualification</t>
  </si>
  <si>
    <t>Department</t>
  </si>
  <si>
    <t>DateOfJoining</t>
  </si>
  <si>
    <t>ExperienceYears</t>
  </si>
  <si>
    <t>FAC001</t>
  </si>
  <si>
    <t>M.Tech</t>
  </si>
  <si>
    <t>Management</t>
  </si>
  <si>
    <t>72, Brigade Road</t>
  </si>
  <si>
    <t>500265</t>
  </si>
  <si>
    <t>9774428714</t>
  </si>
  <si>
    <t>harsha.verma285@college.edu</t>
  </si>
  <si>
    <t>FAC002</t>
  </si>
  <si>
    <t>Civil Engg</t>
  </si>
  <si>
    <t>136, MG Road</t>
  </si>
  <si>
    <t>935868</t>
  </si>
  <si>
    <t>9570220212</t>
  </si>
  <si>
    <t>kabir.verma651@campus.edu</t>
  </si>
  <si>
    <t>FAC003</t>
  </si>
  <si>
    <t>M.A</t>
  </si>
  <si>
    <t>Commerce</t>
  </si>
  <si>
    <t>326, Park Street</t>
  </si>
  <si>
    <t>139656</t>
  </si>
  <si>
    <t>9872032298</t>
  </si>
  <si>
    <t>diya.reddy323@college.edu</t>
  </si>
  <si>
    <t>FAC004</t>
  </si>
  <si>
    <t>Humanities</t>
  </si>
  <si>
    <t>382, Anna Salai</t>
  </si>
  <si>
    <t>832950</t>
  </si>
  <si>
    <t>9016740395</t>
  </si>
  <si>
    <t>ira.banerjee995@college.edu</t>
  </si>
  <si>
    <t>FAC005</t>
  </si>
  <si>
    <t>151, Charminar Rd</t>
  </si>
  <si>
    <t>077975</t>
  </si>
  <si>
    <t>9168513199</t>
  </si>
  <si>
    <t>kabir.banerjee941@college.edu</t>
  </si>
  <si>
    <t>FAC006</t>
  </si>
  <si>
    <t>Mechanical Engg</t>
  </si>
  <si>
    <t>30, Ring Road</t>
  </si>
  <si>
    <t>040771</t>
  </si>
  <si>
    <t>9452842572</t>
  </si>
  <si>
    <t>saanvi.sharma320@campus.edu</t>
  </si>
  <si>
    <t>FAC007</t>
  </si>
  <si>
    <t>PhD</t>
  </si>
  <si>
    <t>33, FC Road</t>
  </si>
  <si>
    <t>507000</t>
  </si>
  <si>
    <t>9352457852</t>
  </si>
  <si>
    <t>diya.kumar485@campus.edu</t>
  </si>
  <si>
    <t>FAC008</t>
  </si>
  <si>
    <t>M.Sc</t>
  </si>
  <si>
    <t>Physics</t>
  </si>
  <si>
    <t>443, MG Road</t>
  </si>
  <si>
    <t>438214</t>
  </si>
  <si>
    <t>9422948509</t>
  </si>
  <si>
    <t>kabir.banerjee857@college.edu</t>
  </si>
  <si>
    <t>FAC009</t>
  </si>
  <si>
    <t>M.Phil</t>
  </si>
  <si>
    <t>85, Charminar Rd</t>
  </si>
  <si>
    <t>274499</t>
  </si>
  <si>
    <t>9571295570</t>
  </si>
  <si>
    <t>sai.patel599@campus.edu</t>
  </si>
  <si>
    <t>FAC010</t>
  </si>
  <si>
    <t>B.Ed</t>
  </si>
  <si>
    <t>182564</t>
  </si>
  <si>
    <t>9559272362</t>
  </si>
  <si>
    <t>sai.sharma324@college.edu</t>
  </si>
  <si>
    <t>FAC011</t>
  </si>
  <si>
    <t>MBA</t>
  </si>
  <si>
    <t>136, Park Street</t>
  </si>
  <si>
    <t>831876</t>
  </si>
  <si>
    <t>9960826911</t>
  </si>
  <si>
    <t>kavya.rao110@college.edu</t>
  </si>
  <si>
    <t>FAC012</t>
  </si>
  <si>
    <t>Kavya Reddy</t>
  </si>
  <si>
    <t>251, Anna Salai</t>
  </si>
  <si>
    <t>680319</t>
  </si>
  <si>
    <t>9147519610</t>
  </si>
  <si>
    <t>kavya.reddy379@college.edu</t>
  </si>
  <si>
    <t>FAC013</t>
  </si>
  <si>
    <t>Computer Science</t>
  </si>
  <si>
    <t>784619</t>
  </si>
  <si>
    <t>9898807398</t>
  </si>
  <si>
    <t>vihaan.nair885@college.edu</t>
  </si>
  <si>
    <t>FAC014</t>
  </si>
  <si>
    <t>241, Ring Road</t>
  </si>
  <si>
    <t>388263</t>
  </si>
  <si>
    <t>9207356830</t>
  </si>
  <si>
    <t>pooja.mukherjee899@campus.edu</t>
  </si>
  <si>
    <t>FAC015</t>
  </si>
  <si>
    <t>403, FC Road</t>
  </si>
  <si>
    <t>352709</t>
  </si>
  <si>
    <t>9577630633</t>
  </si>
  <si>
    <t>kunal.sharma869@college.edu</t>
  </si>
  <si>
    <t>FAC016</t>
  </si>
  <si>
    <t>152, Park Street</t>
  </si>
  <si>
    <t>637154</t>
  </si>
  <si>
    <t>9832763465</t>
  </si>
  <si>
    <t>priya.nair813@college.edu</t>
  </si>
  <si>
    <t>FAC017</t>
  </si>
  <si>
    <t>420, Ring Road</t>
  </si>
  <si>
    <t>810967</t>
  </si>
  <si>
    <t>9485733168</t>
  </si>
  <si>
    <t>rahul.das882@college.edu</t>
  </si>
  <si>
    <t>FAC018</t>
  </si>
  <si>
    <t>128, Brigade Road</t>
  </si>
  <si>
    <t>869598</t>
  </si>
  <si>
    <t>9675858742</t>
  </si>
  <si>
    <t>rohan.gupta254@campus.edu</t>
  </si>
  <si>
    <t>FAC019</t>
  </si>
  <si>
    <t>147, Ring Road</t>
  </si>
  <si>
    <t>351267</t>
  </si>
  <si>
    <t>9045424956</t>
  </si>
  <si>
    <t>saanvi.banerjee878@campus.edu</t>
  </si>
  <si>
    <t>FAC020</t>
  </si>
  <si>
    <t>383, Ring Road</t>
  </si>
  <si>
    <t>243677</t>
  </si>
  <si>
    <t>9899595604</t>
  </si>
  <si>
    <t>diya.nair888@campus.edu</t>
  </si>
  <si>
    <t>NoOfPapers</t>
  </si>
  <si>
    <t>Mathematics</t>
  </si>
  <si>
    <t>SubjectID</t>
  </si>
  <si>
    <t>SubjectName</t>
  </si>
  <si>
    <t>CRS01-S1-P1</t>
  </si>
  <si>
    <t>Programming 1</t>
  </si>
  <si>
    <t>CRS01-S1-P2</t>
  </si>
  <si>
    <t>Data Structures 1</t>
  </si>
  <si>
    <t>CRS01-S1-P3</t>
  </si>
  <si>
    <t>DBMS 1</t>
  </si>
  <si>
    <t>CRS01-S1-P4</t>
  </si>
  <si>
    <t>Operating Systems 1</t>
  </si>
  <si>
    <t>CRS01-S1-P5</t>
  </si>
  <si>
    <t>Networks 1</t>
  </si>
  <si>
    <t>CRS01-S2-P1</t>
  </si>
  <si>
    <t>Programming 2</t>
  </si>
  <si>
    <t>CRS01-S2-P2</t>
  </si>
  <si>
    <t>Data Structures 2</t>
  </si>
  <si>
    <t>CRS01-S2-P3</t>
  </si>
  <si>
    <t>DBMS 2</t>
  </si>
  <si>
    <t>CRS01-S2-P4</t>
  </si>
  <si>
    <t>Operating Systems 2</t>
  </si>
  <si>
    <t>CRS01-S2-P5</t>
  </si>
  <si>
    <t>Networks 2</t>
  </si>
  <si>
    <t>CRS01-S3-P1</t>
  </si>
  <si>
    <t>Programming 3</t>
  </si>
  <si>
    <t>CRS01-S3-P2</t>
  </si>
  <si>
    <t>Data Structures 3</t>
  </si>
  <si>
    <t>CRS01-S3-P3</t>
  </si>
  <si>
    <t>DBMS 3</t>
  </si>
  <si>
    <t>CRS01-S3-P4</t>
  </si>
  <si>
    <t>Operating Systems 3</t>
  </si>
  <si>
    <t>CRS01-S3-P5</t>
  </si>
  <si>
    <t>Networks 3</t>
  </si>
  <si>
    <t>CRS01-S4-P1</t>
  </si>
  <si>
    <t>Programming 4</t>
  </si>
  <si>
    <t>CRS01-S4-P2</t>
  </si>
  <si>
    <t>Data Structures 4</t>
  </si>
  <si>
    <t>CRS01-S4-P3</t>
  </si>
  <si>
    <t>DBMS 4</t>
  </si>
  <si>
    <t>CRS01-S4-P4</t>
  </si>
  <si>
    <t>Operating Systems 4</t>
  </si>
  <si>
    <t>CRS01-S4-P5</t>
  </si>
  <si>
    <t>Networks 4</t>
  </si>
  <si>
    <t>CRS01-S5-P1</t>
  </si>
  <si>
    <t>Programming 5</t>
  </si>
  <si>
    <t>CRS01-S5-P2</t>
  </si>
  <si>
    <t>Data Structures 5</t>
  </si>
  <si>
    <t>CRS01-S5-P3</t>
  </si>
  <si>
    <t>DBMS 5</t>
  </si>
  <si>
    <t>CRS01-S5-P4</t>
  </si>
  <si>
    <t>Operating Systems 5</t>
  </si>
  <si>
    <t>CRS01-S5-P5</t>
  </si>
  <si>
    <t>Networks 5</t>
  </si>
  <si>
    <t>CRS01-S6-P1</t>
  </si>
  <si>
    <t>Programming 6</t>
  </si>
  <si>
    <t>CRS01-S6-P2</t>
  </si>
  <si>
    <t>Data Structures 6</t>
  </si>
  <si>
    <t>CRS01-S6-P3</t>
  </si>
  <si>
    <t>DBMS 6</t>
  </si>
  <si>
    <t>CRS01-S6-P4</t>
  </si>
  <si>
    <t>Operating Systems 6</t>
  </si>
  <si>
    <t>CRS01-S6-P5</t>
  </si>
  <si>
    <t>Networks 6</t>
  </si>
  <si>
    <t>CRS02-S1-P1</t>
  </si>
  <si>
    <t>Accounting 1</t>
  </si>
  <si>
    <t>CRS02-S1-P2</t>
  </si>
  <si>
    <t>Business Law 1</t>
  </si>
  <si>
    <t>CRS02-S1-P3</t>
  </si>
  <si>
    <t>Economics 1</t>
  </si>
  <si>
    <t>CRS02-S1-P4</t>
  </si>
  <si>
    <t>Taxation 1</t>
  </si>
  <si>
    <t>CRS02-S1-P5</t>
  </si>
  <si>
    <t>Auditing 1</t>
  </si>
  <si>
    <t>CRS02-S2-P1</t>
  </si>
  <si>
    <t>Accounting 2</t>
  </si>
  <si>
    <t>CRS02-S2-P2</t>
  </si>
  <si>
    <t>Business Law 2</t>
  </si>
  <si>
    <t>CRS02-S2-P3</t>
  </si>
  <si>
    <t>Economics 2</t>
  </si>
  <si>
    <t>CRS02-S2-P4</t>
  </si>
  <si>
    <t>Taxation 2</t>
  </si>
  <si>
    <t>CRS02-S2-P5</t>
  </si>
  <si>
    <t>Auditing 2</t>
  </si>
  <si>
    <t>CRS02-S3-P1</t>
  </si>
  <si>
    <t>Accounting 3</t>
  </si>
  <si>
    <t>CRS02-S3-P2</t>
  </si>
  <si>
    <t>Business Law 3</t>
  </si>
  <si>
    <t>CRS02-S3-P3</t>
  </si>
  <si>
    <t>Economics 3</t>
  </si>
  <si>
    <t>CRS02-S3-P4</t>
  </si>
  <si>
    <t>Taxation 3</t>
  </si>
  <si>
    <t>CRS02-S3-P5</t>
  </si>
  <si>
    <t>Auditing 3</t>
  </si>
  <si>
    <t>CRS02-S4-P1</t>
  </si>
  <si>
    <t>Accounting 4</t>
  </si>
  <si>
    <t>CRS02-S4-P2</t>
  </si>
  <si>
    <t>Business Law 4</t>
  </si>
  <si>
    <t>CRS02-S4-P3</t>
  </si>
  <si>
    <t>Economics 4</t>
  </si>
  <si>
    <t>CRS02-S4-P4</t>
  </si>
  <si>
    <t>Taxation 4</t>
  </si>
  <si>
    <t>CRS02-S4-P5</t>
  </si>
  <si>
    <t>Auditing 4</t>
  </si>
  <si>
    <t>CRS02-S5-P1</t>
  </si>
  <si>
    <t>Accounting 5</t>
  </si>
  <si>
    <t>CRS02-S5-P2</t>
  </si>
  <si>
    <t>Business Law 5</t>
  </si>
  <si>
    <t>CRS02-S5-P3</t>
  </si>
  <si>
    <t>Economics 5</t>
  </si>
  <si>
    <t>CRS02-S5-P4</t>
  </si>
  <si>
    <t>Taxation 5</t>
  </si>
  <si>
    <t>CRS02-S5-P5</t>
  </si>
  <si>
    <t>Auditing 5</t>
  </si>
  <si>
    <t>CRS02-S6-P1</t>
  </si>
  <si>
    <t>Accounting 6</t>
  </si>
  <si>
    <t>CRS02-S6-P2</t>
  </si>
  <si>
    <t>Business Law 6</t>
  </si>
  <si>
    <t>CRS02-S6-P3</t>
  </si>
  <si>
    <t>Economics 6</t>
  </si>
  <si>
    <t>CRS02-S6-P4</t>
  </si>
  <si>
    <t>Taxation 6</t>
  </si>
  <si>
    <t>CRS02-S6-P5</t>
  </si>
  <si>
    <t>Auditing 6</t>
  </si>
  <si>
    <t>CRS03-S1-P1</t>
  </si>
  <si>
    <t>English Lit 1</t>
  </si>
  <si>
    <t>CRS03-S1-P2</t>
  </si>
  <si>
    <t>Poetry 1</t>
  </si>
  <si>
    <t>CRS03-S1-P3</t>
  </si>
  <si>
    <t>Drama 1</t>
  </si>
  <si>
    <t>CRS03-S1-P4</t>
  </si>
  <si>
    <t>Prose 1</t>
  </si>
  <si>
    <t>CRS03-S1-P5</t>
  </si>
  <si>
    <t>Linguistics 1</t>
  </si>
  <si>
    <t>CRS03-S2-P1</t>
  </si>
  <si>
    <t>English Lit 2</t>
  </si>
  <si>
    <t>CRS03-S2-P2</t>
  </si>
  <si>
    <t>Poetry 2</t>
  </si>
  <si>
    <t>CRS03-S2-P3</t>
  </si>
  <si>
    <t>Drama 2</t>
  </si>
  <si>
    <t>CRS03-S2-P4</t>
  </si>
  <si>
    <t>Prose 2</t>
  </si>
  <si>
    <t>CRS03-S2-P5</t>
  </si>
  <si>
    <t>Linguistics 2</t>
  </si>
  <si>
    <t>CRS03-S3-P1</t>
  </si>
  <si>
    <t>English Lit 3</t>
  </si>
  <si>
    <t>CRS03-S3-P2</t>
  </si>
  <si>
    <t>Poetry 3</t>
  </si>
  <si>
    <t>CRS03-S3-P3</t>
  </si>
  <si>
    <t>Drama 3</t>
  </si>
  <si>
    <t>CRS03-S3-P4</t>
  </si>
  <si>
    <t>Prose 3</t>
  </si>
  <si>
    <t>CRS03-S3-P5</t>
  </si>
  <si>
    <t>Linguistics 3</t>
  </si>
  <si>
    <t>CRS03-S4-P1</t>
  </si>
  <si>
    <t>English Lit 4</t>
  </si>
  <si>
    <t>CRS03-S4-P2</t>
  </si>
  <si>
    <t>Poetry 4</t>
  </si>
  <si>
    <t>CRS03-S4-P3</t>
  </si>
  <si>
    <t>Drama 4</t>
  </si>
  <si>
    <t>CRS03-S4-P4</t>
  </si>
  <si>
    <t>Prose 4</t>
  </si>
  <si>
    <t>CRS03-S4-P5</t>
  </si>
  <si>
    <t>Linguistics 4</t>
  </si>
  <si>
    <t>CRS03-S5-P1</t>
  </si>
  <si>
    <t>English Lit 5</t>
  </si>
  <si>
    <t>CRS03-S5-P2</t>
  </si>
  <si>
    <t>Poetry 5</t>
  </si>
  <si>
    <t>CRS03-S5-P3</t>
  </si>
  <si>
    <t>Drama 5</t>
  </si>
  <si>
    <t>CRS03-S5-P4</t>
  </si>
  <si>
    <t>Prose 5</t>
  </si>
  <si>
    <t>CRS03-S5-P5</t>
  </si>
  <si>
    <t>Linguistics 5</t>
  </si>
  <si>
    <t>CRS03-S6-P1</t>
  </si>
  <si>
    <t>English Lit 6</t>
  </si>
  <si>
    <t>CRS03-S6-P2</t>
  </si>
  <si>
    <t>Poetry 6</t>
  </si>
  <si>
    <t>CRS03-S6-P3</t>
  </si>
  <si>
    <t>Drama 6</t>
  </si>
  <si>
    <t>CRS03-S6-P4</t>
  </si>
  <si>
    <t>Prose 6</t>
  </si>
  <si>
    <t>CRS03-S6-P5</t>
  </si>
  <si>
    <t>Linguistics 6</t>
  </si>
  <si>
    <t>CRS04-S1-P1</t>
  </si>
  <si>
    <t>Principles of Mgmt 1</t>
  </si>
  <si>
    <t>CRS04-S1-P2</t>
  </si>
  <si>
    <t>Marketing 1</t>
  </si>
  <si>
    <t>CRS04-S1-P3</t>
  </si>
  <si>
    <t>Finance 1</t>
  </si>
  <si>
    <t>CRS04-S1-P4</t>
  </si>
  <si>
    <t>HRM 1</t>
  </si>
  <si>
    <t>CRS04-S1-P5</t>
  </si>
  <si>
    <t>Operations 1</t>
  </si>
  <si>
    <t>CRS04-S2-P1</t>
  </si>
  <si>
    <t>Principles of Mgmt 2</t>
  </si>
  <si>
    <t>CRS04-S2-P2</t>
  </si>
  <si>
    <t>Marketing 2</t>
  </si>
  <si>
    <t>CRS04-S2-P3</t>
  </si>
  <si>
    <t>Finance 2</t>
  </si>
  <si>
    <t>CRS04-S2-P4</t>
  </si>
  <si>
    <t>HRM 2</t>
  </si>
  <si>
    <t>CRS04-S2-P5</t>
  </si>
  <si>
    <t>Operations 2</t>
  </si>
  <si>
    <t>CRS04-S3-P1</t>
  </si>
  <si>
    <t>Principles of Mgmt 3</t>
  </si>
  <si>
    <t>CRS04-S3-P2</t>
  </si>
  <si>
    <t>Marketing 3</t>
  </si>
  <si>
    <t>CRS04-S3-P3</t>
  </si>
  <si>
    <t>Finance 3</t>
  </si>
  <si>
    <t>CRS04-S3-P4</t>
  </si>
  <si>
    <t>HRM 3</t>
  </si>
  <si>
    <t>CRS04-S3-P5</t>
  </si>
  <si>
    <t>Operations 3</t>
  </si>
  <si>
    <t>CRS04-S4-P1</t>
  </si>
  <si>
    <t>Principles of Mgmt 4</t>
  </si>
  <si>
    <t>CRS04-S4-P2</t>
  </si>
  <si>
    <t>Marketing 4</t>
  </si>
  <si>
    <t>CRS04-S4-P3</t>
  </si>
  <si>
    <t>Finance 4</t>
  </si>
  <si>
    <t>CRS04-S4-P4</t>
  </si>
  <si>
    <t>HRM 4</t>
  </si>
  <si>
    <t>CRS04-S4-P5</t>
  </si>
  <si>
    <t>Operations 4</t>
  </si>
  <si>
    <t>CRS04-S5-P1</t>
  </si>
  <si>
    <t>Principles of Mgmt 5</t>
  </si>
  <si>
    <t>CRS04-S5-P2</t>
  </si>
  <si>
    <t>Marketing 5</t>
  </si>
  <si>
    <t>CRS04-S5-P3</t>
  </si>
  <si>
    <t>Finance 5</t>
  </si>
  <si>
    <t>CRS04-S5-P4</t>
  </si>
  <si>
    <t>HRM 5</t>
  </si>
  <si>
    <t>CRS04-S5-P5</t>
  </si>
  <si>
    <t>Operations 5</t>
  </si>
  <si>
    <t>CRS04-S6-P1</t>
  </si>
  <si>
    <t>Principles of Mgmt 6</t>
  </si>
  <si>
    <t>CRS04-S6-P2</t>
  </si>
  <si>
    <t>Marketing 6</t>
  </si>
  <si>
    <t>CRS04-S6-P3</t>
  </si>
  <si>
    <t>Finance 6</t>
  </si>
  <si>
    <t>CRS04-S6-P4</t>
  </si>
  <si>
    <t>HRM 6</t>
  </si>
  <si>
    <t>CRS04-S6-P5</t>
  </si>
  <si>
    <t>Operations 6</t>
  </si>
  <si>
    <t>CRS05-S1-P1</t>
  </si>
  <si>
    <t>Thermodynamics 1</t>
  </si>
  <si>
    <t>CRS05-S1-P2</t>
  </si>
  <si>
    <t>Fluid Mechanics 1</t>
  </si>
  <si>
    <t>CRS05-S1-P3</t>
  </si>
  <si>
    <t>Machine Design 1</t>
  </si>
  <si>
    <t>CRS05-S1-P4</t>
  </si>
  <si>
    <t>Manufacturing 1</t>
  </si>
  <si>
    <t>CRS05-S1-P5</t>
  </si>
  <si>
    <t>Kinematics 1</t>
  </si>
  <si>
    <t>CRS05-S2-P1</t>
  </si>
  <si>
    <t>Thermodynamics 2</t>
  </si>
  <si>
    <t>CRS05-S2-P2</t>
  </si>
  <si>
    <t>Fluid Mechanics 2</t>
  </si>
  <si>
    <t>CRS05-S2-P3</t>
  </si>
  <si>
    <t>Machine Design 2</t>
  </si>
  <si>
    <t>CRS05-S2-P4</t>
  </si>
  <si>
    <t>Manufacturing 2</t>
  </si>
  <si>
    <t>CRS05-S2-P5</t>
  </si>
  <si>
    <t>Kinematics 2</t>
  </si>
  <si>
    <t>CRS05-S3-P1</t>
  </si>
  <si>
    <t>Thermodynamics 3</t>
  </si>
  <si>
    <t>CRS05-S3-P2</t>
  </si>
  <si>
    <t>Fluid Mechanics 3</t>
  </si>
  <si>
    <t>CRS05-S3-P3</t>
  </si>
  <si>
    <t>Machine Design 3</t>
  </si>
  <si>
    <t>CRS05-S3-P4</t>
  </si>
  <si>
    <t>Manufacturing 3</t>
  </si>
  <si>
    <t>CRS05-S3-P5</t>
  </si>
  <si>
    <t>Kinematics 3</t>
  </si>
  <si>
    <t>CRS05-S4-P1</t>
  </si>
  <si>
    <t>Thermodynamics 4</t>
  </si>
  <si>
    <t>CRS05-S4-P2</t>
  </si>
  <si>
    <t>Fluid Mechanics 4</t>
  </si>
  <si>
    <t>CRS05-S4-P3</t>
  </si>
  <si>
    <t>Machine Design 4</t>
  </si>
  <si>
    <t>CRS05-S4-P4</t>
  </si>
  <si>
    <t>Manufacturing 4</t>
  </si>
  <si>
    <t>CRS05-S4-P5</t>
  </si>
  <si>
    <t>Kinematics 4</t>
  </si>
  <si>
    <t>CRS05-S5-P1</t>
  </si>
  <si>
    <t>Thermodynamics 5</t>
  </si>
  <si>
    <t>CRS05-S5-P2</t>
  </si>
  <si>
    <t>Fluid Mechanics 5</t>
  </si>
  <si>
    <t>CRS05-S5-P3</t>
  </si>
  <si>
    <t>Machine Design 5</t>
  </si>
  <si>
    <t>CRS05-S5-P4</t>
  </si>
  <si>
    <t>Manufacturing 5</t>
  </si>
  <si>
    <t>CRS05-S5-P5</t>
  </si>
  <si>
    <t>Kinematics 5</t>
  </si>
  <si>
    <t>CRS05-S6-P1</t>
  </si>
  <si>
    <t>Thermodynamics 6</t>
  </si>
  <si>
    <t>CRS05-S6-P2</t>
  </si>
  <si>
    <t>Fluid Mechanics 6</t>
  </si>
  <si>
    <t>CRS05-S6-P3</t>
  </si>
  <si>
    <t>Machine Design 6</t>
  </si>
  <si>
    <t>CRS05-S6-P4</t>
  </si>
  <si>
    <t>Manufacturing 6</t>
  </si>
  <si>
    <t>CRS05-S6-P5</t>
  </si>
  <si>
    <t>Kinematics 6</t>
  </si>
  <si>
    <t>CRS06-S1-P1</t>
  </si>
  <si>
    <t>Structural Analysis 1</t>
  </si>
  <si>
    <t>CRS06-S1-P2</t>
  </si>
  <si>
    <t>Surveying 1</t>
  </si>
  <si>
    <t>CRS06-S1-P3</t>
  </si>
  <si>
    <t>Geotechnical 1</t>
  </si>
  <si>
    <t>CRS06-S1-P4</t>
  </si>
  <si>
    <t>Hydraulics 1</t>
  </si>
  <si>
    <t>CRS06-S1-P5</t>
  </si>
  <si>
    <t>Concrete Tech 1</t>
  </si>
  <si>
    <t>CRS06-S2-P1</t>
  </si>
  <si>
    <t>Structural Analysis 2</t>
  </si>
  <si>
    <t>CRS06-S2-P2</t>
  </si>
  <si>
    <t>Surveying 2</t>
  </si>
  <si>
    <t>CRS06-S2-P3</t>
  </si>
  <si>
    <t>Geotechnical 2</t>
  </si>
  <si>
    <t>CRS06-S2-P4</t>
  </si>
  <si>
    <t>Hydraulics 2</t>
  </si>
  <si>
    <t>CRS06-S2-P5</t>
  </si>
  <si>
    <t>Concrete Tech 2</t>
  </si>
  <si>
    <t>CRS06-S3-P1</t>
  </si>
  <si>
    <t>Structural Analysis 3</t>
  </si>
  <si>
    <t>CRS06-S3-P2</t>
  </si>
  <si>
    <t>Surveying 3</t>
  </si>
  <si>
    <t>CRS06-S3-P3</t>
  </si>
  <si>
    <t>Geotechnical 3</t>
  </si>
  <si>
    <t>CRS06-S3-P4</t>
  </si>
  <si>
    <t>Hydraulics 3</t>
  </si>
  <si>
    <t>CRS06-S3-P5</t>
  </si>
  <si>
    <t>Concrete Tech 3</t>
  </si>
  <si>
    <t>CRS06-S4-P1</t>
  </si>
  <si>
    <t>Structural Analysis 4</t>
  </si>
  <si>
    <t>CRS06-S4-P2</t>
  </si>
  <si>
    <t>Surveying 4</t>
  </si>
  <si>
    <t>CRS06-S4-P3</t>
  </si>
  <si>
    <t>Geotechnical 4</t>
  </si>
  <si>
    <t>CRS06-S4-P4</t>
  </si>
  <si>
    <t>Hydraulics 4</t>
  </si>
  <si>
    <t>CRS06-S4-P5</t>
  </si>
  <si>
    <t>Concrete Tech 4</t>
  </si>
  <si>
    <t>CRS06-S5-P1</t>
  </si>
  <si>
    <t>Structural Analysis 5</t>
  </si>
  <si>
    <t>CRS06-S5-P2</t>
  </si>
  <si>
    <t>Surveying 5</t>
  </si>
  <si>
    <t>CRS06-S5-P3</t>
  </si>
  <si>
    <t>Geotechnical 5</t>
  </si>
  <si>
    <t>CRS06-S5-P4</t>
  </si>
  <si>
    <t>Hydraulics 5</t>
  </si>
  <si>
    <t>CRS06-S5-P5</t>
  </si>
  <si>
    <t>Concrete Tech 5</t>
  </si>
  <si>
    <t>CRS06-S6-P1</t>
  </si>
  <si>
    <t>Structural Analysis 6</t>
  </si>
  <si>
    <t>CRS06-S6-P2</t>
  </si>
  <si>
    <t>Surveying 6</t>
  </si>
  <si>
    <t>CRS06-S6-P3</t>
  </si>
  <si>
    <t>Geotechnical 6</t>
  </si>
  <si>
    <t>CRS06-S6-P4</t>
  </si>
  <si>
    <t>Hydraulics 6</t>
  </si>
  <si>
    <t>CRS06-S6-P5</t>
  </si>
  <si>
    <t>Concrete Tech 6</t>
  </si>
  <si>
    <t>CRS07-S1-P1</t>
  </si>
  <si>
    <t>Mechanics 1</t>
  </si>
  <si>
    <t>CRS07-S1-P2</t>
  </si>
  <si>
    <t>Electrodynamics 1</t>
  </si>
  <si>
    <t>CRS07-S1-P3</t>
  </si>
  <si>
    <t>Quantum Physics 1</t>
  </si>
  <si>
    <t>CRS07-S1-P4</t>
  </si>
  <si>
    <t>Thermal Physics 1</t>
  </si>
  <si>
    <t>CRS07-S1-P5</t>
  </si>
  <si>
    <t>Solid State 1</t>
  </si>
  <si>
    <t>CRS07-S2-P1</t>
  </si>
  <si>
    <t>Mechanics 2</t>
  </si>
  <si>
    <t>CRS07-S2-P2</t>
  </si>
  <si>
    <t>Electrodynamics 2</t>
  </si>
  <si>
    <t>CRS07-S2-P3</t>
  </si>
  <si>
    <t>Quantum Physics 2</t>
  </si>
  <si>
    <t>CRS07-S2-P4</t>
  </si>
  <si>
    <t>Thermal Physics 2</t>
  </si>
  <si>
    <t>CRS07-S2-P5</t>
  </si>
  <si>
    <t>Solid State 2</t>
  </si>
  <si>
    <t>CRS07-S3-P1</t>
  </si>
  <si>
    <t>Mechanics 3</t>
  </si>
  <si>
    <t>CRS07-S3-P2</t>
  </si>
  <si>
    <t>Electrodynamics 3</t>
  </si>
  <si>
    <t>CRS07-S3-P3</t>
  </si>
  <si>
    <t>Quantum Physics 3</t>
  </si>
  <si>
    <t>CRS07-S3-P4</t>
  </si>
  <si>
    <t>Thermal Physics 3</t>
  </si>
  <si>
    <t>CRS07-S3-P5</t>
  </si>
  <si>
    <t>Solid State 3</t>
  </si>
  <si>
    <t>CRS07-S4-P1</t>
  </si>
  <si>
    <t>Mechanics 4</t>
  </si>
  <si>
    <t>CRS07-S4-P2</t>
  </si>
  <si>
    <t>Electrodynamics 4</t>
  </si>
  <si>
    <t>CRS07-S4-P3</t>
  </si>
  <si>
    <t>Quantum Physics 4</t>
  </si>
  <si>
    <t>CRS07-S4-P4</t>
  </si>
  <si>
    <t>Thermal Physics 4</t>
  </si>
  <si>
    <t>CRS07-S4-P5</t>
  </si>
  <si>
    <t>Solid State 4</t>
  </si>
  <si>
    <t>CRS07-S5-P1</t>
  </si>
  <si>
    <t>Mechanics 5</t>
  </si>
  <si>
    <t>CRS07-S5-P2</t>
  </si>
  <si>
    <t>Electrodynamics 5</t>
  </si>
  <si>
    <t>CRS07-S5-P3</t>
  </si>
  <si>
    <t>Quantum Physics 5</t>
  </si>
  <si>
    <t>CRS07-S5-P4</t>
  </si>
  <si>
    <t>Thermal Physics 5</t>
  </si>
  <si>
    <t>CRS07-S5-P5</t>
  </si>
  <si>
    <t>Solid State 5</t>
  </si>
  <si>
    <t>CRS07-S6-P1</t>
  </si>
  <si>
    <t>Mechanics 6</t>
  </si>
  <si>
    <t>CRS07-S6-P2</t>
  </si>
  <si>
    <t>Electrodynamics 6</t>
  </si>
  <si>
    <t>CRS07-S6-P3</t>
  </si>
  <si>
    <t>Quantum Physics 6</t>
  </si>
  <si>
    <t>CRS07-S6-P4</t>
  </si>
  <si>
    <t>Thermal Physics 6</t>
  </si>
  <si>
    <t>CRS07-S6-P5</t>
  </si>
  <si>
    <t>Solid State 6</t>
  </si>
  <si>
    <t>CRS08-S1-P1</t>
  </si>
  <si>
    <t>Algebra 1</t>
  </si>
  <si>
    <t>CRS08-S1-P2</t>
  </si>
  <si>
    <t>Calculus 1</t>
  </si>
  <si>
    <t>CRS08-S1-P3</t>
  </si>
  <si>
    <t>Probability 1</t>
  </si>
  <si>
    <t>CRS08-S1-P4</t>
  </si>
  <si>
    <t>Statistics 1</t>
  </si>
  <si>
    <t>CRS08-S1-P5</t>
  </si>
  <si>
    <t>Real Analysis 1</t>
  </si>
  <si>
    <t>CRS08-S2-P1</t>
  </si>
  <si>
    <t>Algebra 2</t>
  </si>
  <si>
    <t>CRS08-S2-P2</t>
  </si>
  <si>
    <t>Calculus 2</t>
  </si>
  <si>
    <t>CRS08-S2-P3</t>
  </si>
  <si>
    <t>Probability 2</t>
  </si>
  <si>
    <t>CRS08-S2-P4</t>
  </si>
  <si>
    <t>Statistics 2</t>
  </si>
  <si>
    <t>CRS08-S2-P5</t>
  </si>
  <si>
    <t>Real Analysis 2</t>
  </si>
  <si>
    <t>CRS08-S3-P1</t>
  </si>
  <si>
    <t>Algebra 3</t>
  </si>
  <si>
    <t>CRS08-S3-P2</t>
  </si>
  <si>
    <t>Calculus 3</t>
  </si>
  <si>
    <t>CRS08-S3-P3</t>
  </si>
  <si>
    <t>Probability 3</t>
  </si>
  <si>
    <t>CRS08-S3-P4</t>
  </si>
  <si>
    <t>Statistics 3</t>
  </si>
  <si>
    <t>CRS08-S3-P5</t>
  </si>
  <si>
    <t>Real Analysis 3</t>
  </si>
  <si>
    <t>CRS08-S4-P1</t>
  </si>
  <si>
    <t>Algebra 4</t>
  </si>
  <si>
    <t>CRS08-S4-P2</t>
  </si>
  <si>
    <t>Calculus 4</t>
  </si>
  <si>
    <t>CRS08-S4-P3</t>
  </si>
  <si>
    <t>Probability 4</t>
  </si>
  <si>
    <t>CRS08-S4-P4</t>
  </si>
  <si>
    <t>Statistics 4</t>
  </si>
  <si>
    <t>CRS08-S4-P5</t>
  </si>
  <si>
    <t>Real Analysis 4</t>
  </si>
  <si>
    <t>CRS08-S5-P1</t>
  </si>
  <si>
    <t>Algebra 5</t>
  </si>
  <si>
    <t>CRS08-S5-P2</t>
  </si>
  <si>
    <t>Calculus 5</t>
  </si>
  <si>
    <t>CRS08-S5-P3</t>
  </si>
  <si>
    <t>Probability 5</t>
  </si>
  <si>
    <t>CRS08-S5-P4</t>
  </si>
  <si>
    <t>Statistics 5</t>
  </si>
  <si>
    <t>CRS08-S5-P5</t>
  </si>
  <si>
    <t>Real Analysis 5</t>
  </si>
  <si>
    <t>CRS08-S6-P1</t>
  </si>
  <si>
    <t>Algebra 6</t>
  </si>
  <si>
    <t>CRS08-S6-P2</t>
  </si>
  <si>
    <t>Calculus 6</t>
  </si>
  <si>
    <t>CRS08-S6-P3</t>
  </si>
  <si>
    <t>Probability 6</t>
  </si>
  <si>
    <t>CRS08-S6-P4</t>
  </si>
  <si>
    <t>Statistics 6</t>
  </si>
  <si>
    <t>CRS08-S6-P5</t>
  </si>
  <si>
    <t>Real Analysis 6</t>
  </si>
  <si>
    <t>TotalMarks</t>
  </si>
  <si>
    <t>InternalMarks</t>
  </si>
  <si>
    <t>ExternalMarks</t>
  </si>
  <si>
    <t>Grade</t>
  </si>
  <si>
    <t>Result</t>
  </si>
  <si>
    <t>B</t>
  </si>
  <si>
    <t>Pass</t>
  </si>
  <si>
    <t>D</t>
  </si>
  <si>
    <t>Fail</t>
  </si>
  <si>
    <t>C</t>
  </si>
  <si>
    <t>A</t>
  </si>
  <si>
    <t>O</t>
  </si>
  <si>
    <t>EventID</t>
  </si>
  <si>
    <t>EventName</t>
  </si>
  <si>
    <t>EventType</t>
  </si>
  <si>
    <t>OrganizerType</t>
  </si>
  <si>
    <t>OrganizerName</t>
  </si>
  <si>
    <t>StartDate</t>
  </si>
  <si>
    <t>EndDate</t>
  </si>
  <si>
    <t>Location</t>
  </si>
  <si>
    <t>AcademicYear</t>
  </si>
  <si>
    <t>BudgetINR</t>
  </si>
  <si>
    <t>EVT001</t>
  </si>
  <si>
    <t>Student Association 2025 - North Zone</t>
  </si>
  <si>
    <t>Student Association</t>
  </si>
  <si>
    <t>Internal</t>
  </si>
  <si>
    <t>College Committee</t>
  </si>
  <si>
    <t>City Hospital</t>
  </si>
  <si>
    <t>2024-2025</t>
  </si>
  <si>
    <t>EVT002</t>
  </si>
  <si>
    <t>Eye Camp 2025 - Inter-College</t>
  </si>
  <si>
    <t>Eye Camp</t>
  </si>
  <si>
    <t>Seminar Hall A</t>
  </si>
  <si>
    <t>2025-2026</t>
  </si>
  <si>
    <t>EVT003</t>
  </si>
  <si>
    <t>Student Association 2024 - Annual</t>
  </si>
  <si>
    <t>External</t>
  </si>
  <si>
    <t>Apollo Hospitals</t>
  </si>
  <si>
    <t>Main Auditorium</t>
  </si>
  <si>
    <t>EVT004</t>
  </si>
  <si>
    <t>Sports Meet 2025 - Annual</t>
  </si>
  <si>
    <t>Sports Meet</t>
  </si>
  <si>
    <t>Lions Club</t>
  </si>
  <si>
    <t>Community Center</t>
  </si>
  <si>
    <t>EVT005</t>
  </si>
  <si>
    <t>EVT006</t>
  </si>
  <si>
    <t>Medical Camp 2024 - North Zone</t>
  </si>
  <si>
    <t>Medical Camp</t>
  </si>
  <si>
    <t>EVT007</t>
  </si>
  <si>
    <t>Infosys CSR</t>
  </si>
  <si>
    <t>EVT008</t>
  </si>
  <si>
    <t>Guest Lecture 2024 - North Zone</t>
  </si>
  <si>
    <t>Guest Lecture</t>
  </si>
  <si>
    <t>EVT009</t>
  </si>
  <si>
    <t>Grounds</t>
  </si>
  <si>
    <t>EVT010</t>
  </si>
  <si>
    <t>Culturals 2024 - Inter-College</t>
  </si>
  <si>
    <t>Culturals</t>
  </si>
  <si>
    <t>EVT011</t>
  </si>
  <si>
    <t>Guest Lecture 2025 - Awareness</t>
  </si>
  <si>
    <t>Aravind Eye Care</t>
  </si>
  <si>
    <t>EVT012</t>
  </si>
  <si>
    <t>Guest Lecture 2025 - North Zone</t>
  </si>
  <si>
    <t>EVT013</t>
  </si>
  <si>
    <t>Safety Day 2025 - Inter-College</t>
  </si>
  <si>
    <t>Safety Day</t>
  </si>
  <si>
    <t>TCS Maitree</t>
  </si>
  <si>
    <t>EVT014</t>
  </si>
  <si>
    <t>Tech Fest 2024 - North Zone</t>
  </si>
  <si>
    <t>Tech Fest</t>
  </si>
  <si>
    <t>EVT015</t>
  </si>
  <si>
    <t>Culturals 2025 - Annual</t>
  </si>
  <si>
    <t>EVT016</t>
  </si>
  <si>
    <t>Medical Camp 2024 - Annual</t>
  </si>
  <si>
    <t>EVT017</t>
  </si>
  <si>
    <t>Student Association 2024 - North Zone</t>
  </si>
  <si>
    <t>EVT018</t>
  </si>
  <si>
    <t>EVT019</t>
  </si>
  <si>
    <t>EVT020</t>
  </si>
  <si>
    <t>Guest Lecture 2024 - Awareness</t>
  </si>
  <si>
    <t>EVT021</t>
  </si>
  <si>
    <t>Eye Camp 2024 - Annual</t>
  </si>
  <si>
    <t>Rotary Club</t>
  </si>
  <si>
    <t>EVT022</t>
  </si>
  <si>
    <t>Medical Camp 2025 - Inter-College</t>
  </si>
  <si>
    <t>EVT023</t>
  </si>
  <si>
    <t>EVT024</t>
  </si>
  <si>
    <t>Eye Camp 2024 - North Zone</t>
  </si>
  <si>
    <t>Seminar Hall B</t>
  </si>
  <si>
    <t>EVT025</t>
  </si>
  <si>
    <t>Safety Day 2024 - North Zone</t>
  </si>
  <si>
    <t>EVT026</t>
  </si>
  <si>
    <t>EVT027</t>
  </si>
  <si>
    <t>Tech Fest 2024 - Awareness</t>
  </si>
  <si>
    <t>EVT028</t>
  </si>
  <si>
    <t>EVT029</t>
  </si>
  <si>
    <t>EVT030</t>
  </si>
  <si>
    <t>EVT031</t>
  </si>
  <si>
    <t>Medical Camp 2024 - Inter-College</t>
  </si>
  <si>
    <t>EVT032</t>
  </si>
  <si>
    <t>EVT033</t>
  </si>
  <si>
    <t>Sports Meet 2025 - Awareness</t>
  </si>
  <si>
    <t>EVT034</t>
  </si>
  <si>
    <t>EVT035</t>
  </si>
  <si>
    <t>EVT036</t>
  </si>
  <si>
    <t>Guest Lecture 2025 - Annual</t>
  </si>
  <si>
    <t>EVT037</t>
  </si>
  <si>
    <t>EVT038</t>
  </si>
  <si>
    <t>Student Association 2024 - Awareness</t>
  </si>
  <si>
    <t>EVT039</t>
  </si>
  <si>
    <t>Safety Day 2024 - Annual</t>
  </si>
  <si>
    <t>EVT040</t>
  </si>
  <si>
    <t>Guest Lecture 2024 - Inter-College</t>
  </si>
  <si>
    <t>ParticipantType</t>
  </si>
  <si>
    <t>ParticipantID</t>
  </si>
  <si>
    <t>Role</t>
  </si>
  <si>
    <t>Outcome</t>
  </si>
  <si>
    <t>Student</t>
  </si>
  <si>
    <t>Participant</t>
  </si>
  <si>
    <t>Winner</t>
  </si>
  <si>
    <t>Participation</t>
  </si>
  <si>
    <t>Runner Up</t>
  </si>
  <si>
    <t>Volunteer</t>
  </si>
  <si>
    <t>Organizer</t>
  </si>
  <si>
    <t>NA</t>
  </si>
  <si>
    <t>Best Performance</t>
  </si>
  <si>
    <t>Faculty</t>
  </si>
  <si>
    <t>Judge</t>
  </si>
  <si>
    <t>Coordinator</t>
  </si>
  <si>
    <t>Grand Total</t>
  </si>
  <si>
    <t>Value</t>
  </si>
  <si>
    <t>Student Count</t>
  </si>
  <si>
    <t>Course Name</t>
  </si>
  <si>
    <t>Count of Student</t>
  </si>
  <si>
    <t>Hyderbad</t>
  </si>
  <si>
    <t>Subject Count</t>
  </si>
  <si>
    <t>Faculty Name</t>
  </si>
  <si>
    <t>Faculty ID</t>
  </si>
  <si>
    <t>Faculty count</t>
  </si>
  <si>
    <t>Avg experience Years</t>
  </si>
  <si>
    <t>StudentCount</t>
  </si>
  <si>
    <t>Total Events</t>
  </si>
  <si>
    <t>Event Type</t>
  </si>
  <si>
    <t>Total Budget</t>
  </si>
  <si>
    <t>Total count</t>
  </si>
  <si>
    <t>Count</t>
  </si>
  <si>
    <t>KPI Metric</t>
  </si>
  <si>
    <t>Total Students</t>
  </si>
  <si>
    <t>Total Faculty</t>
  </si>
  <si>
    <t>Pass Count</t>
  </si>
  <si>
    <t>Fail Count</t>
  </si>
  <si>
    <t>Total Participants</t>
  </si>
  <si>
    <t>Average Marks (All Students)</t>
  </si>
  <si>
    <t>Average Faculty Experience (Years)</t>
  </si>
  <si>
    <t>Course</t>
  </si>
  <si>
    <t>Organizer Type</t>
  </si>
  <si>
    <t>Academic Year</t>
  </si>
  <si>
    <t xml:space="preserve"> </t>
  </si>
  <si>
    <t>Average of ExperienceYears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</si>
</sst>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2" fillId="0" borderId="0" xfId="0" applyFon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0" borderId="0" xfId="0" applyAlignment="1">
      <alignment horizontal="left" indent="5"/>
    </xf>
    <xf numFmtId="0" fontId="0" fillId="0" borderId="0" xfId="0" applyAlignment="1">
      <alignment horizontal="left" indent="6"/>
    </xf>
    <xf numFmtId="0" fontId="0" fillId="0" borderId="0" xfId="0" applyAlignment="1">
      <alignment horizontal="left" indent="7"/>
    </xf>
    <xf numFmtId="0" fontId="3" fillId="0" borderId="1" xfId="0" applyFont="1" applyBorder="1" applyAlignment="1">
      <alignment horizontal="center" vertical="top"/>
    </xf>
    <xf numFmtId="0" fontId="3" fillId="0" borderId="2" xfId="0" applyFont="1" applyBorder="1" applyAlignment="1">
      <alignment horizontal="center" vertical="top"/>
    </xf>
    <xf numFmtId="0" fontId="1" fillId="0" borderId="2" xfId="0" applyFont="1" applyBorder="1" applyAlignment="1">
      <alignment horizontal="center" vertical="top"/>
    </xf>
    <xf numFmtId="1" fontId="0" fillId="0" borderId="0" xfId="0" applyNumberFormat="1"/>
    <xf numFmtId="1" fontId="3" fillId="0" borderId="2" xfId="0" applyNumberFormat="1" applyFont="1" applyBorder="1" applyAlignment="1">
      <alignment horizontal="center" vertical="top"/>
    </xf>
  </cellXfs>
  <cellStyles count="1">
    <cellStyle name="Normal" xfId="0" builtinId="0"/>
  </cellStyles>
  <dxfs count="36">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9" Type="http://schemas.openxmlformats.org/officeDocument/2006/relationships/styles" Target="styles.xml"/><Relationship Id="rId21" Type="http://schemas.openxmlformats.org/officeDocument/2006/relationships/worksheet" Target="worksheets/sheet21.xml"/><Relationship Id="rId34" Type="http://schemas.microsoft.com/office/2007/relationships/slicerCache" Target="slicerCaches/slicerCache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microsoft.com/office/2007/relationships/slicerCache" Target="slicerCaches/slicerCache6.xml"/><Relationship Id="rId37" Type="http://schemas.microsoft.com/office/2007/relationships/slicerCache" Target="slicerCaches/slicerCache1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microsoft.com/office/2007/relationships/slicerCache" Target="slicerCaches/slicerCache2.xml"/><Relationship Id="rId36" Type="http://schemas.microsoft.com/office/2007/relationships/slicerCache" Target="slicerCaches/slicerCache10.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1.xml"/><Relationship Id="rId30" Type="http://schemas.microsoft.com/office/2007/relationships/slicerCache" Target="slicerCaches/slicerCache4.xml"/><Relationship Id="rId35" Type="http://schemas.microsoft.com/office/2007/relationships/slicerCache" Target="slicerCaches/slicerCache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microsoft.com/office/2007/relationships/slicerCache" Target="slicerCaches/slicerCache7.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6.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8.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9.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[college_database_student.xlsx]Student Chart!PivotTable1</c:name>
    <c:fmtId val="1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TOTAL STUDENT BY COURSE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'Student 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'Student Chart'!$A$4:$A$12</c:f>
              <c:strCache>
                <c:ptCount val="8"/>
                <c:pt idx="0">
                  <c:v>B.A English</c:v>
                </c:pt>
                <c:pt idx="1">
                  <c:v>B.Com</c:v>
                </c:pt>
                <c:pt idx="2">
                  <c:v>B.Sc Computer Science</c:v>
                </c:pt>
                <c:pt idx="3">
                  <c:v>B.Sc Mathematics</c:v>
                </c:pt>
                <c:pt idx="4">
                  <c:v>B.Sc Physics</c:v>
                </c:pt>
                <c:pt idx="5">
                  <c:v>B.Tech Civil</c:v>
                </c:pt>
                <c:pt idx="6">
                  <c:v>B.Tech Mechanical</c:v>
                </c:pt>
                <c:pt idx="7">
                  <c:v>BBA</c:v>
                </c:pt>
              </c:strCache>
            </c:strRef>
          </c:cat>
          <c:val>
            <c:numRef>
              <c:f>'Student Chart'!$B$4:$B$12</c:f>
              <c:numCache>
                <c:formatCode>General</c:formatCode>
                <c:ptCount val="8"/>
                <c:pt idx="0">
                  <c:v>59</c:v>
                </c:pt>
                <c:pt idx="1">
                  <c:v>69</c:v>
                </c:pt>
                <c:pt idx="2">
                  <c:v>57</c:v>
                </c:pt>
                <c:pt idx="3">
                  <c:v>61</c:v>
                </c:pt>
                <c:pt idx="4">
                  <c:v>64</c:v>
                </c:pt>
                <c:pt idx="5">
                  <c:v>72</c:v>
                </c:pt>
                <c:pt idx="6">
                  <c:v>52</c:v>
                </c:pt>
                <c:pt idx="7">
                  <c:v>66</c:v>
                </c:pt>
              </c:numCache>
            </c:numRef>
          </c:val>
          <c:extLst>
            <c:ext xmlns:c16="http://schemas.microsoft.com/office/drawing/2014/chart" uri="{C3380CC4-5D6E-409C-BE32-E72D297353CC}">
              <c16:uniqueId val="{00000000-F42F-4456-B725-5078C328DCA5}"/>
            </c:ext>
          </c:extLst>
        </c:ser>
        <c:dLbls>
          <c:dLblPos val="ctr"/>
          <c:showLegendKey val="0"/>
          <c:showVal val="1"/>
          <c:showCatName val="0"/>
          <c:showSerName val="0"/>
          <c:showPercent val="0"/>
          <c:showBubbleSize val="0"/>
        </c:dLbls>
        <c:gapWidth val="79"/>
        <c:overlap val="100"/>
        <c:axId val="1580077744"/>
        <c:axId val="1580080240"/>
      </c:barChart>
      <c:catAx>
        <c:axId val="15800777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Course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80080240"/>
        <c:crosses val="autoZero"/>
        <c:auto val="1"/>
        <c:lblAlgn val="ctr"/>
        <c:lblOffset val="100"/>
        <c:noMultiLvlLbl val="0"/>
      </c:catAx>
      <c:valAx>
        <c:axId val="1580080240"/>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Total Student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80077744"/>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TOTAL STUDENT BY VALUE</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pieChart>
        <c:varyColors val="1"/>
        <c:ser>
          <c:idx val="0"/>
          <c:order val="0"/>
          <c:tx>
            <c:strRef>
              <c:f>'Student Chart'!$B$22</c:f>
              <c:strCache>
                <c:ptCount val="1"/>
                <c:pt idx="0">
                  <c:v>Value</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9D8C-4CF6-BB06-7E8B5230E243}"/>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9D8C-4CF6-BB06-7E8B5230E2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'Student Chart'!$A$23:$A$24</c:f>
              <c:strCache>
                <c:ptCount val="2"/>
                <c:pt idx="0">
                  <c:v>Pass</c:v>
                </c:pt>
                <c:pt idx="1">
                  <c:v>Fail</c:v>
                </c:pt>
              </c:strCache>
            </c:strRef>
          </c:cat>
          <c:val>
            <c:numRef>
              <c:f>'Student Chart'!$B$23:$B$24</c:f>
              <c:numCache>
                <c:formatCode>General</c:formatCode>
                <c:ptCount val="2"/>
                <c:pt idx="0">
                  <c:v>1986</c:v>
                </c:pt>
                <c:pt idx="1">
                  <c:v>514</c:v>
                </c:pt>
              </c:numCache>
            </c:numRef>
          </c:val>
          <c:extLst>
            <c:ext xmlns:c16="http://schemas.microsoft.com/office/drawing/2014/chart" uri="{C3380CC4-5D6E-409C-BE32-E72D297353CC}">
              <c16:uniqueId val="{00000000-32F6-4B64-8D51-CEAA9FD79D3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STUDENT BY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'Student Chart'!$A$36</c:f>
              <c:strCache>
                <c:ptCount val="1"/>
                <c:pt idx="0">
                  <c:v>Year</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057-46A0-A9B2-C18B52FF88B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057-46A0-A9B2-C18B52FF88B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057-46A0-A9B2-C18B52FF88B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'Student Chart'!$A$37:$A$39</c:f>
              <c:numCache>
                <c:formatCode>General</c:formatCode>
                <c:ptCount val="3"/>
                <c:pt idx="0">
                  <c:v>1</c:v>
                </c:pt>
                <c:pt idx="1">
                  <c:v>2</c:v>
                </c:pt>
                <c:pt idx="2">
                  <c:v>3</c:v>
                </c:pt>
              </c:numCache>
            </c:numRef>
          </c:val>
          <c:extLst>
            <c:ext xmlns:c16="http://schemas.microsoft.com/office/drawing/2014/chart" uri="{C3380CC4-5D6E-409C-BE32-E72D297353CC}">
              <c16:uniqueId val="{00000000-DE4D-41BF-8D61-7C908C8AEF75}"/>
            </c:ext>
          </c:extLst>
        </c:ser>
        <c:ser>
          <c:idx val="1"/>
          <c:order val="1"/>
          <c:tx>
            <c:strRef>
              <c:f>'Student Chart'!$B$36</c:f>
              <c:strCache>
                <c:ptCount val="1"/>
                <c:pt idx="0">
                  <c:v>Student Count</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057-46A0-A9B2-C18B52FF88B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057-46A0-A9B2-C18B52FF88B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4057-46A0-A9B2-C18B52FF88B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'Student Chart'!$B$37:$B$39</c:f>
              <c:numCache>
                <c:formatCode>General</c:formatCode>
                <c:ptCount val="3"/>
                <c:pt idx="0">
                  <c:v>238</c:v>
                </c:pt>
                <c:pt idx="1">
                  <c:v>137</c:v>
                </c:pt>
                <c:pt idx="2">
                  <c:v>125</c:v>
                </c:pt>
              </c:numCache>
            </c:numRef>
          </c:val>
          <c:extLst>
            <c:ext xmlns:c16="http://schemas.microsoft.com/office/drawing/2014/chart" uri="{C3380CC4-5D6E-409C-BE32-E72D297353CC}">
              <c16:uniqueId val="{00000001-DE4D-41BF-8D61-7C908C8AEF75}"/>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[college_database_student.xlsx]Student Chart!PivotTable5</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a:t>
            </a:r>
            <a:r>
              <a:rPr lang="en-US" baseline="0"/>
              <a:t> student by state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'Student Chart'!$B$53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'Student Chart'!$A$54:$A$62</c:f>
              <c:strCache>
                <c:ptCount val="8"/>
                <c:pt idx="0">
                  <c:v>Delhi</c:v>
                </c:pt>
                <c:pt idx="1">
                  <c:v>Gujarat</c:v>
                </c:pt>
                <c:pt idx="2">
                  <c:v>Karnataka</c:v>
                </c:pt>
                <c:pt idx="3">
                  <c:v>Kerala</c:v>
                </c:pt>
                <c:pt idx="4">
                  <c:v>Maharashtra</c:v>
                </c:pt>
                <c:pt idx="5">
                  <c:v>Tamil Nadu</c:v>
                </c:pt>
                <c:pt idx="6">
                  <c:v>Telangana</c:v>
                </c:pt>
                <c:pt idx="7">
                  <c:v>West Bengal</c:v>
                </c:pt>
              </c:strCache>
            </c:strRef>
          </c:cat>
          <c:val>
            <c:numRef>
              <c:f>'Student Chart'!$B$54:$B$62</c:f>
              <c:numCache>
                <c:formatCode>General</c:formatCode>
                <c:ptCount val="8"/>
                <c:pt idx="0">
                  <c:v>56</c:v>
                </c:pt>
                <c:pt idx="1">
                  <c:v>58</c:v>
                </c:pt>
                <c:pt idx="2">
                  <c:v>53</c:v>
                </c:pt>
                <c:pt idx="3">
                  <c:v>74</c:v>
                </c:pt>
                <c:pt idx="4">
                  <c:v>73</c:v>
                </c:pt>
                <c:pt idx="5">
                  <c:v>67</c:v>
                </c:pt>
                <c:pt idx="6">
                  <c:v>57</c:v>
                </c:pt>
                <c:pt idx="7">
                  <c:v>62</c:v>
                </c:pt>
              </c:numCache>
            </c:numRef>
          </c:val>
          <c:smooth val="0"/>
          <c:extLst>
            <c:ext xmlns:c16="http://schemas.microsoft.com/office/drawing/2014/chart" uri="{C3380CC4-5D6E-409C-BE32-E72D297353CC}">
              <c16:uniqueId val="{00000000-00A1-4343-BCE2-E791B0E09CCA}"/>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40557152"/>
        <c:axId val="2040557984"/>
      </c:lineChart>
      <c:catAx>
        <c:axId val="2040557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040557984"/>
        <c:crosses val="autoZero"/>
        <c:auto val="1"/>
        <c:lblAlgn val="ctr"/>
        <c:lblOffset val="100"/>
        <c:noMultiLvlLbl val="0"/>
      </c:catAx>
      <c:valAx>
        <c:axId val="2040557984"/>
        <c:scaling>
          <c:orientation val="minMax"/>
        </c:scaling>
        <c:delete val="1"/>
        <c:axPos val="l"/>
        <c:numFmt formatCode="General" sourceLinked="1"/>
        <c:majorTickMark val="none"/>
        <c:minorTickMark val="none"/>
        <c:tickLblPos val="nextTo"/>
        <c:crossAx val="204055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STUDENTS BY GENDER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'Student Chart'!$B$71</c:f>
              <c:strCache>
                <c:ptCount val="1"/>
                <c:pt idx="0">
                  <c:v>Count of Student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314-42CA-84B7-6418A94BB47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314-42CA-84B7-6418A94BB47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314-42CA-84B7-6418A94BB47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'Student Chart'!$A$72:$A$74</c:f>
              <c:strCache>
                <c:ptCount val="3"/>
                <c:pt idx="0">
                  <c:v>Male</c:v>
                </c:pt>
                <c:pt idx="1">
                  <c:v>Female</c:v>
                </c:pt>
                <c:pt idx="2">
                  <c:v>Other</c:v>
                </c:pt>
              </c:strCache>
            </c:strRef>
          </c:cat>
          <c:val>
            <c:numRef>
              <c:f>'Student Chart'!$B$72:$B$74</c:f>
              <c:numCache>
                <c:formatCode>General</c:formatCode>
                <c:ptCount val="3"/>
                <c:pt idx="0">
                  <c:v>253</c:v>
                </c:pt>
                <c:pt idx="1">
                  <c:v>241</c:v>
                </c:pt>
                <c:pt idx="2">
                  <c:v>6</c:v>
                </c:pt>
              </c:numCache>
            </c:numRef>
          </c:val>
          <c:extLst>
            <c:ext xmlns:c16="http://schemas.microsoft.com/office/drawing/2014/chart" uri="{C3380CC4-5D6E-409C-BE32-E72D297353CC}">
              <c16:uniqueId val="{00000000-FB1C-4C82-84F1-0829FB68F51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SUBJECT COUNT BY FACULTY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stacked"/>
        <c:varyColors val="0"/>
        <c:ser>
          <c:idx val="0"/>
          <c:order val="0"/>
          <c:tx>
            <c:strRef>
              <c:f>'Faculty chart'!$C$1</c:f>
              <c:strCache>
                <c:ptCount val="1"/>
                <c:pt idx="0">
                  <c:v>Subject Count</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'Faculty chart'!$B$2:$B$21</c:f>
              <c:strCache>
                <c:ptCount val="20"/>
                <c:pt idx="0">
                  <c:v>Harsha Verma</c:v>
                </c:pt>
                <c:pt idx="1">
                  <c:v>Kabir Verma</c:v>
                </c:pt>
                <c:pt idx="2">
                  <c:v>Diya Reddy</c:v>
                </c:pt>
                <c:pt idx="3">
                  <c:v>Ira Banerjee</c:v>
                </c:pt>
                <c:pt idx="4">
                  <c:v>Kabir Banerjee</c:v>
                </c:pt>
                <c:pt idx="5">
                  <c:v>Saanvi Sharma</c:v>
                </c:pt>
                <c:pt idx="6">
                  <c:v>Diya Kumar</c:v>
                </c:pt>
                <c:pt idx="7">
                  <c:v>Kabir Banerjee</c:v>
                </c:pt>
                <c:pt idx="8">
                  <c:v>Sai Patel</c:v>
                </c:pt>
                <c:pt idx="9">
                  <c:v>Sai Sharma</c:v>
                </c:pt>
                <c:pt idx="10">
                  <c:v>Kavya Rao</c:v>
                </c:pt>
                <c:pt idx="11">
                  <c:v>Kavya Reddy</c:v>
                </c:pt>
                <c:pt idx="12">
                  <c:v>Vihaan Nair</c:v>
                </c:pt>
                <c:pt idx="13">
                  <c:v>Pooja Mukherjee</c:v>
                </c:pt>
                <c:pt idx="14">
                  <c:v>Kunal Sharma</c:v>
                </c:pt>
                <c:pt idx="15">
                  <c:v>Priya Nair</c:v>
                </c:pt>
                <c:pt idx="16">
                  <c:v>Rahul Das</c:v>
                </c:pt>
                <c:pt idx="17">
                  <c:v>Rohan Gupta</c:v>
                </c:pt>
                <c:pt idx="18">
                  <c:v>Saanvi Banerjee</c:v>
                </c:pt>
                <c:pt idx="19">
                  <c:v>Diya Nair</c:v>
                </c:pt>
              </c:strCache>
            </c:strRef>
          </c:cat>
          <c:val>
            <c:numRef>
              <c:f>'Faculty chart'!$C$2:$C$21</c:f>
              <c:numCache>
                <c:formatCode>General</c:formatCode>
                <c:ptCount val="20"/>
                <c:pt idx="0">
                  <c:v>11</c:v>
                </c:pt>
                <c:pt idx="1">
                  <c:v>13</c:v>
                </c:pt>
                <c:pt idx="2">
                  <c:v>11</c:v>
                </c:pt>
                <c:pt idx="3">
                  <c:v>21</c:v>
                </c:pt>
                <c:pt idx="4">
                  <c:v>15</c:v>
                </c:pt>
                <c:pt idx="5">
                  <c:v>9</c:v>
                </c:pt>
                <c:pt idx="6">
                  <c:v>14</c:v>
                </c:pt>
                <c:pt idx="7">
                  <c:v>11</c:v>
                </c:pt>
                <c:pt idx="8">
                  <c:v>16</c:v>
                </c:pt>
                <c:pt idx="9">
                  <c:v>16</c:v>
                </c:pt>
                <c:pt idx="10">
                  <c:v>11</c:v>
                </c:pt>
                <c:pt idx="11">
                  <c:v>7</c:v>
                </c:pt>
                <c:pt idx="12">
                  <c:v>9</c:v>
                </c:pt>
                <c:pt idx="13">
                  <c:v>15</c:v>
                </c:pt>
                <c:pt idx="14">
                  <c:v>7</c:v>
                </c:pt>
                <c:pt idx="15">
                  <c:v>11</c:v>
                </c:pt>
                <c:pt idx="16">
                  <c:v>9</c:v>
                </c:pt>
                <c:pt idx="17">
                  <c:v>12</c:v>
                </c:pt>
                <c:pt idx="18">
                  <c:v>15</c:v>
                </c:pt>
                <c:pt idx="19">
                  <c:v>7</c:v>
                </c:pt>
              </c:numCache>
            </c:numRef>
          </c:val>
          <c:extLst>
            <c:ext xmlns:c16="http://schemas.microsoft.com/office/drawing/2014/chart" uri="{C3380CC4-5D6E-409C-BE32-E72D297353CC}">
              <c16:uniqueId val="{00000000-8826-449B-BCF3-2E95F5ACFDBA}"/>
            </c:ext>
          </c:extLst>
        </c:ser>
        <c:dLbls>
          <c:dLblPos val="ctr"/>
          <c:showLegendKey val="0"/>
          <c:showVal val="1"/>
          <c:showCatName val="0"/>
          <c:showSerName val="0"/>
          <c:showPercent val="0"/>
          <c:showBubbleSize val="0"/>
        </c:dLbls>
        <c:gapWidth val="150"/>
        <c:overlap val="100"/>
        <c:axId val="313299936"/>
        <c:axId val="313301600"/>
      </c:barChart>
      <c:catAx>
        <c:axId val="31329993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Faculty Name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13301600"/>
        <c:crosses val="autoZero"/>
        <c:auto val="1"/>
        <c:lblAlgn val="ctr"/>
        <c:lblOffset val="100"/>
        <c:noMultiLvlLbl val="0"/>
      </c:catAx>
      <c:valAx>
        <c:axId val="313301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SUBJECT COUNT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13299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FACULTY</a:t>
            </a:r>
            <a:r>
              <a:rPr lang="en-US" b="1" baseline="0"/>
              <a:t> COUNT BY QUALIFICATION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'Faculty chart'!$B$25</c:f>
              <c:strCache>
                <c:ptCount val="1"/>
                <c:pt idx="0">
                  <c:v>Faculty count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'Faculty chart'!$A$26:$A$32</c:f>
              <c:strCache>
                <c:ptCount val="7"/>
                <c:pt idx="0">
                  <c:v>M.Tech</c:v>
                </c:pt>
                <c:pt idx="1">
                  <c:v>M.A</c:v>
                </c:pt>
                <c:pt idx="2">
                  <c:v>PhD</c:v>
                </c:pt>
                <c:pt idx="3">
                  <c:v>M.Sc</c:v>
                </c:pt>
                <c:pt idx="4">
                  <c:v>M.Phil</c:v>
                </c:pt>
                <c:pt idx="5">
                  <c:v>B.Ed</c:v>
                </c:pt>
                <c:pt idx="6">
                  <c:v>MBA</c:v>
                </c:pt>
              </c:strCache>
            </c:strRef>
          </c:cat>
          <c:val>
            <c:numRef>
              <c:f>'Faculty chart'!$B$26:$B$32</c:f>
              <c:numCache>
                <c:formatCode>General</c:formatCode>
                <c:ptCount val="7"/>
                <c:pt idx="0">
                  <c:v>6</c:v>
                </c:pt>
                <c:pt idx="1">
                  <c:v>1</c:v>
                </c:pt>
                <c:pt idx="2">
                  <c:v>1</c:v>
                </c:pt>
                <c:pt idx="3">
                  <c:v>4</c:v>
                </c:pt>
                <c:pt idx="4">
                  <c:v>2</c:v>
                </c:pt>
                <c:pt idx="5">
                  <c:v>4</c:v>
                </c:pt>
                <c:pt idx="6">
                  <c:v>2</c:v>
                </c:pt>
              </c:numCache>
            </c:numRef>
          </c:val>
          <c:extLst>
            <c:ext xmlns:c16="http://schemas.microsoft.com/office/drawing/2014/chart" uri="{C3380CC4-5D6E-409C-BE32-E72D297353CC}">
              <c16:uniqueId val="{00000000-3A3F-4A38-8457-CA39EDE49205}"/>
            </c:ext>
          </c:extLst>
        </c:ser>
        <c:dLbls>
          <c:showLegendKey val="0"/>
          <c:showVal val="1"/>
          <c:showCatName val="0"/>
          <c:showSerName val="0"/>
          <c:showPercent val="0"/>
          <c:showBubbleSize val="0"/>
        </c:dLbls>
        <c:gapWidth val="150"/>
        <c:shape val="box"/>
        <c:axId val="320139104"/>
        <c:axId val="320154912"/>
        <c:axId val="0"/>
      </c:bar3DChart>
      <c:catAx>
        <c:axId val="3201391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t>Qualification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154912"/>
        <c:crosses val="autoZero"/>
        <c:auto val="1"/>
        <c:lblAlgn val="ctr"/>
        <c:lblOffset val="100"/>
        <c:noMultiLvlLbl val="0"/>
      </c:catAx>
      <c:valAx>
        <c:axId val="3201549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t>Faculty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139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Faculty count by Gender</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'Faculty chart'!$B$44</c:f>
              <c:strCache>
                <c:ptCount val="1"/>
                <c:pt idx="0">
                  <c:v>Faculty count</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4BC-4922-B8EF-BEA6DBED325E}"/>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64BC-4922-B8EF-BEA6DBED325E}"/>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4BC-4922-B8EF-BEA6DBED325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64BC-4922-B8EF-BEA6DBED325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64BC-4922-B8EF-BEA6DBED325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64BC-4922-B8EF-BEA6DBED325E}"/>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'Faculty chart'!$A$45:$A$47</c:f>
              <c:strCache>
                <c:ptCount val="3"/>
                <c:pt idx="0">
                  <c:v>Male</c:v>
                </c:pt>
                <c:pt idx="1">
                  <c:v>Female</c:v>
                </c:pt>
                <c:pt idx="2">
                  <c:v>Other</c:v>
                </c:pt>
              </c:strCache>
            </c:strRef>
          </c:cat>
          <c:val>
            <c:numRef>
              <c:f>'Faculty chart'!$B$45:$B$47</c:f>
              <c:numCache>
                <c:formatCode>General</c:formatCode>
                <c:ptCount val="3"/>
                <c:pt idx="0">
                  <c:v>7</c:v>
                </c:pt>
                <c:pt idx="1">
                  <c:v>10</c:v>
                </c:pt>
                <c:pt idx="2">
                  <c:v>3</c:v>
                </c:pt>
              </c:numCache>
            </c:numRef>
          </c:val>
          <c:extLst>
            <c:ext xmlns:c16="http://schemas.microsoft.com/office/drawing/2014/chart" uri="{C3380CC4-5D6E-409C-BE32-E72D297353CC}">
              <c16:uniqueId val="{00000000-64BC-4922-B8EF-BEA6DBED325E}"/>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STUDENT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'Department &amp; Courses Chart'!$B$25</c:f>
              <c:strCache>
                <c:ptCount val="1"/>
                <c:pt idx="0">
                  <c:v>Student Count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'Department &amp; Courses Chart'!$A$26:$A$33</c:f>
              <c:strCache>
                <c:ptCount val="8"/>
                <c:pt idx="0">
                  <c:v>Computer Science</c:v>
                </c:pt>
                <c:pt idx="1">
                  <c:v>Commerce</c:v>
                </c:pt>
                <c:pt idx="2">
                  <c:v>Humanities</c:v>
                </c:pt>
                <c:pt idx="3">
                  <c:v>Management</c:v>
                </c:pt>
                <c:pt idx="4">
                  <c:v>Mechanical Engg</c:v>
                </c:pt>
                <c:pt idx="5">
                  <c:v>Civil Engg</c:v>
                </c:pt>
                <c:pt idx="6">
                  <c:v>Physics</c:v>
                </c:pt>
                <c:pt idx="7">
                  <c:v>Mathematics</c:v>
                </c:pt>
              </c:strCache>
            </c:strRef>
          </c:cat>
          <c:val>
            <c:numRef>
              <c:f>'Department &amp; Courses Chart'!$B$26:$B$33</c:f>
              <c:numCache>
                <c:formatCode>0</c:formatCode>
                <c:ptCount val="8"/>
                <c:pt idx="0">
                  <c:v>57</c:v>
                </c:pt>
                <c:pt idx="1">
                  <c:v>69</c:v>
                </c:pt>
                <c:pt idx="2">
                  <c:v>59</c:v>
                </c:pt>
                <c:pt idx="3">
                  <c:v>66</c:v>
                </c:pt>
                <c:pt idx="4">
                  <c:v>52</c:v>
                </c:pt>
                <c:pt idx="5">
                  <c:v>72</c:v>
                </c:pt>
                <c:pt idx="6">
                  <c:v>64</c:v>
                </c:pt>
                <c:pt idx="7">
                  <c:v>61</c:v>
                </c:pt>
              </c:numCache>
            </c:numRef>
          </c:val>
          <c:extLst>
            <c:ext xmlns:c16="http://schemas.microsoft.com/office/drawing/2014/chart" uri="{C3380CC4-5D6E-409C-BE32-E72D297353CC}">
              <c16:uniqueId val="{00000000-EE80-4AB2-9C04-5E38BCE557FB}"/>
            </c:ext>
          </c:extLst>
        </c:ser>
        <c:dLbls>
          <c:showLegendKey val="0"/>
          <c:showVal val="1"/>
          <c:showCatName val="0"/>
          <c:showSerName val="0"/>
          <c:showPercent val="0"/>
          <c:showBubbleSize val="0"/>
        </c:dLbls>
        <c:gapWidth val="150"/>
        <c:shape val="box"/>
        <c:axId val="283455184"/>
        <c:axId val="283453104"/>
        <c:axId val="0"/>
      </c:bar3DChart>
      <c:catAx>
        <c:axId val="28345518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Departmnet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3453104"/>
        <c:crosses val="autoZero"/>
        <c:auto val="1"/>
        <c:lblAlgn val="ctr"/>
        <c:lblOffset val="100"/>
        <c:noMultiLvlLbl val="0"/>
      </c:catAx>
      <c:valAx>
        <c:axId val="283453104"/>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Total</a:t>
                </a:r>
                <a:r>
                  <a:rPr lang="en-IN" baseline="0"/>
                  <a:t> Studnet</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345518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Student</a:t>
            </a:r>
            <a:r>
              <a:rPr lang="en-US" baseline="0"/>
              <a:t> by course</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'Department &amp; Courses Chart'!$B$42</c:f>
              <c:strCache>
                <c:ptCount val="1"/>
                <c:pt idx="0">
                  <c:v>StudentCount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'Department &amp; Courses Chart'!$A$43:$A$50</c:f>
              <c:strCache>
                <c:ptCount val="8"/>
                <c:pt idx="0">
                  <c:v>B.Sc Computer Science</c:v>
                </c:pt>
                <c:pt idx="1">
                  <c:v>B.Com</c:v>
                </c:pt>
                <c:pt idx="2">
                  <c:v>B.A English</c:v>
                </c:pt>
                <c:pt idx="3">
                  <c:v>BBA</c:v>
                </c:pt>
                <c:pt idx="4">
                  <c:v>B.Tech Mechanical</c:v>
                </c:pt>
                <c:pt idx="5">
                  <c:v>B.Tech Civil</c:v>
                </c:pt>
                <c:pt idx="6">
                  <c:v>B.Sc Physics</c:v>
                </c:pt>
                <c:pt idx="7">
                  <c:v>B.Sc Mathematics</c:v>
                </c:pt>
              </c:strCache>
            </c:strRef>
          </c:cat>
          <c:val>
            <c:numRef>
              <c:f>'Department &amp; Courses Chart'!$B$43:$B$50</c:f>
              <c:numCache>
                <c:formatCode>0</c:formatCode>
                <c:ptCount val="8"/>
                <c:pt idx="0">
                  <c:v>57</c:v>
                </c:pt>
                <c:pt idx="1">
                  <c:v>69</c:v>
                </c:pt>
                <c:pt idx="2">
                  <c:v>59</c:v>
                </c:pt>
                <c:pt idx="3">
                  <c:v>66</c:v>
                </c:pt>
                <c:pt idx="4">
                  <c:v>52</c:v>
                </c:pt>
                <c:pt idx="5">
                  <c:v>72</c:v>
                </c:pt>
                <c:pt idx="6">
                  <c:v>64</c:v>
                </c:pt>
                <c:pt idx="7">
                  <c:v>61</c:v>
                </c:pt>
              </c:numCache>
            </c:numRef>
          </c:val>
          <c:extLst>
            <c:ext xmlns:c16="http://schemas.microsoft.com/office/drawing/2014/chart" uri="{C3380CC4-5D6E-409C-BE32-E72D297353CC}">
              <c16:uniqueId val="{00000000-C072-4BBF-9CD7-0B129F09B46D}"/>
            </c:ext>
          </c:extLst>
        </c:ser>
        <c:dLbls>
          <c:dLblPos val="ctr"/>
          <c:showLegendKey val="0"/>
          <c:showVal val="1"/>
          <c:showCatName val="0"/>
          <c:showSerName val="0"/>
          <c:showPercent val="0"/>
          <c:showBubbleSize val="0"/>
        </c:dLbls>
        <c:gapWidth val="79"/>
        <c:overlap val="100"/>
        <c:axId val="486748480"/>
        <c:axId val="486731840"/>
      </c:barChart>
      <c:catAx>
        <c:axId val="48674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86731840"/>
        <c:crosses val="autoZero"/>
        <c:auto val="1"/>
        <c:lblAlgn val="ctr"/>
        <c:lblOffset val="100"/>
        <c:noMultiLvlLbl val="0"/>
      </c:catAx>
      <c:valAx>
        <c:axId val="486731840"/>
        <c:scaling>
          <c:orientation val="minMax"/>
        </c:scaling>
        <c:delete val="1"/>
        <c:axPos val="b"/>
        <c:numFmt formatCode="0" sourceLinked="1"/>
        <c:majorTickMark val="none"/>
        <c:minorTickMark val="none"/>
        <c:tickLblPos val="nextTo"/>
        <c:crossAx val="486748480"/>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Result</a:t>
            </a:r>
            <a:r>
              <a:rPr lang="en-IN" baseline="0"/>
              <a:t> by department</a:t>
            </a:r>
            <a:endParaRPr lang="en-IN"/>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lotArea>
      <c:layout/>
      <c:lineChart>
        <c:grouping val="standard"/>
        <c:varyColors val="0"/>
        <c:ser>
          <c:idx val="0"/>
          <c:order val="0"/>
          <c:tx>
            <c:strRef>
              <c:f>'Department &amp; Courses Chart'!$B$57</c:f>
              <c:strCache>
                <c:ptCount val="1"/>
                <c:pt idx="0">
                  <c:v>Pass</c:v>
                </c:pt>
              </c:strCache>
            </c:strRef>
          </c:tx>
          <c:spPr>
            <a:ln w="38100" cap="flat" cmpd="dbl" algn="ctr">
              <a:solidFill>
                <a:schemeClr val="accent1"/>
              </a:solidFill>
              <a:miter lim="800000"/>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'Department &amp; Courses Chart'!$A$58:$A$65</c:f>
              <c:strCache>
                <c:ptCount val="8"/>
                <c:pt idx="0">
                  <c:v>Computer Science</c:v>
                </c:pt>
                <c:pt idx="1">
                  <c:v>Commerce</c:v>
                </c:pt>
                <c:pt idx="2">
                  <c:v>Humanities</c:v>
                </c:pt>
                <c:pt idx="3">
                  <c:v>Management</c:v>
                </c:pt>
                <c:pt idx="4">
                  <c:v>Mechanical Engg</c:v>
                </c:pt>
                <c:pt idx="5">
                  <c:v>Civil Engg</c:v>
                </c:pt>
                <c:pt idx="6">
                  <c:v>Physics</c:v>
                </c:pt>
                <c:pt idx="7">
                  <c:v>Mathematics</c:v>
                </c:pt>
              </c:strCache>
            </c:strRef>
          </c:cat>
          <c:val>
            <c:numRef>
              <c:f>'Department &amp; Courses Chart'!$B$58:$B$65</c:f>
              <c:numCache>
                <c:formatCode>0</c:formatCode>
                <c:ptCount val="8"/>
                <c:pt idx="0">
                  <c:v>230</c:v>
                </c:pt>
                <c:pt idx="1">
                  <c:v>278</c:v>
                </c:pt>
                <c:pt idx="2">
                  <c:v>238</c:v>
                </c:pt>
                <c:pt idx="3">
                  <c:v>268</c:v>
                </c:pt>
                <c:pt idx="4">
                  <c:v>206</c:v>
                </c:pt>
                <c:pt idx="5">
                  <c:v>279</c:v>
                </c:pt>
                <c:pt idx="6">
                  <c:v>253</c:v>
                </c:pt>
                <c:pt idx="7">
                  <c:v>234</c:v>
                </c:pt>
              </c:numCache>
            </c:numRef>
          </c:val>
          <c:smooth val="0"/>
          <c:extLst>
            <c:ext xmlns:c16="http://schemas.microsoft.com/office/drawing/2014/chart" uri="{C3380CC4-5D6E-409C-BE32-E72D297353CC}">
              <c16:uniqueId val="{00000000-7D4C-47F4-AE8F-50A58F10EE11}"/>
            </c:ext>
          </c:extLst>
        </c:ser>
        <c:ser>
          <c:idx val="1"/>
          <c:order val="1"/>
          <c:tx>
            <c:strRef>
              <c:f>'Department &amp; Courses Chart'!$C$57</c:f>
              <c:strCache>
                <c:ptCount val="1"/>
                <c:pt idx="0">
                  <c:v>Fail</c:v>
                </c:pt>
              </c:strCache>
            </c:strRef>
          </c:tx>
          <c:spPr>
            <a:ln w="38100" cap="flat" cmpd="dbl" algn="ctr">
              <a:solidFill>
                <a:schemeClr val="accent2"/>
              </a:solidFill>
              <a:miter lim="800000"/>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'Department &amp; Courses Chart'!$A$58:$A$65</c:f>
              <c:strCache>
                <c:ptCount val="8"/>
                <c:pt idx="0">
                  <c:v>Computer Science</c:v>
                </c:pt>
                <c:pt idx="1">
                  <c:v>Commerce</c:v>
                </c:pt>
                <c:pt idx="2">
                  <c:v>Humanities</c:v>
                </c:pt>
                <c:pt idx="3">
                  <c:v>Management</c:v>
                </c:pt>
                <c:pt idx="4">
                  <c:v>Mechanical Engg</c:v>
                </c:pt>
                <c:pt idx="5">
                  <c:v>Civil Engg</c:v>
                </c:pt>
                <c:pt idx="6">
                  <c:v>Physics</c:v>
                </c:pt>
                <c:pt idx="7">
                  <c:v>Mathematics</c:v>
                </c:pt>
              </c:strCache>
            </c:strRef>
          </c:cat>
          <c:val>
            <c:numRef>
              <c:f>'Department &amp; Courses Chart'!$C$58:$C$65</c:f>
              <c:numCache>
                <c:formatCode>General</c:formatCode>
                <c:ptCount val="8"/>
                <c:pt idx="0">
                  <c:v>55</c:v>
                </c:pt>
                <c:pt idx="1">
                  <c:v>67</c:v>
                </c:pt>
                <c:pt idx="2">
                  <c:v>57</c:v>
                </c:pt>
                <c:pt idx="3">
                  <c:v>62</c:v>
                </c:pt>
                <c:pt idx="4">
                  <c:v>54</c:v>
                </c:pt>
                <c:pt idx="5">
                  <c:v>81</c:v>
                </c:pt>
                <c:pt idx="6">
                  <c:v>67</c:v>
                </c:pt>
                <c:pt idx="7">
                  <c:v>71</c:v>
                </c:pt>
              </c:numCache>
            </c:numRef>
          </c:val>
          <c:smooth val="0"/>
          <c:extLst>
            <c:ext xmlns:c16="http://schemas.microsoft.com/office/drawing/2014/chart" uri="{C3380CC4-5D6E-409C-BE32-E72D297353CC}">
              <c16:uniqueId val="{00000001-7D4C-47F4-AE8F-50A58F10EE11}"/>
            </c:ext>
          </c:extLst>
        </c:ser>
        <c:dLbls>
          <c:dLblPos val="ctr"/>
          <c:showLegendKey val="0"/>
          <c:showVal val="1"/>
          <c:showCatName val="0"/>
          <c:showSerName val="0"/>
          <c:showPercent val="0"/>
          <c:showBubbleSize val="0"/>
        </c:dLbls>
        <c:smooth val="0"/>
        <c:axId val="317000736"/>
        <c:axId val="317008640"/>
      </c:lineChart>
      <c:catAx>
        <c:axId val="317000736"/>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008640"/>
        <c:crosses val="autoZero"/>
        <c:auto val="1"/>
        <c:lblAlgn val="ctr"/>
        <c:lblOffset val="100"/>
        <c:noMultiLvlLbl val="0"/>
      </c:catAx>
      <c:valAx>
        <c:axId val="317008640"/>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0007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[college_database_student.xlsx]Event Chart!PivotTable22</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Events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'Event Chart'!$B$4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'Event Chart'!$A$5:$A$13</c:f>
              <c:strCache>
                <c:ptCount val="8"/>
                <c:pt idx="0">
                  <c:v>Culturals</c:v>
                </c:pt>
                <c:pt idx="1">
                  <c:v>Eye Camp</c:v>
                </c:pt>
                <c:pt idx="2">
                  <c:v>Guest Lecture</c:v>
                </c:pt>
                <c:pt idx="3">
                  <c:v>Medical Camp</c:v>
                </c:pt>
                <c:pt idx="4">
                  <c:v>Safety Day</c:v>
                </c:pt>
                <c:pt idx="5">
                  <c:v>Sports Meet</c:v>
                </c:pt>
                <c:pt idx="6">
                  <c:v>Student Association</c:v>
                </c:pt>
                <c:pt idx="7">
                  <c:v>Tech Fest</c:v>
                </c:pt>
              </c:strCache>
            </c:strRef>
          </c:cat>
          <c:val>
            <c:numRef>
              <c:f>'Event Chart'!$B$5:$B$13</c:f>
              <c:numCache>
                <c:formatCode>General</c:formatCode>
                <c:ptCount val="8"/>
                <c:pt idx="0">
                  <c:v>3</c:v>
                </c:pt>
                <c:pt idx="1">
                  <c:v>4</c:v>
                </c:pt>
                <c:pt idx="2">
                  <c:v>8</c:v>
                </c:pt>
                <c:pt idx="3">
                  <c:v>8</c:v>
                </c:pt>
                <c:pt idx="4">
                  <c:v>3</c:v>
                </c:pt>
                <c:pt idx="5">
                  <c:v>3</c:v>
                </c:pt>
                <c:pt idx="6">
                  <c:v>8</c:v>
                </c:pt>
                <c:pt idx="7">
                  <c:v>3</c:v>
                </c:pt>
              </c:numCache>
            </c:numRef>
          </c:val>
          <c:extLst>
            <c:ext xmlns:c16="http://schemas.microsoft.com/office/drawing/2014/chart" uri="{C3380CC4-5D6E-409C-BE32-E72D297353CC}">
              <c16:uniqueId val="{00000000-4A50-4569-8467-96E365763BCF}"/>
            </c:ext>
          </c:extLst>
        </c:ser>
        <c:dLbls>
          <c:showLegendKey val="0"/>
          <c:showVal val="1"/>
          <c:showCatName val="0"/>
          <c:showSerName val="0"/>
          <c:showPercent val="0"/>
          <c:showBubbleSize val="0"/>
        </c:dLbls>
        <c:gapWidth val="79"/>
        <c:shape val="box"/>
        <c:axId val="283463088"/>
        <c:axId val="283475984"/>
        <c:axId val="0"/>
      </c:bar3DChart>
      <c:catAx>
        <c:axId val="283463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83475984"/>
        <c:crosses val="autoZero"/>
        <c:auto val="1"/>
        <c:lblAlgn val="ctr"/>
        <c:lblOffset val="100"/>
        <c:noMultiLvlLbl val="0"/>
      </c:catAx>
      <c:valAx>
        <c:axId val="283475984"/>
        <c:scaling>
          <c:orientation val="minMax"/>
        </c:scaling>
        <c:delete val="1"/>
        <c:axPos val="l"/>
        <c:numFmt formatCode="General" sourceLinked="1"/>
        <c:majorTickMark val="none"/>
        <c:minorTickMark val="none"/>
        <c:tickLblPos val="nextTo"/>
        <c:crossAx val="28346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TOTAL BUDGET BY ACADEMIC YEAR</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'Event Chart'!$B$21</c:f>
              <c:strCache>
                <c:ptCount val="1"/>
                <c:pt idx="0">
                  <c:v>Total Budget</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'Event Chart'!$A$22:$A$23</c:f>
              <c:strCache>
                <c:ptCount val="2"/>
                <c:pt idx="0">
                  <c:v>2024-2025</c:v>
                </c:pt>
                <c:pt idx="1">
                  <c:v>2025-2026</c:v>
                </c:pt>
              </c:strCache>
            </c:strRef>
          </c:cat>
          <c:val>
            <c:numRef>
              <c:f>'Event Chart'!$B$22:$B$23</c:f>
              <c:numCache>
                <c:formatCode>General</c:formatCode>
                <c:ptCount val="2"/>
                <c:pt idx="0">
                  <c:v>2522304</c:v>
                </c:pt>
                <c:pt idx="1">
                  <c:v>934894</c:v>
                </c:pt>
              </c:numCache>
            </c:numRef>
          </c:val>
          <c:extLst>
            <c:ext xmlns:c16="http://schemas.microsoft.com/office/drawing/2014/chart" uri="{C3380CC4-5D6E-409C-BE32-E72D297353CC}">
              <c16:uniqueId val="{00000000-48BB-4BF3-B989-12910C358045}"/>
            </c:ext>
          </c:extLst>
        </c:ser>
        <c:dLbls>
          <c:showLegendKey val="0"/>
          <c:showVal val="0"/>
          <c:showCatName val="0"/>
          <c:showSerName val="0"/>
          <c:showPercent val="0"/>
          <c:showBubbleSize val="0"/>
        </c:dLbls>
        <c:gapWidth val="80"/>
        <c:overlap val="25"/>
        <c:axId val="481559488"/>
        <c:axId val="481570720"/>
      </c:barChart>
      <c:catAx>
        <c:axId val="48155948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81570720"/>
        <c:crosses val="autoZero"/>
        <c:auto val="1"/>
        <c:lblAlgn val="ctr"/>
        <c:lblOffset val="100"/>
        <c:noMultiLvlLbl val="0"/>
      </c:catAx>
      <c:valAx>
        <c:axId val="48157072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81559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TOTAL</a:t>
            </a:r>
            <a:r>
              <a:rPr lang="en-US" baseline="0"/>
              <a:t> COUNT BY ORGANIZER</a:t>
            </a:r>
            <a:endParaRPr lang="en-US"/>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pieChart>
        <c:varyColors val="1"/>
        <c:ser>
          <c:idx val="0"/>
          <c:order val="0"/>
          <c:tx>
            <c:strRef>
              <c:f>'Event Chart'!$B$38</c:f>
              <c:strCache>
                <c:ptCount val="1"/>
                <c:pt idx="0">
                  <c:v>Total count</c:v>
                </c:pt>
              </c:strCache>
            </c:strRef>
          </c:tx>
          <c:dPt>
            <c:idx val="0"/>
            <c:bubble3D val="0"/>
            <c:spPr>
              <a:gradFill>
                <a:gsLst>
                  <a:gs pos="100000">
                    <a:schemeClr val="accent4">
                      <a:tint val="77000"/>
                      <a:lumMod val="60000"/>
                      <a:lumOff val="40000"/>
                    </a:schemeClr>
                  </a:gs>
                  <a:gs pos="0">
                    <a:schemeClr val="accent4">
                      <a:tint val="77000"/>
                    </a:schemeClr>
                  </a:gs>
                </a:gsLst>
                <a:lin ang="5400000" scaled="0"/>
              </a:gradFill>
              <a:ln w="19050">
                <a:solidFill>
                  <a:schemeClr val="lt1"/>
                </a:solidFill>
              </a:ln>
              <a:effectLst/>
            </c:spPr>
            <c:extLst>
              <c:ext xmlns:c16="http://schemas.microsoft.com/office/drawing/2014/chart" uri="{C3380CC4-5D6E-409C-BE32-E72D297353CC}">
                <c16:uniqueId val="{00000001-E557-4FF7-9AA6-D4DEFBEFB443}"/>
              </c:ext>
            </c:extLst>
          </c:dPt>
          <c:dPt>
            <c:idx val="1"/>
            <c:bubble3D val="0"/>
            <c:spPr>
              <a:gradFill>
                <a:gsLst>
                  <a:gs pos="100000">
                    <a:schemeClr val="accent4">
                      <a:shade val="76000"/>
                      <a:lumMod val="60000"/>
                      <a:lumOff val="40000"/>
                    </a:schemeClr>
                  </a:gs>
                  <a:gs pos="0">
                    <a:schemeClr val="accent4">
                      <a:shade val="76000"/>
                    </a:schemeClr>
                  </a:gs>
                </a:gsLst>
                <a:lin ang="5400000" scaled="0"/>
              </a:gradFill>
              <a:ln w="19050">
                <a:solidFill>
                  <a:schemeClr val="lt1"/>
                </a:solidFill>
              </a:ln>
              <a:effectLst/>
            </c:spPr>
            <c:extLst>
              <c:ext xmlns:c16="http://schemas.microsoft.com/office/drawing/2014/chart" uri="{C3380CC4-5D6E-409C-BE32-E72D297353CC}">
                <c16:uniqueId val="{00000003-E557-4FF7-9AA6-D4DEFBEFB4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'Event Chart'!$A$39:$A$40</c:f>
              <c:strCache>
                <c:ptCount val="2"/>
                <c:pt idx="0">
                  <c:v>Internal</c:v>
                </c:pt>
                <c:pt idx="1">
                  <c:v>External</c:v>
                </c:pt>
              </c:strCache>
            </c:strRef>
          </c:cat>
          <c:val>
            <c:numRef>
              <c:f>'Event Chart'!$B$39:$B$40</c:f>
              <c:numCache>
                <c:formatCode>General</c:formatCode>
                <c:ptCount val="2"/>
                <c:pt idx="0">
                  <c:v>21</c:v>
                </c:pt>
                <c:pt idx="1">
                  <c:v>19</c:v>
                </c:pt>
              </c:numCache>
            </c:numRef>
          </c:val>
          <c:extLst>
            <c:ext xmlns:c16="http://schemas.microsoft.com/office/drawing/2014/chart" uri="{C3380CC4-5D6E-409C-BE32-E72D297353CC}">
              <c16:uniqueId val="{00000000-DC4A-40BA-86B4-3F5ED6E7E1A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EVENTS PARTICIPANTS OUTCOMES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'Event Chart'!$B$55</c:f>
              <c:strCache>
                <c:ptCount val="1"/>
                <c:pt idx="0">
                  <c:v>Count</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'Event Chart'!$A$56:$A$59</c:f>
              <c:strCache>
                <c:ptCount val="4"/>
                <c:pt idx="0">
                  <c:v>Winner</c:v>
                </c:pt>
                <c:pt idx="1">
                  <c:v>Participation</c:v>
                </c:pt>
                <c:pt idx="2">
                  <c:v>Runner Up</c:v>
                </c:pt>
                <c:pt idx="3">
                  <c:v>Best Performance</c:v>
                </c:pt>
              </c:strCache>
            </c:strRef>
          </c:cat>
          <c:val>
            <c:numRef>
              <c:f>'Event Chart'!$B$56:$B$59</c:f>
              <c:numCache>
                <c:formatCode>General</c:formatCode>
                <c:ptCount val="4"/>
                <c:pt idx="0">
                  <c:v>523</c:v>
                </c:pt>
                <c:pt idx="1">
                  <c:v>492</c:v>
                </c:pt>
                <c:pt idx="2">
                  <c:v>528</c:v>
                </c:pt>
                <c:pt idx="3">
                  <c:v>521</c:v>
                </c:pt>
              </c:numCache>
            </c:numRef>
          </c:val>
          <c:extLst>
            <c:ext xmlns:c16="http://schemas.microsoft.com/office/drawing/2014/chart" uri="{C3380CC4-5D6E-409C-BE32-E72D297353CC}">
              <c16:uniqueId val="{00000000-25E0-43E8-8BBF-42B59E31018E}"/>
            </c:ext>
          </c:extLst>
        </c:ser>
        <c:dLbls>
          <c:showLegendKey val="0"/>
          <c:showVal val="1"/>
          <c:showCatName val="0"/>
          <c:showSerName val="0"/>
          <c:showPercent val="0"/>
          <c:showBubbleSize val="0"/>
        </c:dLbls>
        <c:gapWidth val="150"/>
        <c:shape val="box"/>
        <c:axId val="283453936"/>
        <c:axId val="283452272"/>
        <c:axId val="0"/>
      </c:bar3DChart>
      <c:catAx>
        <c:axId val="283453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3452272"/>
        <c:crosses val="autoZero"/>
        <c:auto val="1"/>
        <c:lblAlgn val="ctr"/>
        <c:lblOffset val="100"/>
        <c:noMultiLvlLbl val="0"/>
      </c:catAx>
      <c:valAx>
        <c:axId val="28345227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345393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[college_database_student.xlsx]Pivot Student!PivotTable5</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TOTAL STUDENTS BY COURSE</a:t>
            </a:r>
          </a:p>
        </c:rich>
      </c:tx>
      <c:layout>
        <c:manualLayout>
          <c:xMode val="edge"/>
          <c:yMode val="edge"/>
          <c:x val="0.19354616855338994"/>
          <c:y val="0.1224214417590286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Student'!$E$3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Student'!$D$4:$D$12</c:f>
              <c:strCache>
                <c:ptCount val="8"/>
                <c:pt idx="0">
                  <c:v>B.A English</c:v>
                </c:pt>
                <c:pt idx="1">
                  <c:v>B.Com</c:v>
                </c:pt>
                <c:pt idx="2">
                  <c:v>B.Sc Computer Science</c:v>
                </c:pt>
                <c:pt idx="3">
                  <c:v>B.Sc Mathematics</c:v>
                </c:pt>
                <c:pt idx="4">
                  <c:v>B.Sc Physics</c:v>
                </c:pt>
                <c:pt idx="5">
                  <c:v>B.Tech Civil</c:v>
                </c:pt>
                <c:pt idx="6">
                  <c:v>B.Tech Mechanical</c:v>
                </c:pt>
                <c:pt idx="7">
                  <c:v>BBA</c:v>
                </c:pt>
              </c:strCache>
            </c:strRef>
          </c:cat>
          <c:val>
            <c:numRef>
              <c:f>'Pivot Student'!$E$4:$E$12</c:f>
              <c:numCache>
                <c:formatCode>General</c:formatCode>
                <c:ptCount val="8"/>
                <c:pt idx="0">
                  <c:v>59</c:v>
                </c:pt>
                <c:pt idx="1">
                  <c:v>69</c:v>
                </c:pt>
                <c:pt idx="2">
                  <c:v>57</c:v>
                </c:pt>
                <c:pt idx="3">
                  <c:v>61</c:v>
                </c:pt>
                <c:pt idx="4">
                  <c:v>64</c:v>
                </c:pt>
                <c:pt idx="5">
                  <c:v>72</c:v>
                </c:pt>
                <c:pt idx="6">
                  <c:v>52</c:v>
                </c:pt>
                <c:pt idx="7">
                  <c:v>66</c:v>
                </c:pt>
              </c:numCache>
            </c:numRef>
          </c:val>
          <c:extLst>
            <c:ext xmlns:c16="http://schemas.microsoft.com/office/drawing/2014/chart" uri="{C3380CC4-5D6E-409C-BE32-E72D297353CC}">
              <c16:uniqueId val="{00000000-5719-478A-B970-5C9E742F7065}"/>
            </c:ext>
          </c:extLst>
        </c:ser>
        <c:dLbls>
          <c:dLblPos val="outEnd"/>
          <c:showLegendKey val="0"/>
          <c:showVal val="1"/>
          <c:showCatName val="0"/>
          <c:showSerName val="0"/>
          <c:showPercent val="0"/>
          <c:showBubbleSize val="0"/>
        </c:dLbls>
        <c:gapWidth val="100"/>
        <c:overlap val="-24"/>
        <c:axId val="709213167"/>
        <c:axId val="709212687"/>
      </c:barChart>
      <c:catAx>
        <c:axId val="7092131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9212687"/>
        <c:crosses val="autoZero"/>
        <c:auto val="1"/>
        <c:lblAlgn val="ctr"/>
        <c:lblOffset val="100"/>
        <c:noMultiLvlLbl val="0"/>
      </c:catAx>
      <c:valAx>
        <c:axId val="7092126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921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[college_database_student.xlsx]Pivot Student!PivotTable7</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TOTAL</a:t>
            </a:r>
            <a:r>
              <a:rPr lang="en-US" sz="1400" baseline="0"/>
              <a:t> STUDENTS BY GENDER</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Student'!$H$3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C5C-42AE-85B5-3447F1425CB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C5C-42AE-85B5-3447F1425CB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C5C-42AE-85B5-3447F1425CB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Student'!$G$4:$G$7</c:f>
              <c:strCache>
                <c:ptCount val="3"/>
                <c:pt idx="0">
                  <c:v>Female</c:v>
                </c:pt>
                <c:pt idx="1">
                  <c:v>Male</c:v>
                </c:pt>
                <c:pt idx="2">
                  <c:v>Other</c:v>
                </c:pt>
              </c:strCache>
            </c:strRef>
          </c:cat>
          <c:val>
            <c:numRef>
              <c:f>'Pivot Student'!$H$4:$H$7</c:f>
              <c:numCache>
                <c:formatCode>General</c:formatCode>
                <c:ptCount val="3"/>
                <c:pt idx="0">
                  <c:v>241</c:v>
                </c:pt>
                <c:pt idx="1">
                  <c:v>253</c:v>
                </c:pt>
                <c:pt idx="2">
                  <c:v>6</c:v>
                </c:pt>
              </c:numCache>
            </c:numRef>
          </c:val>
          <c:extLst>
            <c:ext xmlns:c16="http://schemas.microsoft.com/office/drawing/2014/chart" uri="{C3380CC4-5D6E-409C-BE32-E72D297353CC}">
              <c16:uniqueId val="{00000006-0C5C-42AE-85B5-3447F1425CB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[college_database_student.xlsx]Pivot Student!PivotTable6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STUDENTS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Student'!$K$3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B43-459C-B557-B49656CE44E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B43-459C-B557-B49656CE44E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B43-459C-B557-B49656CE44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Student'!$J$4:$J$7</c:f>
              <c:strCache>
                <c:ptCount val="3"/>
                <c:pt idx="0">
                  <c:v>1</c:v>
                </c:pt>
                <c:pt idx="1">
                  <c:v>2</c:v>
                </c:pt>
                <c:pt idx="2">
                  <c:v>3</c:v>
                </c:pt>
              </c:strCache>
            </c:strRef>
          </c:cat>
          <c:val>
            <c:numRef>
              <c:f>'Pivot Student'!$K$4:$K$7</c:f>
              <c:numCache>
                <c:formatCode>General</c:formatCode>
                <c:ptCount val="3"/>
                <c:pt idx="0">
                  <c:v>238</c:v>
                </c:pt>
                <c:pt idx="1">
                  <c:v>137</c:v>
                </c:pt>
                <c:pt idx="2">
                  <c:v>125</c:v>
                </c:pt>
              </c:numCache>
            </c:numRef>
          </c:val>
          <c:extLst>
            <c:ext xmlns:c16="http://schemas.microsoft.com/office/drawing/2014/chart" uri="{C3380CC4-5D6E-409C-BE32-E72D297353CC}">
              <c16:uniqueId val="{00000006-FB43-459C-B557-B49656CE44E2}"/>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[college_database_student.xlsx]Pivot Student!PivotTable4</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a:t>Total STUNDENTS</a:t>
            </a:r>
            <a:r>
              <a:rPr lang="en-US" sz="1400" baseline="0"/>
              <a:t> BY STATE</a:t>
            </a:r>
            <a:endParaRPr lang="en-US" sz="1400"/>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dk1">
                <a:tint val="88500"/>
              </a:schemeClr>
            </a:fgClr>
            <a:bgClr>
              <a:schemeClr val="lt1"/>
            </a:bgClr>
          </a:pattFill>
          <a:ln w="25400" cap="rnd">
            <a:solidFill>
              <a:schemeClr val="lt1"/>
            </a:solidFill>
            <a:round/>
          </a:ln>
          <a:effectLst>
            <a:outerShdw dist="25400" dir="2700000" algn="tl" rotWithShape="0">
              <a:schemeClr val="dk1">
                <a:tint val="88500"/>
              </a:schemeClr>
            </a:outerShdw>
          </a:effectLst>
        </c:spPr>
        <c:marker>
          <c:symbol val="circle"/>
          <c:size val="14"/>
          <c:spPr>
            <a:solidFill>
              <a:schemeClr val="dk1">
                <a:tint val="88500"/>
              </a:schemeClr>
            </a:solidFill>
            <a:ln>
              <a:noFill/>
            </a:ln>
            <a:effectLst/>
          </c:spPr>
        </c:marker>
        <c:dLbl>
          <c:idx val="0"/>
          <c:spPr>
            <a:solidFill>
              <a:sysClr val="windowText" lastClr="000000">
                <a:tint val="88500"/>
              </a:sys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dk1">
                <a:tint val="88500"/>
              </a:schemeClr>
            </a:fgClr>
            <a:bgClr>
              <a:schemeClr val="lt1"/>
            </a:bgClr>
          </a:pattFill>
          <a:ln w="25400" cap="rnd">
            <a:solidFill>
              <a:schemeClr val="lt1"/>
            </a:solidFill>
            <a:round/>
          </a:ln>
          <a:effectLst>
            <a:outerShdw dist="25400" dir="2700000" algn="tl" rotWithShape="0">
              <a:schemeClr val="dk1">
                <a:tint val="88500"/>
              </a:schemeClr>
            </a:outerShdw>
          </a:effectLst>
        </c:spPr>
        <c:marker>
          <c:symbol val="circle"/>
          <c:size val="14"/>
          <c:spPr>
            <a:solidFill>
              <a:schemeClr val="dk1">
                <a:tint val="88500"/>
              </a:schemeClr>
            </a:solidFill>
            <a:ln>
              <a:noFill/>
            </a:ln>
            <a:effectLst/>
          </c:spPr>
        </c:marker>
        <c:dLbl>
          <c:idx val="0"/>
          <c:spPr>
            <a:solidFill>
              <a:sysClr val="windowText" lastClr="000000">
                <a:tint val="88500"/>
              </a:sys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dk1">
                <a:tint val="88500"/>
              </a:schemeClr>
            </a:outerShdw>
          </a:effectLst>
        </c:spPr>
        <c:marker>
          <c:symbol val="circle"/>
          <c:size val="14"/>
          <c:spPr>
            <a:solidFill>
              <a:schemeClr val="dk1">
                <a:tint val="88500"/>
              </a:schemeClr>
            </a:solidFill>
            <a:ln>
              <a:noFill/>
            </a:ln>
            <a:effectLst/>
          </c:spPr>
        </c:marker>
        <c:dLbl>
          <c:idx val="0"/>
          <c:spPr>
            <a:solidFill>
              <a:sysClr val="windowText" lastClr="000000">
                <a:tint val="88500"/>
              </a:sys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Student'!$B$3</c:f>
              <c:strCache>
                <c:ptCount val="1"/>
                <c:pt idx="0">
                  <c:v>Total</c:v>
                </c:pt>
              </c:strCache>
            </c:strRef>
          </c:tx>
          <c:spPr>
            <a:ln w="25400" cap="rnd">
              <a:solidFill>
                <a:schemeClr val="lt1"/>
              </a:solidFill>
              <a:round/>
            </a:ln>
            <a:effectLst>
              <a:outerShdw dist="25400" dir="2700000" algn="tl" rotWithShape="0">
                <a:schemeClr val="dk1">
                  <a:tint val="88500"/>
                </a:schemeClr>
              </a:outerShdw>
            </a:effectLst>
          </c:spPr>
          <c:marker>
            <c:symbol val="circle"/>
            <c:size val="14"/>
            <c:spPr>
              <a:solidFill>
                <a:schemeClr val="dk1">
                  <a:tint val="88500"/>
                </a:schemeClr>
              </a:solidFill>
              <a:ln>
                <a:noFill/>
              </a:ln>
              <a:effectLst/>
            </c:spPr>
          </c:marker>
          <c:dLbls>
            <c:spPr>
              <a:solidFill>
                <a:sysClr val="windowText" lastClr="000000">
                  <a:tint val="88500"/>
                </a:sys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'Pivot Student'!$A$4:$A$12</c:f>
              <c:strCache>
                <c:ptCount val="8"/>
                <c:pt idx="0">
                  <c:v>Delhi</c:v>
                </c:pt>
                <c:pt idx="1">
                  <c:v>Gujarat</c:v>
                </c:pt>
                <c:pt idx="2">
                  <c:v>Karnataka</c:v>
                </c:pt>
                <c:pt idx="3">
                  <c:v>Kerala</c:v>
                </c:pt>
                <c:pt idx="4">
                  <c:v>Maharashtra</c:v>
                </c:pt>
                <c:pt idx="5">
                  <c:v>Tamil Nadu</c:v>
                </c:pt>
                <c:pt idx="6">
                  <c:v>Telangana</c:v>
                </c:pt>
                <c:pt idx="7">
                  <c:v>West Bengal</c:v>
                </c:pt>
              </c:strCache>
            </c:strRef>
          </c:cat>
          <c:val>
            <c:numRef>
              <c:f>'Pivot Student'!$B$4:$B$12</c:f>
              <c:numCache>
                <c:formatCode>General</c:formatCode>
                <c:ptCount val="8"/>
                <c:pt idx="0">
                  <c:v>56</c:v>
                </c:pt>
                <c:pt idx="1">
                  <c:v>58</c:v>
                </c:pt>
                <c:pt idx="2">
                  <c:v>53</c:v>
                </c:pt>
                <c:pt idx="3">
                  <c:v>74</c:v>
                </c:pt>
                <c:pt idx="4">
                  <c:v>73</c:v>
                </c:pt>
                <c:pt idx="5">
                  <c:v>67</c:v>
                </c:pt>
                <c:pt idx="6">
                  <c:v>57</c:v>
                </c:pt>
                <c:pt idx="7">
                  <c:v>62</c:v>
                </c:pt>
              </c:numCache>
            </c:numRef>
          </c:val>
          <c:smooth val="0"/>
          <c:extLst>
            <c:ext xmlns:c16="http://schemas.microsoft.com/office/drawing/2014/chart" uri="{C3380CC4-5D6E-409C-BE32-E72D297353CC}">
              <c16:uniqueId val="{00000000-A9A5-405F-A28B-34B251D24A4A}"/>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5873183"/>
        <c:axId val="135865983"/>
      </c:lineChart>
      <c:catAx>
        <c:axId val="135873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35865983"/>
        <c:crosses val="autoZero"/>
        <c:auto val="1"/>
        <c:lblAlgn val="ctr"/>
        <c:lblOffset val="100"/>
        <c:noMultiLvlLbl val="0"/>
      </c:catAx>
      <c:valAx>
        <c:axId val="135865983"/>
        <c:scaling>
          <c:orientation val="minMax"/>
        </c:scaling>
        <c:delete val="1"/>
        <c:axPos val="l"/>
        <c:numFmt formatCode="General" sourceLinked="1"/>
        <c:majorTickMark val="none"/>
        <c:minorTickMark val="none"/>
        <c:tickLblPos val="nextTo"/>
        <c:crossAx val="13587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[college_database_student.xlsx]Faculty Pivot!PivotTable1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TOTAL</a:t>
            </a:r>
            <a:r>
              <a:rPr lang="en-US" sz="1400" baseline="0"/>
              <a:t> FACULTY BY GENDER</a:t>
            </a:r>
            <a:endParaRPr lang="en-US"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'Faculty Pivot'!$B$3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69B-483D-9071-A2CB13B59D9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69B-483D-9071-A2CB13B59D9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69B-483D-9071-A2CB13B59D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'Faculty Pivot'!$A$4:$A$7</c:f>
              <c:strCache>
                <c:ptCount val="3"/>
                <c:pt idx="0">
                  <c:v>Female</c:v>
                </c:pt>
                <c:pt idx="1">
                  <c:v>Male</c:v>
                </c:pt>
                <c:pt idx="2">
                  <c:v>Other</c:v>
                </c:pt>
              </c:strCache>
            </c:strRef>
          </c:cat>
          <c:val>
            <c:numRef>
              <c:f>'Faculty Pivot'!$B$4:$B$7</c:f>
              <c:numCache>
                <c:formatCode>General</c:formatCode>
                <c:ptCount val="3"/>
                <c:pt idx="0">
                  <c:v>10</c:v>
                </c:pt>
                <c:pt idx="1">
                  <c:v>7</c:v>
                </c:pt>
                <c:pt idx="2">
                  <c:v>3</c:v>
                </c:pt>
              </c:numCache>
            </c:numRef>
          </c:val>
          <c:extLst>
            <c:ext xmlns:c16="http://schemas.microsoft.com/office/drawing/2014/chart" uri="{C3380CC4-5D6E-409C-BE32-E72D297353CC}">
              <c16:uniqueId val="{00000006-669B-483D-9071-A2CB13B59D9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[college_database_student.xlsx]Faculty Pivot!PivotTable2</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FACULTY</a:t>
            </a:r>
            <a:r>
              <a:rPr lang="en-US" sz="1400" baseline="0"/>
              <a:t> COUNT BY QUALIFICATION</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'Faculty Pivot'!$E$3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'Faculty Pivot'!$D$4:$D$11</c:f>
              <c:strCache>
                <c:ptCount val="7"/>
                <c:pt idx="0">
                  <c:v>B.Ed</c:v>
                </c:pt>
                <c:pt idx="1">
                  <c:v>M.A</c:v>
                </c:pt>
                <c:pt idx="2">
                  <c:v>M.Phil</c:v>
                </c:pt>
                <c:pt idx="3">
                  <c:v>M.Sc</c:v>
                </c:pt>
                <c:pt idx="4">
                  <c:v>M.Tech</c:v>
                </c:pt>
                <c:pt idx="5">
                  <c:v>MBA</c:v>
                </c:pt>
                <c:pt idx="6">
                  <c:v>PhD</c:v>
                </c:pt>
              </c:strCache>
            </c:strRef>
          </c:cat>
          <c:val>
            <c:numRef>
              <c:f>'Faculty Pivot'!$E$4:$E$11</c:f>
              <c:numCache>
                <c:formatCode>General</c:formatCode>
                <c:ptCount val="7"/>
                <c:pt idx="0">
                  <c:v>4</c:v>
                </c:pt>
                <c:pt idx="1">
                  <c:v>1</c:v>
                </c:pt>
                <c:pt idx="2">
                  <c:v>2</c:v>
                </c:pt>
                <c:pt idx="3">
                  <c:v>4</c:v>
                </c:pt>
                <c:pt idx="4">
                  <c:v>6</c:v>
                </c:pt>
                <c:pt idx="5">
                  <c:v>2</c:v>
                </c:pt>
                <c:pt idx="6">
                  <c:v>1</c:v>
                </c:pt>
              </c:numCache>
            </c:numRef>
          </c:val>
          <c:extLst>
            <c:ext xmlns:c16="http://schemas.microsoft.com/office/drawing/2014/chart" uri="{C3380CC4-5D6E-409C-BE32-E72D297353CC}">
              <c16:uniqueId val="{00000000-E2B8-4AB1-95D8-1BAE8D42A0E0}"/>
            </c:ext>
          </c:extLst>
        </c:ser>
        <c:dLbls>
          <c:dLblPos val="inEnd"/>
          <c:showLegendKey val="0"/>
          <c:showVal val="1"/>
          <c:showCatName val="0"/>
          <c:showSerName val="0"/>
          <c:showPercent val="0"/>
          <c:showBubbleSize val="0"/>
        </c:dLbls>
        <c:gapWidth val="150"/>
        <c:overlap val="100"/>
        <c:axId val="261784351"/>
        <c:axId val="261785791"/>
      </c:barChart>
      <c:catAx>
        <c:axId val="261784351"/>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61785791"/>
        <c:crosses val="autoZero"/>
        <c:auto val="1"/>
        <c:lblAlgn val="ctr"/>
        <c:lblOffset val="100"/>
        <c:noMultiLvlLbl val="0"/>
      </c:catAx>
      <c:valAx>
        <c:axId val="26178579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6178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[college_database_student.xlsx]Faculty Pivot!PivotTable3</c:name>
    <c:fmtId val="5"/>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t>TOTAL</a:t>
            </a:r>
            <a:r>
              <a:rPr lang="en-US" b="1" baseline="0"/>
              <a:t> FACULTY BY STATE</a:t>
            </a:r>
            <a:endParaRPr lang="en-US" b="1"/>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'Faculty Pivot'!$H$3</c:f>
              <c:strCache>
                <c:ptCount val="1"/>
                <c:pt idx="0">
                  <c:v>Total</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'Faculty Pivot'!$G$4:$G$12</c:f>
              <c:strCache>
                <c:ptCount val="8"/>
                <c:pt idx="0">
                  <c:v>Delhi</c:v>
                </c:pt>
                <c:pt idx="1">
                  <c:v>Gujarat</c:v>
                </c:pt>
                <c:pt idx="2">
                  <c:v>Karnataka</c:v>
                </c:pt>
                <c:pt idx="3">
                  <c:v>Kerala</c:v>
                </c:pt>
                <c:pt idx="4">
                  <c:v>Maharashtra</c:v>
                </c:pt>
                <c:pt idx="5">
                  <c:v>Tamil Nadu</c:v>
                </c:pt>
                <c:pt idx="6">
                  <c:v>Telangana</c:v>
                </c:pt>
                <c:pt idx="7">
                  <c:v>West Bengal</c:v>
                </c:pt>
              </c:strCache>
            </c:strRef>
          </c:cat>
          <c:val>
            <c:numRef>
              <c:f>'Faculty Pivot'!$H$4:$H$12</c:f>
              <c:numCache>
                <c:formatCode>General</c:formatCode>
                <c:ptCount val="8"/>
                <c:pt idx="0">
                  <c:v>1</c:v>
                </c:pt>
                <c:pt idx="1">
                  <c:v>3</c:v>
                </c:pt>
                <c:pt idx="2">
                  <c:v>1</c:v>
                </c:pt>
                <c:pt idx="3">
                  <c:v>2</c:v>
                </c:pt>
                <c:pt idx="4">
                  <c:v>3</c:v>
                </c:pt>
                <c:pt idx="5">
                  <c:v>5</c:v>
                </c:pt>
                <c:pt idx="6">
                  <c:v>2</c:v>
                </c:pt>
                <c:pt idx="7">
                  <c:v>3</c:v>
                </c:pt>
              </c:numCache>
            </c:numRef>
          </c:val>
          <c:smooth val="0"/>
          <c:extLst>
            <c:ext xmlns:c16="http://schemas.microsoft.com/office/drawing/2014/chart" uri="{C3380CC4-5D6E-409C-BE32-E72D297353CC}">
              <c16:uniqueId val="{00000000-E2B1-4E63-95DA-BA688F8B7F68}"/>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12246943"/>
        <c:axId val="2012245503"/>
      </c:lineChart>
      <c:catAx>
        <c:axId val="201224694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12245503"/>
        <c:crosses val="autoZero"/>
        <c:auto val="1"/>
        <c:lblAlgn val="ctr"/>
        <c:lblOffset val="100"/>
        <c:noMultiLvlLbl val="0"/>
      </c:catAx>
      <c:valAx>
        <c:axId val="201224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12246943"/>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Result</a:t>
            </a:r>
            <a:r>
              <a:rPr lang="en-IN" baseline="0"/>
              <a:t> by department</a:t>
            </a:r>
            <a:endParaRPr lang="en-IN"/>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lotArea>
      <c:layout/>
      <c:lineChart>
        <c:grouping val="standard"/>
        <c:varyColors val="0"/>
        <c:ser>
          <c:idx val="0"/>
          <c:order val="0"/>
          <c:tx>
            <c:strRef>
              <c:f>'Department &amp; Courses Chart'!$B$57</c:f>
              <c:strCache>
                <c:ptCount val="1"/>
                <c:pt idx="0">
                  <c:v>Pass</c:v>
                </c:pt>
              </c:strCache>
            </c:strRef>
          </c:tx>
          <c:spPr>
            <a:ln w="38100" cap="flat" cmpd="dbl" algn="ctr">
              <a:solidFill>
                <a:schemeClr val="accent1"/>
              </a:solidFill>
              <a:miter lim="800000"/>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'Department &amp; Courses Chart'!$A$58:$A$65</c:f>
              <c:strCache>
                <c:ptCount val="8"/>
                <c:pt idx="0">
                  <c:v>Computer Science</c:v>
                </c:pt>
                <c:pt idx="1">
                  <c:v>Commerce</c:v>
                </c:pt>
                <c:pt idx="2">
                  <c:v>Humanities</c:v>
                </c:pt>
                <c:pt idx="3">
                  <c:v>Management</c:v>
                </c:pt>
                <c:pt idx="4">
                  <c:v>Mechanical Engg</c:v>
                </c:pt>
                <c:pt idx="5">
                  <c:v>Civil Engg</c:v>
                </c:pt>
                <c:pt idx="6">
                  <c:v>Physics</c:v>
                </c:pt>
                <c:pt idx="7">
                  <c:v>Mathematics</c:v>
                </c:pt>
              </c:strCache>
            </c:strRef>
          </c:cat>
          <c:val>
            <c:numRef>
              <c:f>'Department &amp; Courses Chart'!$B$58:$B$65</c:f>
              <c:numCache>
                <c:formatCode>0</c:formatCode>
                <c:ptCount val="8"/>
                <c:pt idx="0">
                  <c:v>230</c:v>
                </c:pt>
                <c:pt idx="1">
                  <c:v>278</c:v>
                </c:pt>
                <c:pt idx="2">
                  <c:v>238</c:v>
                </c:pt>
                <c:pt idx="3">
                  <c:v>268</c:v>
                </c:pt>
                <c:pt idx="4">
                  <c:v>206</c:v>
                </c:pt>
                <c:pt idx="5">
                  <c:v>279</c:v>
                </c:pt>
                <c:pt idx="6">
                  <c:v>253</c:v>
                </c:pt>
                <c:pt idx="7">
                  <c:v>234</c:v>
                </c:pt>
              </c:numCache>
            </c:numRef>
          </c:val>
          <c:smooth val="0"/>
          <c:extLst>
            <c:ext xmlns:c16="http://schemas.microsoft.com/office/drawing/2014/chart" uri="{C3380CC4-5D6E-409C-BE32-E72D297353CC}">
              <c16:uniqueId val="{00000000-75C1-4B42-A013-CC8C5BE70716}"/>
            </c:ext>
          </c:extLst>
        </c:ser>
        <c:ser>
          <c:idx val="1"/>
          <c:order val="1"/>
          <c:tx>
            <c:strRef>
              <c:f>'Department &amp; Courses Chart'!$C$57</c:f>
              <c:strCache>
                <c:ptCount val="1"/>
                <c:pt idx="0">
                  <c:v>Fail</c:v>
                </c:pt>
              </c:strCache>
            </c:strRef>
          </c:tx>
          <c:spPr>
            <a:ln w="38100" cap="flat" cmpd="dbl" algn="ctr">
              <a:solidFill>
                <a:schemeClr val="accent2"/>
              </a:solidFill>
              <a:miter lim="800000"/>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'Department &amp; Courses Chart'!$A$58:$A$65</c:f>
              <c:strCache>
                <c:ptCount val="8"/>
                <c:pt idx="0">
                  <c:v>Computer Science</c:v>
                </c:pt>
                <c:pt idx="1">
                  <c:v>Commerce</c:v>
                </c:pt>
                <c:pt idx="2">
                  <c:v>Humanities</c:v>
                </c:pt>
                <c:pt idx="3">
                  <c:v>Management</c:v>
                </c:pt>
                <c:pt idx="4">
                  <c:v>Mechanical Engg</c:v>
                </c:pt>
                <c:pt idx="5">
                  <c:v>Civil Engg</c:v>
                </c:pt>
                <c:pt idx="6">
                  <c:v>Physics</c:v>
                </c:pt>
                <c:pt idx="7">
                  <c:v>Mathematics</c:v>
                </c:pt>
              </c:strCache>
            </c:strRef>
          </c:cat>
          <c:val>
            <c:numRef>
              <c:f>'Department &amp; Courses Chart'!$C$58:$C$65</c:f>
              <c:numCache>
                <c:formatCode>General</c:formatCode>
                <c:ptCount val="8"/>
                <c:pt idx="0">
                  <c:v>55</c:v>
                </c:pt>
                <c:pt idx="1">
                  <c:v>67</c:v>
                </c:pt>
                <c:pt idx="2">
                  <c:v>57</c:v>
                </c:pt>
                <c:pt idx="3">
                  <c:v>62</c:v>
                </c:pt>
                <c:pt idx="4">
                  <c:v>54</c:v>
                </c:pt>
                <c:pt idx="5">
                  <c:v>81</c:v>
                </c:pt>
                <c:pt idx="6">
                  <c:v>67</c:v>
                </c:pt>
                <c:pt idx="7">
                  <c:v>71</c:v>
                </c:pt>
              </c:numCache>
            </c:numRef>
          </c:val>
          <c:smooth val="0"/>
          <c:extLst>
            <c:ext xmlns:c16="http://schemas.microsoft.com/office/drawing/2014/chart" uri="{C3380CC4-5D6E-409C-BE32-E72D297353CC}">
              <c16:uniqueId val="{00000001-75C1-4B42-A013-CC8C5BE70716}"/>
            </c:ext>
          </c:extLst>
        </c:ser>
        <c:dLbls>
          <c:dLblPos val="ctr"/>
          <c:showLegendKey val="0"/>
          <c:showVal val="1"/>
          <c:showCatName val="0"/>
          <c:showSerName val="0"/>
          <c:showPercent val="0"/>
          <c:showBubbleSize val="0"/>
        </c:dLbls>
        <c:smooth val="0"/>
        <c:axId val="317000736"/>
        <c:axId val="317008640"/>
      </c:lineChart>
      <c:catAx>
        <c:axId val="317000736"/>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008640"/>
        <c:crosses val="autoZero"/>
        <c:auto val="1"/>
        <c:lblAlgn val="ctr"/>
        <c:lblOffset val="100"/>
        <c:noMultiLvlLbl val="0"/>
      </c:catAx>
      <c:valAx>
        <c:axId val="317008640"/>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0007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[college_database_student.xlsx]Course pivot!PivotTable4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STUDNET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'Course pivot'!$B$17</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'Course pivot'!$A$18:$A$26</c:f>
              <c:strCache>
                <c:ptCount val="8"/>
                <c:pt idx="0">
                  <c:v>Civil Engg</c:v>
                </c:pt>
                <c:pt idx="1">
                  <c:v>Commerce</c:v>
                </c:pt>
                <c:pt idx="2">
                  <c:v>Computer Science</c:v>
                </c:pt>
                <c:pt idx="3">
                  <c:v>Humanities</c:v>
                </c:pt>
                <c:pt idx="4">
                  <c:v>Management</c:v>
                </c:pt>
                <c:pt idx="5">
                  <c:v>Mathematics</c:v>
                </c:pt>
                <c:pt idx="6">
                  <c:v>Mechanical Engg</c:v>
                </c:pt>
                <c:pt idx="7">
                  <c:v>Physics</c:v>
                </c:pt>
              </c:strCache>
            </c:strRef>
          </c:cat>
          <c:val>
            <c:numRef>
              <c:f>'Course pivot'!$B$18:$B$26</c:f>
              <c:numCache>
                <c:formatCode>General</c:formatCode>
                <c:ptCount val="8"/>
                <c:pt idx="0">
                  <c:v>72</c:v>
                </c:pt>
                <c:pt idx="1">
                  <c:v>69</c:v>
                </c:pt>
                <c:pt idx="2">
                  <c:v>57</c:v>
                </c:pt>
                <c:pt idx="3">
                  <c:v>59</c:v>
                </c:pt>
                <c:pt idx="4">
                  <c:v>66</c:v>
                </c:pt>
                <c:pt idx="5">
                  <c:v>61</c:v>
                </c:pt>
                <c:pt idx="6">
                  <c:v>52</c:v>
                </c:pt>
                <c:pt idx="7">
                  <c:v>64</c:v>
                </c:pt>
              </c:numCache>
            </c:numRef>
          </c:val>
          <c:extLst>
            <c:ext xmlns:c16="http://schemas.microsoft.com/office/drawing/2014/chart" uri="{C3380CC4-5D6E-409C-BE32-E72D297353CC}">
              <c16:uniqueId val="{00000000-C5CD-4B21-B676-90D8A8742C24}"/>
            </c:ext>
          </c:extLst>
        </c:ser>
        <c:dLbls>
          <c:dLblPos val="outEnd"/>
          <c:showLegendKey val="0"/>
          <c:showVal val="1"/>
          <c:showCatName val="0"/>
          <c:showSerName val="0"/>
          <c:showPercent val="0"/>
          <c:showBubbleSize val="0"/>
        </c:dLbls>
        <c:gapWidth val="100"/>
        <c:overlap val="-24"/>
        <c:axId val="1321444752"/>
        <c:axId val="1321442352"/>
      </c:barChart>
      <c:catAx>
        <c:axId val="13214447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1442352"/>
        <c:crosses val="autoZero"/>
        <c:auto val="1"/>
        <c:lblAlgn val="ctr"/>
        <c:lblOffset val="100"/>
        <c:noMultiLvlLbl val="0"/>
      </c:catAx>
      <c:valAx>
        <c:axId val="1321442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144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[college_database_student.xlsx]Course pivot!PivotTable5</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STUDNET BY COURSE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'Course pivot'!$E$17</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'Course pivot'!$D$18:$D$26</c:f>
              <c:strCache>
                <c:ptCount val="8"/>
                <c:pt idx="0">
                  <c:v>B.A English</c:v>
                </c:pt>
                <c:pt idx="1">
                  <c:v>B.Com</c:v>
                </c:pt>
                <c:pt idx="2">
                  <c:v>B.Sc Computer Science</c:v>
                </c:pt>
                <c:pt idx="3">
                  <c:v>B.Sc Mathematics</c:v>
                </c:pt>
                <c:pt idx="4">
                  <c:v>B.Sc Physics</c:v>
                </c:pt>
                <c:pt idx="5">
                  <c:v>B.Tech Civil</c:v>
                </c:pt>
                <c:pt idx="6">
                  <c:v>B.Tech Mechanical</c:v>
                </c:pt>
                <c:pt idx="7">
                  <c:v>BBA</c:v>
                </c:pt>
              </c:strCache>
            </c:strRef>
          </c:cat>
          <c:val>
            <c:numRef>
              <c:f>'Course pivot'!$E$18:$E$26</c:f>
              <c:numCache>
                <c:formatCode>General</c:formatCode>
                <c:ptCount val="8"/>
                <c:pt idx="0">
                  <c:v>59</c:v>
                </c:pt>
                <c:pt idx="1">
                  <c:v>69</c:v>
                </c:pt>
                <c:pt idx="2">
                  <c:v>57</c:v>
                </c:pt>
                <c:pt idx="3">
                  <c:v>61</c:v>
                </c:pt>
                <c:pt idx="4">
                  <c:v>64</c:v>
                </c:pt>
                <c:pt idx="5">
                  <c:v>72</c:v>
                </c:pt>
                <c:pt idx="6">
                  <c:v>52</c:v>
                </c:pt>
                <c:pt idx="7">
                  <c:v>66</c:v>
                </c:pt>
              </c:numCache>
            </c:numRef>
          </c:val>
          <c:extLst>
            <c:ext xmlns:c16="http://schemas.microsoft.com/office/drawing/2014/chart" uri="{C3380CC4-5D6E-409C-BE32-E72D297353CC}">
              <c16:uniqueId val="{00000000-1857-4103-9A4F-D5D50A533C87}"/>
            </c:ext>
          </c:extLst>
        </c:ser>
        <c:dLbls>
          <c:dLblPos val="inEnd"/>
          <c:showLegendKey val="0"/>
          <c:showVal val="1"/>
          <c:showCatName val="0"/>
          <c:showSerName val="0"/>
          <c:showPercent val="0"/>
          <c:showBubbleSize val="0"/>
        </c:dLbls>
        <c:gapWidth val="79"/>
        <c:overlap val="100"/>
        <c:axId val="1319761360"/>
        <c:axId val="1319742160"/>
      </c:barChart>
      <c:catAx>
        <c:axId val="131976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19742160"/>
        <c:crosses val="autoZero"/>
        <c:auto val="1"/>
        <c:lblAlgn val="ctr"/>
        <c:lblOffset val="100"/>
        <c:noMultiLvlLbl val="0"/>
      </c:catAx>
      <c:valAx>
        <c:axId val="1319742160"/>
        <c:scaling>
          <c:orientation val="minMax"/>
        </c:scaling>
        <c:delete val="1"/>
        <c:axPos val="b"/>
        <c:numFmt formatCode="General" sourceLinked="1"/>
        <c:majorTickMark val="none"/>
        <c:minorTickMark val="none"/>
        <c:tickLblPos val="nextTo"/>
        <c:crossAx val="131976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[college_database_student.xlsx]Events Pivot!PivotTable4</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EVENTS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'Events Pivot'!$E$3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'Events Pivot'!$D$4:$D$12</c:f>
              <c:strCache>
                <c:ptCount val="8"/>
                <c:pt idx="0">
                  <c:v>Culturals</c:v>
                </c:pt>
                <c:pt idx="1">
                  <c:v>Eye Camp</c:v>
                </c:pt>
                <c:pt idx="2">
                  <c:v>Guest Lecture</c:v>
                </c:pt>
                <c:pt idx="3">
                  <c:v>Medical Camp</c:v>
                </c:pt>
                <c:pt idx="4">
                  <c:v>Safety Day</c:v>
                </c:pt>
                <c:pt idx="5">
                  <c:v>Sports Meet</c:v>
                </c:pt>
                <c:pt idx="6">
                  <c:v>Student Association</c:v>
                </c:pt>
                <c:pt idx="7">
                  <c:v>Tech Fest</c:v>
                </c:pt>
              </c:strCache>
            </c:strRef>
          </c:cat>
          <c:val>
            <c:numRef>
              <c:f>'Events Pivot'!$E$4:$E$12</c:f>
              <c:numCache>
                <c:formatCode>General</c:formatCode>
                <c:ptCount val="8"/>
                <c:pt idx="0">
                  <c:v>3</c:v>
                </c:pt>
                <c:pt idx="1">
                  <c:v>4</c:v>
                </c:pt>
                <c:pt idx="2">
                  <c:v>8</c:v>
                </c:pt>
                <c:pt idx="3">
                  <c:v>8</c:v>
                </c:pt>
                <c:pt idx="4">
                  <c:v>3</c:v>
                </c:pt>
                <c:pt idx="5">
                  <c:v>3</c:v>
                </c:pt>
                <c:pt idx="6">
                  <c:v>8</c:v>
                </c:pt>
                <c:pt idx="7">
                  <c:v>3</c:v>
                </c:pt>
              </c:numCache>
            </c:numRef>
          </c:val>
          <c:extLst>
            <c:ext xmlns:c16="http://schemas.microsoft.com/office/drawing/2014/chart" uri="{C3380CC4-5D6E-409C-BE32-E72D297353CC}">
              <c16:uniqueId val="{00000000-C0D2-49AC-8A7C-9925736B27DD}"/>
            </c:ext>
          </c:extLst>
        </c:ser>
        <c:dLbls>
          <c:dLblPos val="ctr"/>
          <c:showLegendKey val="0"/>
          <c:showVal val="1"/>
          <c:showCatName val="0"/>
          <c:showSerName val="0"/>
          <c:showPercent val="0"/>
          <c:showBubbleSize val="0"/>
        </c:dLbls>
        <c:gapWidth val="79"/>
        <c:overlap val="100"/>
        <c:axId val="717981968"/>
        <c:axId val="717984368"/>
      </c:barChart>
      <c:catAx>
        <c:axId val="71798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17984368"/>
        <c:crosses val="autoZero"/>
        <c:auto val="1"/>
        <c:lblAlgn val="ctr"/>
        <c:lblOffset val="100"/>
        <c:noMultiLvlLbl val="0"/>
      </c:catAx>
      <c:valAx>
        <c:axId val="717984368"/>
        <c:scaling>
          <c:orientation val="minMax"/>
        </c:scaling>
        <c:delete val="1"/>
        <c:axPos val="b"/>
        <c:numFmt formatCode="General" sourceLinked="1"/>
        <c:majorTickMark val="none"/>
        <c:minorTickMark val="none"/>
        <c:tickLblPos val="nextTo"/>
        <c:crossAx val="71798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[college_database_student.xlsx]Events Pivot!PivotTable5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BUDGET BY ACADEMIC YEAR</a:t>
            </a:r>
          </a:p>
        </c:rich>
      </c:tx>
      <c:layout>
        <c:manualLayout>
          <c:xMode val="edge"/>
          <c:yMode val="edge"/>
          <c:x val="0.13249300087489063"/>
          <c:y val="2.212744240303295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'Events Pivot'!$H$3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'Events Pivot'!$G$4:$G$6</c:f>
              <c:strCache>
                <c:ptCount val="2"/>
                <c:pt idx="0">
                  <c:v>2024-2025</c:v>
                </c:pt>
                <c:pt idx="1">
                  <c:v>2025-2026</c:v>
                </c:pt>
              </c:strCache>
            </c:strRef>
          </c:cat>
          <c:val>
            <c:numRef>
              <c:f>'Events Pivot'!$H$4:$H$6</c:f>
              <c:numCache>
                <c:formatCode>General</c:formatCode>
                <c:ptCount val="2"/>
                <c:pt idx="0">
                  <c:v>2522304</c:v>
                </c:pt>
                <c:pt idx="1">
                  <c:v>934894</c:v>
                </c:pt>
              </c:numCache>
            </c:numRef>
          </c:val>
          <c:extLst>
            <c:ext xmlns:c16="http://schemas.microsoft.com/office/drawing/2014/chart" uri="{C3380CC4-5D6E-409C-BE32-E72D297353CC}">
              <c16:uniqueId val="{00000000-0039-4232-AAF9-8A7EAE80BECF}"/>
            </c:ext>
          </c:extLst>
        </c:ser>
        <c:dLbls>
          <c:dLblPos val="ctr"/>
          <c:showLegendKey val="0"/>
          <c:showVal val="1"/>
          <c:showCatName val="0"/>
          <c:showSerName val="0"/>
          <c:showPercent val="0"/>
          <c:showBubbleSize val="0"/>
        </c:dLbls>
        <c:gapWidth val="150"/>
        <c:overlap val="100"/>
        <c:axId val="1267988720"/>
        <c:axId val="1267993040"/>
      </c:barChart>
      <c:catAx>
        <c:axId val="12679887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7993040"/>
        <c:crosses val="autoZero"/>
        <c:auto val="1"/>
        <c:lblAlgn val="ctr"/>
        <c:lblOffset val="100"/>
        <c:noMultiLvlLbl val="0"/>
      </c:catAx>
      <c:valAx>
        <c:axId val="12679930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6798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[college_database_student.xlsx]Events Pivot!PivotTable3</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EVENTS BY ORGANIZER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'Events Pivot'!$B$3</c:f>
              <c:strCache>
                <c:ptCount val="1"/>
                <c:pt idx="0">
                  <c:v>Total</c:v>
                </c:pt>
              </c:strCache>
            </c:strRef>
          </c:tx>
          <c:dPt>
            <c:idx val="0"/>
            <c:bubble3D val="0"/>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CA2-49BC-A7DF-6F7123F23F62}"/>
              </c:ext>
            </c:extLst>
          </c:dPt>
          <c:dPt>
            <c:idx val="1"/>
            <c:bubble3D val="0"/>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CA2-49BC-A7DF-6F7123F23F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'Events Pivot'!$A$4:$A$6</c:f>
              <c:strCache>
                <c:ptCount val="2"/>
                <c:pt idx="0">
                  <c:v>External</c:v>
                </c:pt>
                <c:pt idx="1">
                  <c:v>Internal</c:v>
                </c:pt>
              </c:strCache>
            </c:strRef>
          </c:cat>
          <c:val>
            <c:numRef>
              <c:f>'Events Pivot'!$B$4:$B$6</c:f>
              <c:numCache>
                <c:formatCode>General</c:formatCode>
                <c:ptCount val="2"/>
                <c:pt idx="0">
                  <c:v>19</c:v>
                </c:pt>
                <c:pt idx="1">
                  <c:v>21</c:v>
                </c:pt>
              </c:numCache>
            </c:numRef>
          </c:val>
          <c:extLst>
            <c:ext xmlns:c16="http://schemas.microsoft.com/office/drawing/2014/chart" uri="{C3380CC4-5D6E-409C-BE32-E72D297353CC}">
              <c16:uniqueId val="{00000004-BCA2-49BC-A7DF-6F7123F23F6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EVENTS</a:t>
            </a:r>
            <a:r>
              <a:rPr lang="en-US" sz="1400" baseline="0"/>
              <a:t> PARTICIPANTS OUTCOMES</a:t>
            </a:r>
            <a:endParaRPr lang="en-US"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'Event Chart'!$B$55</c:f>
              <c:strCache>
                <c:ptCount val="1"/>
                <c:pt idx="0">
                  <c:v>Count</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'Event Chart'!$A$56:$A$59</c:f>
              <c:strCache>
                <c:ptCount val="4"/>
                <c:pt idx="0">
                  <c:v>Winner</c:v>
                </c:pt>
                <c:pt idx="1">
                  <c:v>Participation</c:v>
                </c:pt>
                <c:pt idx="2">
                  <c:v>Runner Up</c:v>
                </c:pt>
                <c:pt idx="3">
                  <c:v>Best Performance</c:v>
                </c:pt>
              </c:strCache>
            </c:strRef>
          </c:cat>
          <c:val>
            <c:numRef>
              <c:f>'Event Chart'!$B$56:$B$59</c:f>
              <c:numCache>
                <c:formatCode>General</c:formatCode>
                <c:ptCount val="4"/>
                <c:pt idx="0">
                  <c:v>523</c:v>
                </c:pt>
                <c:pt idx="1">
                  <c:v>492</c:v>
                </c:pt>
                <c:pt idx="2">
                  <c:v>528</c:v>
                </c:pt>
                <c:pt idx="3">
                  <c:v>521</c:v>
                </c:pt>
              </c:numCache>
            </c:numRef>
          </c:val>
          <c:extLst>
            <c:ext xmlns:c16="http://schemas.microsoft.com/office/drawing/2014/chart" uri="{C3380CC4-5D6E-409C-BE32-E72D297353CC}">
              <c16:uniqueId val="{00000000-CAA4-491C-8BF0-0942849AEE23}"/>
            </c:ext>
          </c:extLst>
        </c:ser>
        <c:dLbls>
          <c:showLegendKey val="0"/>
          <c:showVal val="1"/>
          <c:showCatName val="0"/>
          <c:showSerName val="0"/>
          <c:showPercent val="0"/>
          <c:showBubbleSize val="0"/>
        </c:dLbls>
        <c:gapWidth val="150"/>
        <c:shape val="box"/>
        <c:axId val="283453936"/>
        <c:axId val="283452272"/>
        <c:axId val="0"/>
      </c:bar3DChart>
      <c:catAx>
        <c:axId val="283453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3452272"/>
        <c:crosses val="autoZero"/>
        <c:auto val="1"/>
        <c:lblAlgn val="ctr"/>
        <c:lblOffset val="100"/>
        <c:noMultiLvlLbl val="0"/>
      </c:catAx>
      <c:valAx>
        <c:axId val="28345227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345393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STATE WISE STUDENT</cx:v>
        </cx:txData>
      </cx:tx>
      <cx:txPr>
        <a:bodyPr spcFirstLastPara="1" vertOverflow="ellipsis" wrap="square" lIns="0" tIns="0" rIns="0" bIns="0" anchor="ctr" anchorCtr="1"/>
        <a:lstStyle/>
        <a:p>
          <a:pPr algn="ctr">
            <a:defRPr/>
          </a:pPr>
          <a:r>
            <a:rPr lang="en-US"/>
            <a:t>STATE WISE STUDENT</a:t>
          </a:r>
        </a:p>
      </cx:txPr>
    </cx:title>
    <cx:plotArea>
      <cx:plotAreaRegion>
        <cx:series layoutId="treemap" uniqueId="{28ACA338-D141-4CE8-A2D0-2177C7D3CCA0}">
          <cx:tx>
            <cx:txData>
              <cx:f>_xlchart.v1.1</cx:f>
              <cx:v>Count of Student</cx:v>
            </cx:txData>
          </cx:tx>
          <cx:dataLabels pos="inEnd">
            <cx:visibility seriesName="0" categoryName="1" value="0"/>
          </cx:dataLabels>
          <cx:dataId val="0"/>
          <cx:layoutPr>
            <cx:parentLabelLayout val="overlapping"/>
          </cx:layoutPr>
        </cx:series>
      </cx:plotAreaRegion>
    </cx:plotArea>
    <cx:legend pos="r" align="ctr" overlay="0"/>
  </cx:chart>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r>
              <a:rPr lang="en-US" sz="1400" b="1" i="0" baseline="0">
                <a:effectLst/>
                <a:latin typeface="+mn-lt"/>
              </a:rPr>
              <a:t>Avg Faculty Experience by Department</a:t>
            </a:r>
            <a:endParaRPr lang="en-IN" sz="1400">
              <a:effectLst/>
              <a:latin typeface="+mn-lt"/>
            </a:endParaRPr>
          </a:p>
        </cx:rich>
      </cx:tx>
    </cx:title>
    <cx:plotArea>
      <cx:plotAreaRegion>
        <cx:series layoutId="funnel" uniqueId="{5E780BF4-A4C6-48C3-ADF4-372CBA76DF02}">
          <cx:tx>
            <cx:txData>
              <cx:f>_xlchart.v2.4</cx:f>
              <cx:v>Avg experience Years</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rich>
          <a:bodyPr spcFirstLastPara="1" vertOverflow="ellipsis" horzOverflow="overflow" wrap="square" lIns="0" tIns="0" rIns="0" bIns="0" anchor="ctr" anchorCtr="1"/>
          <a:lstStyle/>
          <a:p>
            <a:r>
              <a:rPr lang="en-US" sz="1400" b="1" i="0" baseline="0">
                <a:effectLst/>
                <a:latin typeface="+mn-lt"/>
              </a:rPr>
              <a:t>Avg Faculty Experience by Department</a:t>
            </a:r>
            <a:endParaRPr lang="en-IN" sz="1400">
              <a:effectLst/>
              <a:latin typeface="+mn-lt"/>
            </a:endParaRPr>
          </a:p>
        </cx:rich>
      </cx:tx>
    </cx:title>
    <cx:plotArea>
      <cx:plotAreaRegion>
        <cx:series layoutId="funnel" uniqueId="{5E780BF4-A4C6-48C3-ADF4-372CBA76DF02}">
          <cx:tx>
            <cx:txData>
              <cx:f>_xlchart.v2.7</cx:f>
              <cx:v>Avg experience Years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4">
  <a:schemeClr val="accent4"/>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 id="17">
  <a:schemeClr val="accent4"/>
</cs:colorStyle>
</file>

<file path=xl/charts/colors2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withinLinear" id="18">
  <a:schemeClr val="accent5"/>
</cs:colorStyle>
</file>

<file path=xl/charts/colors27.xml><?xml version="1.0" encoding="utf-8"?>
<cs:colorStyle xmlns:cs="http://schemas.microsoft.com/office/drawing/2012/chartStyle" xmlns:a="http://schemas.openxmlformats.org/drawingml/2006/main" meth="withinLinear" id="16">
  <a:schemeClr val="accent3"/>
</cs:colorStyle>
</file>

<file path=xl/charts/colors28.xml><?xml version="1.0" encoding="utf-8"?>
<cs:colorStyle xmlns:cs="http://schemas.microsoft.com/office/drawing/2012/chartStyle" xmlns:a="http://schemas.openxmlformats.org/drawingml/2006/main" meth="withinLinearReversed" id="24">
  <a:schemeClr val="accent4"/>
</cs:colorStyle>
</file>

<file path=xl/charts/colors29.xml><?xml version="1.0" encoding="utf-8"?>
<cs:colorStyle xmlns:cs="http://schemas.microsoft.com/office/drawing/2012/chartStyle" xmlns:a="http://schemas.openxmlformats.org/drawingml/2006/main" meth="withinLinear" id="17">
  <a:schemeClr val="accent4"/>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withinLinearReversed" id="24">
  <a:schemeClr val="accent4"/>
</cs:colorStyle>
</file>

<file path=xl/charts/colors3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14">
  <cs:axisTitle>
    <cs:lnRef idx="0"/>
    <cs:fillRef idx="0"/>
    <cs:effectRef idx="0"/>
    <cs:fontRef idx="minor">
      <a:schemeClr val="tx1">
        <a:lumMod val="65000"/>
        <a:lumOff val="35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solidFill>
        <a:schemeClr val="phClr"/>
      </a:solidFill>
      <a:ln w="50800">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ajor">
      <a:schemeClr val="dk1">
        <a:lumMod val="50000"/>
        <a:lumOff val="50000"/>
      </a:schemeClr>
    </cs:fontRef>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dropLine>
  <cs:errorBar>
    <cs:lnRef idx="0"/>
    <cs:fillRef idx="0"/>
    <cs:effectRef idx="0"/>
    <cs:fontRef idx="minor">
      <a:schemeClr val="dk1"/>
    </cs:fontRef>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hiLoLine>
  <cs:leaderLine>
    <cs:lnRef idx="0"/>
    <cs:fillRef idx="0"/>
    <cs:effectRef idx="0"/>
    <cs:fontRef idx="minor">
      <a:schemeClr val="dk1"/>
    </cs:fontRef>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microsoft.com/office/2014/relationships/chartEx" Target="../charts/chartEx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4.xml"/><Relationship Id="rId2" Type="http://schemas.microsoft.com/office/2014/relationships/chartEx" Target="../charts/chartEx3.xml"/><Relationship Id="rId1" Type="http://schemas.openxmlformats.org/officeDocument/2006/relationships/chart" Target="../charts/chart23.xml"/><Relationship Id="rId4" Type="http://schemas.openxmlformats.org/officeDocument/2006/relationships/chart" Target="../charts/chart2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2</xdr:col>
      <xdr:colOff>495300</xdr:colOff>
      <xdr:row>1</xdr:row>
      <xdr:rowOff>0</xdr:rowOff>
    </xdr:from>
    <xdr:to>
      <xdr:col>11</xdr:col>
      <xdr:colOff>152400</xdr:colOff>
      <xdr:row>14</xdr:row>
      <xdr:rowOff>161925</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514349</xdr:colOff>
      <xdr:row>15</xdr:row>
      <xdr:rowOff>152400</xdr:rowOff>
    </xdr:from>
    <xdr:to>
      <xdr:col>11</xdr:col>
      <xdr:colOff>161924</xdr:colOff>
      <xdr:row>27</xdr:row>
      <xdr:rowOff>133350</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523875</xdr:colOff>
      <xdr:row>29</xdr:row>
      <xdr:rowOff>114300</xdr:rowOff>
    </xdr:from>
    <xdr:to>
      <xdr:col>11</xdr:col>
      <xdr:colOff>219075</xdr:colOff>
      <xdr:row>44</xdr:row>
      <xdr:rowOff>0</xdr:rowOff>
    </xdr:to>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490537</xdr:colOff>
      <xdr:row>48</xdr:row>
      <xdr:rowOff>180975</xdr:rowOff>
    </xdr:from>
    <xdr:to>
      <xdr:col>11</xdr:col>
      <xdr:colOff>257175</xdr:colOff>
      <xdr:row>63</xdr:row>
      <xdr:rowOff>66675</xdr:rowOff>
    </xdr:to>
    <xdr:graphicFrame macro="">
      <xdr:nvGraphicFramePr>
        <xdr:cNvPr id="5" name="Chart 4">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523875</xdr:colOff>
      <xdr:row>66</xdr:row>
      <xdr:rowOff>28575</xdr:rowOff>
    </xdr:from>
    <xdr:to>
      <xdr:col>11</xdr:col>
      <xdr:colOff>314325</xdr:colOff>
      <xdr:row>80</xdr:row>
      <xdr:rowOff>104775</xdr:rowOff>
    </xdr:to>
    <xdr:graphicFrame macro="">
      <xdr:nvGraphicFramePr>
        <xdr:cNvPr id="7" name="Chart 6">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538162</xdr:colOff>
      <xdr:row>83</xdr:row>
      <xdr:rowOff>76200</xdr:rowOff>
    </xdr:from>
    <xdr:to>
      <xdr:col>11</xdr:col>
      <xdr:colOff>400050</xdr:colOff>
      <xdr:row>97</xdr:row>
      <xdr:rowOff>152400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547937" y="15887700"/>
              <a:ext cx="4757738"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238124</xdr:colOff>
      <xdr:row>1</xdr:row>
      <xdr:rowOff>85725</xdr:rowOff>
    </xdr:from>
    <xdr:to>
      <xdr:col>14</xdr:col>
      <xdr:colOff>19049</xdr:colOff>
      <xdr:row>18</xdr:row>
      <xdr:rowOff>95250</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233362</xdr:colOff>
      <xdr:row>22</xdr:row>
      <xdr:rowOff>47625</xdr:rowOff>
    </xdr:from>
    <xdr:to>
      <xdr:col>14</xdr:col>
      <xdr:colOff>0</xdr:colOff>
      <xdr:row>36</xdr:row>
      <xdr:rowOff>123825</xdr:rowOff>
    </xdr:to>
    <xdr:graphicFrame macro="">
      <xdr:nvGraphicFramePr>
        <xdr:cNvPr id="4" name="Chart 3">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238124</xdr:colOff>
      <xdr:row>38</xdr:row>
      <xdr:rowOff>114300</xdr:rowOff>
    </xdr:from>
    <xdr:to>
      <xdr:col>13</xdr:col>
      <xdr:colOff>609599</xdr:colOff>
      <xdr:row>53</xdr:row>
      <xdr:rowOff>0</xdr:rowOff>
    </xdr:to>
    <xdr:graphicFrame macro="">
      <xdr:nvGraphicFramePr>
        <xdr:cNvPr id="6" name="Chart 5">
          <a:extLst>
            <a:ext uri="{FF2B5EF4-FFF2-40B4-BE49-F238E27FC236}">
              <a16:creationId xmlns:a16="http://schemas.microsoft.com/office/drawing/2014/main" id="{00000000-0008-0000-0A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542925</xdr:colOff>
      <xdr:row>21</xdr:row>
      <xdr:rowOff>57150</xdr:rowOff>
    </xdr:from>
    <xdr:to>
      <xdr:col>12</xdr:col>
      <xdr:colOff>361950</xdr:colOff>
      <xdr:row>35</xdr:row>
      <xdr:rowOff>133350</xdr:rowOff>
    </xdr:to>
    <xdr:graphicFrame macro="">
      <xdr:nvGraphicFramePr>
        <xdr:cNvPr id="4" name="Chart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547687</xdr:colOff>
      <xdr:row>38</xdr:row>
      <xdr:rowOff>114300</xdr:rowOff>
    </xdr:from>
    <xdr:to>
      <xdr:col>12</xdr:col>
      <xdr:colOff>390525</xdr:colOff>
      <xdr:row>53</xdr:row>
      <xdr:rowOff>0</xdr:rowOff>
    </xdr:to>
    <xdr:graphicFrame macro="">
      <xdr:nvGraphicFramePr>
        <xdr:cNvPr id="5" name="Chart 4">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571500</xdr:colOff>
      <xdr:row>54</xdr:row>
      <xdr:rowOff>57149</xdr:rowOff>
    </xdr:from>
    <xdr:to>
      <xdr:col>12</xdr:col>
      <xdr:colOff>476249</xdr:colOff>
      <xdr:row>69</xdr:row>
      <xdr:rowOff>133350</xdr:rowOff>
    </xdr:to>
    <xdr:graphicFrame macro="">
      <xdr:nvGraphicFramePr>
        <xdr:cNvPr id="6" name="Chart 5">
          <a:extLst>
            <a:ext uri="{FF2B5EF4-FFF2-40B4-BE49-F238E27FC236}">
              <a16:creationId xmlns:a16="http://schemas.microsoft.com/office/drawing/2014/main" id="{00000000-0008-0000-0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161925</xdr:colOff>
      <xdr:row>2</xdr:row>
      <xdr:rowOff>90487</xdr:rowOff>
    </xdr:from>
    <xdr:to>
      <xdr:col>11</xdr:col>
      <xdr:colOff>466725</xdr:colOff>
      <xdr:row>16</xdr:row>
      <xdr:rowOff>166687</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25448FBC-15D4-65E9-9FC1-52FE0051D9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724400" y="47148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414337</xdr:colOff>
      <xdr:row>0</xdr:row>
      <xdr:rowOff>38100</xdr:rowOff>
    </xdr:from>
    <xdr:to>
      <xdr:col>11</xdr:col>
      <xdr:colOff>109537</xdr:colOff>
      <xdr:row>14</xdr:row>
      <xdr:rowOff>114300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395286</xdr:colOff>
      <xdr:row>15</xdr:row>
      <xdr:rowOff>180975</xdr:rowOff>
    </xdr:from>
    <xdr:to>
      <xdr:col>11</xdr:col>
      <xdr:colOff>133349</xdr:colOff>
      <xdr:row>30</xdr:row>
      <xdr:rowOff>66675</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414337</xdr:colOff>
      <xdr:row>33</xdr:row>
      <xdr:rowOff>114300</xdr:rowOff>
    </xdr:from>
    <xdr:to>
      <xdr:col>11</xdr:col>
      <xdr:colOff>180975</xdr:colOff>
      <xdr:row>48</xdr:row>
      <xdr:rowOff>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395286</xdr:colOff>
      <xdr:row>49</xdr:row>
      <xdr:rowOff>38100</xdr:rowOff>
    </xdr:from>
    <xdr:to>
      <xdr:col>11</xdr:col>
      <xdr:colOff>209549</xdr:colOff>
      <xdr:row>63</xdr:row>
      <xdr:rowOff>114300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142875</xdr:colOff>
      <xdr:row>0</xdr:row>
      <xdr:rowOff>111125</xdr:rowOff>
    </xdr:from>
    <xdr:to>
      <xdr:col>16</xdr:col>
      <xdr:colOff>158750</xdr:colOff>
      <xdr:row>35</xdr:row>
      <xdr:rowOff>111125</xdr:rowOff>
    </xdr:to>
    <xdr:sp macro="" textlink="">
      <xdr:nvSpPr>
        <xdr:cNvPr id="17" name="Rectangle 16">
          <a:extLst>
            <a:ext uri="{FF2B5EF4-FFF2-40B4-BE49-F238E27FC236}">
              <a16:creationId xmlns:a16="http://schemas.microsoft.com/office/drawing/2014/main" id="{18EF547B-6904-589A-F160-2395DB91B29C}"/>
            </a:ext>
          </a:extLst>
        </xdr:cNvPr>
        <xdr:cNvSpPr/>
      </xdr:nvSpPr>
      <xdr:spPr>
        <a:xfrm>
          <a:off x="1952625" y="111125"/>
          <a:ext cx="7858125" cy="6667500"/>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95250</xdr:colOff>
      <xdr:row>0</xdr:row>
      <xdr:rowOff>111125</xdr:rowOff>
    </xdr:from>
    <xdr:to>
      <xdr:col>3</xdr:col>
      <xdr:colOff>111125</xdr:colOff>
      <xdr:row>35</xdr:row>
      <xdr:rowOff>95250</xdr:rowOff>
    </xdr:to>
    <xdr:sp macro="" textlink="">
      <xdr:nvSpPr>
        <xdr:cNvPr id="11" name="Rectangle 10">
          <a:extLst>
            <a:ext uri="{FF2B5EF4-FFF2-40B4-BE49-F238E27FC236}">
              <a16:creationId xmlns:a16="http://schemas.microsoft.com/office/drawing/2014/main" id="{40F83126-6986-42AD-BA78-439AACD4BE2E}"/>
            </a:ext>
          </a:extLst>
        </xdr:cNvPr>
        <xdr:cNvSpPr/>
      </xdr:nvSpPr>
      <xdr:spPr>
        <a:xfrm>
          <a:off x="95250" y="111125"/>
          <a:ext cx="1825625" cy="665162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155575</xdr:colOff>
      <xdr:row>0</xdr:row>
      <xdr:rowOff>123826</xdr:rowOff>
    </xdr:from>
    <xdr:to>
      <xdr:col>16</xdr:col>
      <xdr:colOff>174624</xdr:colOff>
      <xdr:row>3</xdr:row>
      <xdr:rowOff>19050</xdr:rowOff>
    </xdr:to>
    <xdr:sp macro="" textlink="">
      <xdr:nvSpPr>
        <xdr:cNvPr id="2" name="Rectangle: Rounded Corners 1">
          <a:extLst>
            <a:ext uri="{FF2B5EF4-FFF2-40B4-BE49-F238E27FC236}">
              <a16:creationId xmlns:a16="http://schemas.microsoft.com/office/drawing/2014/main" id="{CF05CB7F-BBD3-F6C4-5787-F6E32B463E07}"/>
            </a:ext>
          </a:extLst>
        </xdr:cNvPr>
        <xdr:cNvSpPr/>
      </xdr:nvSpPr>
      <xdr:spPr>
        <a:xfrm>
          <a:off x="1965325" y="123826"/>
          <a:ext cx="7861299" cy="4667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STUDENT</a:t>
          </a:r>
          <a:r>
            <a:rPr lang="en-IN" sz="2800" b="1" baseline="0"/>
            <a:t> DASHBOARD</a:t>
          </a:r>
          <a:endParaRPr lang="en-IN" sz="2800" b="1"/>
        </a:p>
      </xdr:txBody>
    </xdr:sp>
    <xdr:clientData/>
  </xdr:twoCellAnchor>
  <xdr:twoCellAnchor>
    <xdr:from>
      <xdr:col>3</xdr:col>
      <xdr:colOff>501650</xdr:colOff>
      <xdr:row>3</xdr:row>
      <xdr:rowOff>160566</xdr:rowOff>
    </xdr:from>
    <xdr:to>
      <xdr:col>5</xdr:col>
      <xdr:colOff>558800</xdr:colOff>
      <xdr:row>6</xdr:row>
      <xdr:rowOff>74841</xdr:rowOff>
    </xdr:to>
    <xdr:sp macro="" textlink="">
      <xdr:nvSpPr>
        <xdr:cNvPr id="5" name="Rectangle: Rounded Corners 4">
          <a:extLst>
            <a:ext uri="{FF2B5EF4-FFF2-40B4-BE49-F238E27FC236}">
              <a16:creationId xmlns:a16="http://schemas.microsoft.com/office/drawing/2014/main" id="{1B46AE05-C7AD-309F-C153-4BFAB7BF63DB}"/>
            </a:ext>
          </a:extLst>
        </xdr:cNvPr>
        <xdr:cNvSpPr/>
      </xdr:nvSpPr>
      <xdr:spPr>
        <a:xfrm>
          <a:off x="2311400" y="732066"/>
          <a:ext cx="1263650" cy="48577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IN" sz="1100" b="1"/>
            <a:t>Total Student</a:t>
          </a:r>
          <a:r>
            <a:rPr lang="en-IN" sz="1100" b="1" baseline="0"/>
            <a:t> - </a:t>
          </a:r>
          <a:r>
            <a:rPr lang="en-IN" sz="1100" b="1"/>
            <a:t>500</a:t>
          </a:r>
        </a:p>
      </xdr:txBody>
    </xdr:sp>
    <xdr:clientData/>
  </xdr:twoCellAnchor>
  <xdr:twoCellAnchor>
    <xdr:from>
      <xdr:col>7</xdr:col>
      <xdr:colOff>15875</xdr:colOff>
      <xdr:row>3</xdr:row>
      <xdr:rowOff>179616</xdr:rowOff>
    </xdr:from>
    <xdr:to>
      <xdr:col>9</xdr:col>
      <xdr:colOff>73025</xdr:colOff>
      <xdr:row>6</xdr:row>
      <xdr:rowOff>93891</xdr:rowOff>
    </xdr:to>
    <xdr:sp macro="" textlink="">
      <xdr:nvSpPr>
        <xdr:cNvPr id="6" name="Rectangle: Rounded Corners 5">
          <a:extLst>
            <a:ext uri="{FF2B5EF4-FFF2-40B4-BE49-F238E27FC236}">
              <a16:creationId xmlns:a16="http://schemas.microsoft.com/office/drawing/2014/main" id="{40DDBD44-8BC8-4F84-9353-012DD4B9D970}"/>
            </a:ext>
          </a:extLst>
        </xdr:cNvPr>
        <xdr:cNvSpPr/>
      </xdr:nvSpPr>
      <xdr:spPr>
        <a:xfrm>
          <a:off x="4238625" y="751116"/>
          <a:ext cx="1263650" cy="48577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1100" b="1"/>
            <a:t>Male -</a:t>
          </a:r>
          <a:r>
            <a:rPr lang="en-IN" sz="1100" b="1" baseline="0"/>
            <a:t> 253</a:t>
          </a:r>
          <a:endParaRPr lang="en-IN" sz="1100" b="1"/>
        </a:p>
      </xdr:txBody>
    </xdr:sp>
    <xdr:clientData/>
  </xdr:twoCellAnchor>
  <xdr:twoCellAnchor>
    <xdr:from>
      <xdr:col>10</xdr:col>
      <xdr:colOff>133350</xdr:colOff>
      <xdr:row>3</xdr:row>
      <xdr:rowOff>179616</xdr:rowOff>
    </xdr:from>
    <xdr:to>
      <xdr:col>12</xdr:col>
      <xdr:colOff>190500</xdr:colOff>
      <xdr:row>6</xdr:row>
      <xdr:rowOff>103416</xdr:rowOff>
    </xdr:to>
    <xdr:sp macro="" textlink="">
      <xdr:nvSpPr>
        <xdr:cNvPr id="7" name="Rectangle: Rounded Corners 6">
          <a:extLst>
            <a:ext uri="{FF2B5EF4-FFF2-40B4-BE49-F238E27FC236}">
              <a16:creationId xmlns:a16="http://schemas.microsoft.com/office/drawing/2014/main" id="{F7C8ACB8-745B-493E-942A-B40786EC66C2}"/>
            </a:ext>
          </a:extLst>
        </xdr:cNvPr>
        <xdr:cNvSpPr/>
      </xdr:nvSpPr>
      <xdr:spPr>
        <a:xfrm>
          <a:off x="6165850" y="751116"/>
          <a:ext cx="1263650" cy="49530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1100" b="1"/>
            <a:t>Female-241</a:t>
          </a:r>
        </a:p>
      </xdr:txBody>
    </xdr:sp>
    <xdr:clientData/>
  </xdr:twoCellAnchor>
  <xdr:twoCellAnchor>
    <xdr:from>
      <xdr:col>13</xdr:col>
      <xdr:colOff>231775</xdr:colOff>
      <xdr:row>4</xdr:row>
      <xdr:rowOff>8166</xdr:rowOff>
    </xdr:from>
    <xdr:to>
      <xdr:col>15</xdr:col>
      <xdr:colOff>288925</xdr:colOff>
      <xdr:row>6</xdr:row>
      <xdr:rowOff>93891</xdr:rowOff>
    </xdr:to>
    <xdr:sp macro="" textlink="">
      <xdr:nvSpPr>
        <xdr:cNvPr id="8" name="Rectangle: Rounded Corners 7">
          <a:extLst>
            <a:ext uri="{FF2B5EF4-FFF2-40B4-BE49-F238E27FC236}">
              <a16:creationId xmlns:a16="http://schemas.microsoft.com/office/drawing/2014/main" id="{93D8CF40-88CA-4AAC-8032-D068C377AFA7}"/>
            </a:ext>
          </a:extLst>
        </xdr:cNvPr>
        <xdr:cNvSpPr/>
      </xdr:nvSpPr>
      <xdr:spPr>
        <a:xfrm>
          <a:off x="8074025" y="770166"/>
          <a:ext cx="1263650" cy="46672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1100" b="1"/>
            <a:t>Other</a:t>
          </a:r>
          <a:r>
            <a:rPr lang="en-IN" sz="1100" b="1" baseline="0"/>
            <a:t> - 6</a:t>
          </a:r>
          <a:endParaRPr lang="en-IN" sz="1100" b="1"/>
        </a:p>
      </xdr:txBody>
    </xdr:sp>
    <xdr:clientData/>
  </xdr:twoCellAnchor>
  <xdr:twoCellAnchor>
    <xdr:from>
      <xdr:col>3</xdr:col>
      <xdr:colOff>146049</xdr:colOff>
      <xdr:row>7</xdr:row>
      <xdr:rowOff>115664</xdr:rowOff>
    </xdr:from>
    <xdr:to>
      <xdr:col>9</xdr:col>
      <xdr:colOff>381000</xdr:colOff>
      <xdr:row>21</xdr:row>
      <xdr:rowOff>63500</xdr:rowOff>
    </xdr:to>
    <xdr:sp macro="" textlink="">
      <xdr:nvSpPr>
        <xdr:cNvPr id="9" name="Rectangle 8">
          <a:extLst>
            <a:ext uri="{FF2B5EF4-FFF2-40B4-BE49-F238E27FC236}">
              <a16:creationId xmlns:a16="http://schemas.microsoft.com/office/drawing/2014/main" id="{020F6BE9-28DD-D063-9CBA-17D7584BB7F3}"/>
            </a:ext>
          </a:extLst>
        </xdr:cNvPr>
        <xdr:cNvSpPr/>
      </xdr:nvSpPr>
      <xdr:spPr>
        <a:xfrm>
          <a:off x="1955799" y="1449164"/>
          <a:ext cx="3854451" cy="261483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119331</xdr:colOff>
      <xdr:row>0</xdr:row>
      <xdr:rowOff>111125</xdr:rowOff>
    </xdr:from>
    <xdr:to>
      <xdr:col>3</xdr:col>
      <xdr:colOff>111125</xdr:colOff>
      <xdr:row>7</xdr:row>
      <xdr:rowOff>56246</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E35EB4C7-2318-402F-B924-8953F1ACAC1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9331" y="111125"/>
              <a:ext cx="1801544" cy="1278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7</xdr:row>
      <xdr:rowOff>52617</xdr:rowOff>
    </xdr:from>
    <xdr:to>
      <xdr:col>3</xdr:col>
      <xdr:colOff>127000</xdr:colOff>
      <xdr:row>20</xdr:row>
      <xdr:rowOff>100242</xdr:rowOff>
    </xdr:to>
    <mc:AlternateContent xmlns:mc="http://schemas.openxmlformats.org/markup-compatibility/2006" xmlns:a14="http://schemas.microsoft.com/office/drawing/2010/main">
      <mc:Choice Requires="a14">
        <xdr:graphicFrame macro="">
          <xdr:nvGraphicFramePr>
            <xdr:cNvPr id="14" name="State">
              <a:extLst>
                <a:ext uri="{FF2B5EF4-FFF2-40B4-BE49-F238E27FC236}">
                  <a16:creationId xmlns:a16="http://schemas.microsoft.com/office/drawing/2014/main" id="{69E9B09A-940E-42E7-8E62-BB75DD4FB90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7000" y="1386117"/>
              <a:ext cx="18097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111124</xdr:colOff>
      <xdr:row>20</xdr:row>
      <xdr:rowOff>110221</xdr:rowOff>
    </xdr:from>
    <xdr:to>
      <xdr:col>3</xdr:col>
      <xdr:colOff>100587</xdr:colOff>
      <xdr:row>35</xdr:row>
      <xdr:rowOff>79375</xdr:rowOff>
    </xdr:to>
    <mc:AlternateContent xmlns:mc="http://schemas.openxmlformats.org/markup-compatibility/2006" xmlns:a14="http://schemas.microsoft.com/office/drawing/2010/main">
      <mc:Choice Requires="a14">
        <xdr:graphicFrame macro="">
          <xdr:nvGraphicFramePr>
            <xdr:cNvPr id="15" name="CourseName">
              <a:extLst>
                <a:ext uri="{FF2B5EF4-FFF2-40B4-BE49-F238E27FC236}">
                  <a16:creationId xmlns:a16="http://schemas.microsoft.com/office/drawing/2014/main" id="{868B3F20-6C36-4F0C-BC73-214081B39AAE}"/>
                </a:ext>
              </a:extLst>
            </xdr:cNvPr>
            <xdr:cNvGraphicFramePr/>
          </xdr:nvGraphicFramePr>
          <xdr:xfrm>
            <a:off x="0" y="0"/>
            <a:ext cx="0" cy="0"/>
          </xdr:xfrm>
          <a:graphic>
            <a:graphicData uri="http://schemas.microsoft.com/office/drawing/2010/slicer">
              <sle:slicer xmlns:sle="http://schemas.microsoft.com/office/drawing/2010/slicer" name="CourseName"/>
            </a:graphicData>
          </a:graphic>
        </xdr:graphicFrame>
      </mc:Choice>
      <mc:Fallback xmlns="">
        <xdr:sp macro="" textlink="">
          <xdr:nvSpPr>
            <xdr:cNvPr id="0" name=""/>
            <xdr:cNvSpPr>
              <a:spLocks noTextEdit="1"/>
            </xdr:cNvSpPr>
          </xdr:nvSpPr>
          <xdr:spPr>
            <a:xfrm>
              <a:off x="111124" y="3920221"/>
              <a:ext cx="1799213" cy="28266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250824</xdr:colOff>
      <xdr:row>8</xdr:row>
      <xdr:rowOff>29940</xdr:rowOff>
    </xdr:from>
    <xdr:to>
      <xdr:col>9</xdr:col>
      <xdr:colOff>280411</xdr:colOff>
      <xdr:row>20</xdr:row>
      <xdr:rowOff>153115</xdr:rowOff>
    </xdr:to>
    <xdr:graphicFrame macro="">
      <xdr:nvGraphicFramePr>
        <xdr:cNvPr id="18" name="Chart 17">
          <a:extLst>
            <a:ext uri="{FF2B5EF4-FFF2-40B4-BE49-F238E27FC236}">
              <a16:creationId xmlns:a16="http://schemas.microsoft.com/office/drawing/2014/main" id="{B0028DDE-79AF-4CD5-9270-5D273CBE5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394607</xdr:colOff>
      <xdr:row>7</xdr:row>
      <xdr:rowOff>115664</xdr:rowOff>
    </xdr:from>
    <xdr:to>
      <xdr:col>16</xdr:col>
      <xdr:colOff>127000</xdr:colOff>
      <xdr:row>21</xdr:row>
      <xdr:rowOff>63500</xdr:rowOff>
    </xdr:to>
    <xdr:sp macro="" textlink="">
      <xdr:nvSpPr>
        <xdr:cNvPr id="19" name="Rectangle 18">
          <a:extLst>
            <a:ext uri="{FF2B5EF4-FFF2-40B4-BE49-F238E27FC236}">
              <a16:creationId xmlns:a16="http://schemas.microsoft.com/office/drawing/2014/main" id="{41678CE0-7774-4A63-A660-4EACB89A0286}"/>
            </a:ext>
          </a:extLst>
        </xdr:cNvPr>
        <xdr:cNvSpPr/>
      </xdr:nvSpPr>
      <xdr:spPr>
        <a:xfrm>
          <a:off x="5823857" y="1449164"/>
          <a:ext cx="3955143" cy="261483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146049</xdr:colOff>
      <xdr:row>21</xdr:row>
      <xdr:rowOff>63500</xdr:rowOff>
    </xdr:from>
    <xdr:to>
      <xdr:col>9</xdr:col>
      <xdr:colOff>381000</xdr:colOff>
      <xdr:row>35</xdr:row>
      <xdr:rowOff>79375</xdr:rowOff>
    </xdr:to>
    <xdr:sp macro="" textlink="">
      <xdr:nvSpPr>
        <xdr:cNvPr id="20" name="Rectangle 19">
          <a:extLst>
            <a:ext uri="{FF2B5EF4-FFF2-40B4-BE49-F238E27FC236}">
              <a16:creationId xmlns:a16="http://schemas.microsoft.com/office/drawing/2014/main" id="{EF3421D6-DA64-4A6B-95EC-6C2C475BD94B}"/>
            </a:ext>
          </a:extLst>
        </xdr:cNvPr>
        <xdr:cNvSpPr/>
      </xdr:nvSpPr>
      <xdr:spPr>
        <a:xfrm>
          <a:off x="1955799" y="4064000"/>
          <a:ext cx="3854451" cy="26828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408215</xdr:colOff>
      <xdr:row>21</xdr:row>
      <xdr:rowOff>49893</xdr:rowOff>
    </xdr:from>
    <xdr:to>
      <xdr:col>16</xdr:col>
      <xdr:colOff>127001</xdr:colOff>
      <xdr:row>35</xdr:row>
      <xdr:rowOff>77403</xdr:rowOff>
    </xdr:to>
    <xdr:sp macro="" textlink="">
      <xdr:nvSpPr>
        <xdr:cNvPr id="21" name="Rectangle 20">
          <a:extLst>
            <a:ext uri="{FF2B5EF4-FFF2-40B4-BE49-F238E27FC236}">
              <a16:creationId xmlns:a16="http://schemas.microsoft.com/office/drawing/2014/main" id="{0745D824-6E5F-4BBC-BF3B-5723EB1D3BB9}"/>
            </a:ext>
          </a:extLst>
        </xdr:cNvPr>
        <xdr:cNvSpPr/>
      </xdr:nvSpPr>
      <xdr:spPr>
        <a:xfrm>
          <a:off x="5837465" y="4050393"/>
          <a:ext cx="3941536" cy="26945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511288</xdr:colOff>
      <xdr:row>8</xdr:row>
      <xdr:rowOff>10887</xdr:rowOff>
    </xdr:from>
    <xdr:to>
      <xdr:col>16</xdr:col>
      <xdr:colOff>0</xdr:colOff>
      <xdr:row>20</xdr:row>
      <xdr:rowOff>124270</xdr:rowOff>
    </xdr:to>
    <xdr:graphicFrame macro="">
      <xdr:nvGraphicFramePr>
        <xdr:cNvPr id="3" name="Chart 2">
          <a:extLst>
            <a:ext uri="{FF2B5EF4-FFF2-40B4-BE49-F238E27FC236}">
              <a16:creationId xmlns:a16="http://schemas.microsoft.com/office/drawing/2014/main" id="{9AAE8173-8C18-44F2-9554-88235D868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241299</xdr:colOff>
      <xdr:row>21</xdr:row>
      <xdr:rowOff>165523</xdr:rowOff>
    </xdr:from>
    <xdr:to>
      <xdr:col>9</xdr:col>
      <xdr:colOff>270887</xdr:colOff>
      <xdr:row>34</xdr:row>
      <xdr:rowOff>140790</xdr:rowOff>
    </xdr:to>
    <xdr:graphicFrame macro="">
      <xdr:nvGraphicFramePr>
        <xdr:cNvPr id="4" name="Chart 3">
          <a:extLst>
            <a:ext uri="{FF2B5EF4-FFF2-40B4-BE49-F238E27FC236}">
              <a16:creationId xmlns:a16="http://schemas.microsoft.com/office/drawing/2014/main" id="{186B303C-ED40-463E-8A5E-DA1903DC0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519868</xdr:colOff>
      <xdr:row>21</xdr:row>
      <xdr:rowOff>152604</xdr:rowOff>
    </xdr:from>
    <xdr:to>
      <xdr:col>16</xdr:col>
      <xdr:colOff>25621</xdr:colOff>
      <xdr:row>34</xdr:row>
      <xdr:rowOff>168780</xdr:rowOff>
    </xdr:to>
    <xdr:graphicFrame macro="">
      <xdr:nvGraphicFramePr>
        <xdr:cNvPr id="10" name="Chart 9">
          <a:extLst>
            <a:ext uri="{FF2B5EF4-FFF2-40B4-BE49-F238E27FC236}">
              <a16:creationId xmlns:a16="http://schemas.microsoft.com/office/drawing/2014/main" id="{04CE51FD-A05A-42F0-950C-F68977919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111125</xdr:colOff>
      <xdr:row>0</xdr:row>
      <xdr:rowOff>127002</xdr:rowOff>
    </xdr:from>
    <xdr:to>
      <xdr:col>16</xdr:col>
      <xdr:colOff>127000</xdr:colOff>
      <xdr:row>35</xdr:row>
      <xdr:rowOff>79375</xdr:rowOff>
    </xdr:to>
    <xdr:sp macro="" textlink="">
      <xdr:nvSpPr>
        <xdr:cNvPr id="3" name="Rectangle 2">
          <a:extLst>
            <a:ext uri="{FF2B5EF4-FFF2-40B4-BE49-F238E27FC236}">
              <a16:creationId xmlns:a16="http://schemas.microsoft.com/office/drawing/2014/main" id="{B1C8D6E3-64E6-4B6F-B20E-CF5FBECA7848}"/>
            </a:ext>
          </a:extLst>
        </xdr:cNvPr>
        <xdr:cNvSpPr/>
      </xdr:nvSpPr>
      <xdr:spPr>
        <a:xfrm>
          <a:off x="1920875" y="127002"/>
          <a:ext cx="7858125" cy="6619873"/>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63500</xdr:colOff>
      <xdr:row>0</xdr:row>
      <xdr:rowOff>127000</xdr:rowOff>
    </xdr:from>
    <xdr:to>
      <xdr:col>3</xdr:col>
      <xdr:colOff>79375</xdr:colOff>
      <xdr:row>35</xdr:row>
      <xdr:rowOff>79375</xdr:rowOff>
    </xdr:to>
    <xdr:sp macro="" textlink="">
      <xdr:nvSpPr>
        <xdr:cNvPr id="2" name="Rectangle 1">
          <a:extLst>
            <a:ext uri="{FF2B5EF4-FFF2-40B4-BE49-F238E27FC236}">
              <a16:creationId xmlns:a16="http://schemas.microsoft.com/office/drawing/2014/main" id="{CF68D3C0-5F91-4752-95AF-A8342EB666CD}"/>
            </a:ext>
          </a:extLst>
        </xdr:cNvPr>
        <xdr:cNvSpPr/>
      </xdr:nvSpPr>
      <xdr:spPr>
        <a:xfrm>
          <a:off x="63500" y="127000"/>
          <a:ext cx="1825625" cy="661987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104775</xdr:colOff>
      <xdr:row>0</xdr:row>
      <xdr:rowOff>133350</xdr:rowOff>
    </xdr:from>
    <xdr:to>
      <xdr:col>16</xdr:col>
      <xdr:colOff>111125</xdr:colOff>
      <xdr:row>3</xdr:row>
      <xdr:rowOff>28574</xdr:rowOff>
    </xdr:to>
    <xdr:sp macro="" textlink="">
      <xdr:nvSpPr>
        <xdr:cNvPr id="11" name="Rectangle: Rounded Corners 10">
          <a:extLst>
            <a:ext uri="{FF2B5EF4-FFF2-40B4-BE49-F238E27FC236}">
              <a16:creationId xmlns:a16="http://schemas.microsoft.com/office/drawing/2014/main" id="{21E3FE87-3B50-425C-AF54-14665E0928A3}"/>
            </a:ext>
          </a:extLst>
        </xdr:cNvPr>
        <xdr:cNvSpPr/>
      </xdr:nvSpPr>
      <xdr:spPr>
        <a:xfrm>
          <a:off x="1914525" y="133350"/>
          <a:ext cx="7848600" cy="4667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baseline="0"/>
            <a:t>FACULTY DASHBOARD</a:t>
          </a:r>
          <a:endParaRPr lang="en-IN" sz="2800" b="1"/>
        </a:p>
      </xdr:txBody>
    </xdr:sp>
    <xdr:clientData/>
  </xdr:twoCellAnchor>
  <xdr:twoCellAnchor>
    <xdr:from>
      <xdr:col>3</xdr:col>
      <xdr:colOff>514350</xdr:colOff>
      <xdr:row>3</xdr:row>
      <xdr:rowOff>170090</xdr:rowOff>
    </xdr:from>
    <xdr:to>
      <xdr:col>5</xdr:col>
      <xdr:colOff>571500</xdr:colOff>
      <xdr:row>6</xdr:row>
      <xdr:rowOff>84365</xdr:rowOff>
    </xdr:to>
    <xdr:sp macro="" textlink="">
      <xdr:nvSpPr>
        <xdr:cNvPr id="12" name="Rectangle: Rounded Corners 11">
          <a:extLst>
            <a:ext uri="{FF2B5EF4-FFF2-40B4-BE49-F238E27FC236}">
              <a16:creationId xmlns:a16="http://schemas.microsoft.com/office/drawing/2014/main" id="{5526100F-D7F8-4C76-98FE-33F034388A32}"/>
            </a:ext>
          </a:extLst>
        </xdr:cNvPr>
        <xdr:cNvSpPr/>
      </xdr:nvSpPr>
      <xdr:spPr>
        <a:xfrm>
          <a:off x="2324100" y="741590"/>
          <a:ext cx="1263650" cy="48577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1100" b="1"/>
            <a:t>Total Faculty</a:t>
          </a:r>
          <a:r>
            <a:rPr lang="en-IN" sz="1100" b="1" baseline="0"/>
            <a:t> - 2</a:t>
          </a:r>
          <a:r>
            <a:rPr lang="en-IN" sz="1100" b="1"/>
            <a:t>0</a:t>
          </a:r>
        </a:p>
      </xdr:txBody>
    </xdr:sp>
    <xdr:clientData/>
  </xdr:twoCellAnchor>
  <xdr:twoCellAnchor>
    <xdr:from>
      <xdr:col>6</xdr:col>
      <xdr:colOff>590550</xdr:colOff>
      <xdr:row>3</xdr:row>
      <xdr:rowOff>189140</xdr:rowOff>
    </xdr:from>
    <xdr:to>
      <xdr:col>9</xdr:col>
      <xdr:colOff>38100</xdr:colOff>
      <xdr:row>6</xdr:row>
      <xdr:rowOff>103415</xdr:rowOff>
    </xdr:to>
    <xdr:sp macro="" textlink="">
      <xdr:nvSpPr>
        <xdr:cNvPr id="13" name="Rectangle: Rounded Corners 12">
          <a:extLst>
            <a:ext uri="{FF2B5EF4-FFF2-40B4-BE49-F238E27FC236}">
              <a16:creationId xmlns:a16="http://schemas.microsoft.com/office/drawing/2014/main" id="{0D8FFBF5-38FC-4500-9416-B11239D6F6C5}"/>
            </a:ext>
          </a:extLst>
        </xdr:cNvPr>
        <xdr:cNvSpPr/>
      </xdr:nvSpPr>
      <xdr:spPr>
        <a:xfrm>
          <a:off x="4210050" y="760640"/>
          <a:ext cx="1257300" cy="48577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1100" b="1"/>
            <a:t>Male -</a:t>
          </a:r>
          <a:r>
            <a:rPr lang="en-IN" sz="1100" b="1" baseline="0"/>
            <a:t> 7</a:t>
          </a:r>
          <a:endParaRPr lang="en-IN" sz="1100" b="1"/>
        </a:p>
      </xdr:txBody>
    </xdr:sp>
    <xdr:clientData/>
  </xdr:twoCellAnchor>
  <xdr:twoCellAnchor>
    <xdr:from>
      <xdr:col>10</xdr:col>
      <xdr:colOff>130175</xdr:colOff>
      <xdr:row>3</xdr:row>
      <xdr:rowOff>189140</xdr:rowOff>
    </xdr:from>
    <xdr:to>
      <xdr:col>12</xdr:col>
      <xdr:colOff>187325</xdr:colOff>
      <xdr:row>6</xdr:row>
      <xdr:rowOff>112940</xdr:rowOff>
    </xdr:to>
    <xdr:sp macro="" textlink="">
      <xdr:nvSpPr>
        <xdr:cNvPr id="14" name="Rectangle: Rounded Corners 13">
          <a:extLst>
            <a:ext uri="{FF2B5EF4-FFF2-40B4-BE49-F238E27FC236}">
              <a16:creationId xmlns:a16="http://schemas.microsoft.com/office/drawing/2014/main" id="{279E604F-0648-4583-A2F4-5847A580372D}"/>
            </a:ext>
          </a:extLst>
        </xdr:cNvPr>
        <xdr:cNvSpPr/>
      </xdr:nvSpPr>
      <xdr:spPr>
        <a:xfrm>
          <a:off x="6162675" y="760640"/>
          <a:ext cx="1263650" cy="49530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1100" b="1"/>
            <a:t>Female - 10</a:t>
          </a:r>
        </a:p>
      </xdr:txBody>
    </xdr:sp>
    <xdr:clientData/>
  </xdr:twoCellAnchor>
  <xdr:twoCellAnchor>
    <xdr:from>
      <xdr:col>13</xdr:col>
      <xdr:colOff>228600</xdr:colOff>
      <xdr:row>4</xdr:row>
      <xdr:rowOff>17690</xdr:rowOff>
    </xdr:from>
    <xdr:to>
      <xdr:col>15</xdr:col>
      <xdr:colOff>285750</xdr:colOff>
      <xdr:row>6</xdr:row>
      <xdr:rowOff>103415</xdr:rowOff>
    </xdr:to>
    <xdr:sp macro="" textlink="">
      <xdr:nvSpPr>
        <xdr:cNvPr id="15" name="Rectangle: Rounded Corners 14">
          <a:extLst>
            <a:ext uri="{FF2B5EF4-FFF2-40B4-BE49-F238E27FC236}">
              <a16:creationId xmlns:a16="http://schemas.microsoft.com/office/drawing/2014/main" id="{52EF3DA4-65BD-4F49-97C9-307748CB87C0}"/>
            </a:ext>
          </a:extLst>
        </xdr:cNvPr>
        <xdr:cNvSpPr/>
      </xdr:nvSpPr>
      <xdr:spPr>
        <a:xfrm>
          <a:off x="8070850" y="779690"/>
          <a:ext cx="1263650" cy="46672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1100" b="1"/>
            <a:t>Other</a:t>
          </a:r>
          <a:r>
            <a:rPr lang="en-IN" sz="1100" b="1" baseline="0"/>
            <a:t> - 3</a:t>
          </a:r>
          <a:endParaRPr lang="en-IN" sz="1100" b="1"/>
        </a:p>
      </xdr:txBody>
    </xdr:sp>
    <xdr:clientData/>
  </xdr:twoCellAnchor>
  <xdr:twoCellAnchor>
    <xdr:from>
      <xdr:col>3</xdr:col>
      <xdr:colOff>126998</xdr:colOff>
      <xdr:row>7</xdr:row>
      <xdr:rowOff>125188</xdr:rowOff>
    </xdr:from>
    <xdr:to>
      <xdr:col>9</xdr:col>
      <xdr:colOff>408934</xdr:colOff>
      <xdr:row>21</xdr:row>
      <xdr:rowOff>154781</xdr:rowOff>
    </xdr:to>
    <xdr:sp macro="" textlink="">
      <xdr:nvSpPr>
        <xdr:cNvPr id="16" name="Rectangle 15">
          <a:extLst>
            <a:ext uri="{FF2B5EF4-FFF2-40B4-BE49-F238E27FC236}">
              <a16:creationId xmlns:a16="http://schemas.microsoft.com/office/drawing/2014/main" id="{3E2C3DA4-1B20-4291-A77D-82053C7F9721}"/>
            </a:ext>
          </a:extLst>
        </xdr:cNvPr>
        <xdr:cNvSpPr/>
      </xdr:nvSpPr>
      <xdr:spPr>
        <a:xfrm>
          <a:off x="1948654" y="1458688"/>
          <a:ext cx="3925249" cy="269659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424074</xdr:colOff>
      <xdr:row>7</xdr:row>
      <xdr:rowOff>125188</xdr:rowOff>
    </xdr:from>
    <xdr:to>
      <xdr:col>16</xdr:col>
      <xdr:colOff>116417</xdr:colOff>
      <xdr:row>21</xdr:row>
      <xdr:rowOff>173402</xdr:rowOff>
    </xdr:to>
    <xdr:sp macro="" textlink="">
      <xdr:nvSpPr>
        <xdr:cNvPr id="17" name="Rectangle 16">
          <a:extLst>
            <a:ext uri="{FF2B5EF4-FFF2-40B4-BE49-F238E27FC236}">
              <a16:creationId xmlns:a16="http://schemas.microsoft.com/office/drawing/2014/main" id="{B6BB6C3C-1B6D-4D9F-96F8-06541E7FAF70}"/>
            </a:ext>
          </a:extLst>
        </xdr:cNvPr>
        <xdr:cNvSpPr/>
      </xdr:nvSpPr>
      <xdr:spPr>
        <a:xfrm>
          <a:off x="5889043" y="1458688"/>
          <a:ext cx="3942874" cy="27152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116417</xdr:colOff>
      <xdr:row>21</xdr:row>
      <xdr:rowOff>180829</xdr:rowOff>
    </xdr:from>
    <xdr:to>
      <xdr:col>16</xdr:col>
      <xdr:colOff>127000</xdr:colOff>
      <xdr:row>35</xdr:row>
      <xdr:rowOff>63500</xdr:rowOff>
    </xdr:to>
    <xdr:sp macro="" textlink="">
      <xdr:nvSpPr>
        <xdr:cNvPr id="18" name="Rectangle 17">
          <a:extLst>
            <a:ext uri="{FF2B5EF4-FFF2-40B4-BE49-F238E27FC236}">
              <a16:creationId xmlns:a16="http://schemas.microsoft.com/office/drawing/2014/main" id="{47904955-A3AA-4835-941B-898597AEABD6}"/>
            </a:ext>
          </a:extLst>
        </xdr:cNvPr>
        <xdr:cNvSpPr/>
      </xdr:nvSpPr>
      <xdr:spPr>
        <a:xfrm>
          <a:off x="1926167" y="4181329"/>
          <a:ext cx="7852833" cy="25496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184148</xdr:colOff>
      <xdr:row>7</xdr:row>
      <xdr:rowOff>190499</xdr:rowOff>
    </xdr:from>
    <xdr:to>
      <xdr:col>9</xdr:col>
      <xdr:colOff>357186</xdr:colOff>
      <xdr:row>21</xdr:row>
      <xdr:rowOff>98897</xdr:rowOff>
    </xdr:to>
    <xdr:graphicFrame macro="">
      <xdr:nvGraphicFramePr>
        <xdr:cNvPr id="21" name="Chart 20">
          <a:extLst>
            <a:ext uri="{FF2B5EF4-FFF2-40B4-BE49-F238E27FC236}">
              <a16:creationId xmlns:a16="http://schemas.microsoft.com/office/drawing/2014/main" id="{BD8A3D40-276C-4038-AB70-9CEB18F76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488156</xdr:colOff>
      <xdr:row>7</xdr:row>
      <xdr:rowOff>180974</xdr:rowOff>
    </xdr:from>
    <xdr:to>
      <xdr:col>16</xdr:col>
      <xdr:colOff>36706</xdr:colOff>
      <xdr:row>21</xdr:row>
      <xdr:rowOff>107156</xdr:rowOff>
    </xdr:to>
    <xdr:graphicFrame macro="">
      <xdr:nvGraphicFramePr>
        <xdr:cNvPr id="22" name="Chart 21">
          <a:extLst>
            <a:ext uri="{FF2B5EF4-FFF2-40B4-BE49-F238E27FC236}">
              <a16:creationId xmlns:a16="http://schemas.microsoft.com/office/drawing/2014/main" id="{CB98E967-CBBE-4D98-A0B9-FC62A3809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169333</xdr:colOff>
      <xdr:row>22</xdr:row>
      <xdr:rowOff>59384</xdr:rowOff>
    </xdr:from>
    <xdr:to>
      <xdr:col>16</xdr:col>
      <xdr:colOff>52917</xdr:colOff>
      <xdr:row>34</xdr:row>
      <xdr:rowOff>142875</xdr:rowOff>
    </xdr:to>
    <xdr:graphicFrame macro="">
      <xdr:nvGraphicFramePr>
        <xdr:cNvPr id="23" name="Chart 22">
          <a:extLst>
            <a:ext uri="{FF2B5EF4-FFF2-40B4-BE49-F238E27FC236}">
              <a16:creationId xmlns:a16="http://schemas.microsoft.com/office/drawing/2014/main" id="{018AD195-C168-4122-9B4C-579BE043B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79375</xdr:colOff>
      <xdr:row>0</xdr:row>
      <xdr:rowOff>111125</xdr:rowOff>
    </xdr:from>
    <xdr:to>
      <xdr:col>3</xdr:col>
      <xdr:colOff>62172</xdr:colOff>
      <xdr:row>7</xdr:row>
      <xdr:rowOff>50800</xdr:rowOff>
    </xdr:to>
    <mc:AlternateContent xmlns:mc="http://schemas.openxmlformats.org/markup-compatibility/2006" xmlns:a14="http://schemas.microsoft.com/office/drawing/2010/main">
      <mc:Choice Requires="a14">
        <xdr:graphicFrame macro="">
          <xdr:nvGraphicFramePr>
            <xdr:cNvPr id="24" name="Gender 1">
              <a:extLst>
                <a:ext uri="{FF2B5EF4-FFF2-40B4-BE49-F238E27FC236}">
                  <a16:creationId xmlns:a16="http://schemas.microsoft.com/office/drawing/2014/main" id="{8CAD85D8-7CDE-4D22-8399-B5E2ACB7D0A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9375" y="111125"/>
              <a:ext cx="1792547" cy="1273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95249</xdr:colOff>
      <xdr:row>7</xdr:row>
      <xdr:rowOff>69850</xdr:rowOff>
    </xdr:from>
    <xdr:to>
      <xdr:col>3</xdr:col>
      <xdr:colOff>63500</xdr:colOff>
      <xdr:row>19</xdr:row>
      <xdr:rowOff>47625</xdr:rowOff>
    </xdr:to>
    <mc:AlternateContent xmlns:mc="http://schemas.openxmlformats.org/markup-compatibility/2006" xmlns:a14="http://schemas.microsoft.com/office/drawing/2010/main">
      <mc:Choice Requires="a14">
        <xdr:graphicFrame macro="">
          <xdr:nvGraphicFramePr>
            <xdr:cNvPr id="25" name="Qualification">
              <a:extLst>
                <a:ext uri="{FF2B5EF4-FFF2-40B4-BE49-F238E27FC236}">
                  <a16:creationId xmlns:a16="http://schemas.microsoft.com/office/drawing/2014/main" id="{4B141EAB-B84C-4B77-873D-7425DC356AF2}"/>
                </a:ext>
              </a:extLst>
            </xdr:cNvPr>
            <xdr:cNvGraphicFramePr/>
          </xdr:nvGraphicFramePr>
          <xdr:xfrm>
            <a:off x="0" y="0"/>
            <a:ext cx="0" cy="0"/>
          </xdr:xfrm>
          <a:graphic>
            <a:graphicData uri="http://schemas.microsoft.com/office/drawing/2010/slicer">
              <sle:slicer xmlns:sle="http://schemas.microsoft.com/office/drawing/2010/slicer" name="Qualification"/>
            </a:graphicData>
          </a:graphic>
        </xdr:graphicFrame>
      </mc:Choice>
      <mc:Fallback xmlns="">
        <xdr:sp macro="" textlink="">
          <xdr:nvSpPr>
            <xdr:cNvPr id="0" name=""/>
            <xdr:cNvSpPr>
              <a:spLocks noTextEdit="1"/>
            </xdr:cNvSpPr>
          </xdr:nvSpPr>
          <xdr:spPr>
            <a:xfrm>
              <a:off x="95249" y="1403350"/>
              <a:ext cx="1778001" cy="2263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19</xdr:row>
      <xdr:rowOff>57150</xdr:rowOff>
    </xdr:from>
    <xdr:to>
      <xdr:col>3</xdr:col>
      <xdr:colOff>74021</xdr:colOff>
      <xdr:row>35</xdr:row>
      <xdr:rowOff>63500</xdr:rowOff>
    </xdr:to>
    <mc:AlternateContent xmlns:mc="http://schemas.openxmlformats.org/markup-compatibility/2006" xmlns:a14="http://schemas.microsoft.com/office/drawing/2010/main">
      <mc:Choice Requires="a14">
        <xdr:graphicFrame macro="">
          <xdr:nvGraphicFramePr>
            <xdr:cNvPr id="26" name="State 1">
              <a:extLst>
                <a:ext uri="{FF2B5EF4-FFF2-40B4-BE49-F238E27FC236}">
                  <a16:creationId xmlns:a16="http://schemas.microsoft.com/office/drawing/2014/main" id="{22B2D300-AD7C-4B79-AAF2-3FFC7FEC0032}"/>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95250" y="3676650"/>
              <a:ext cx="1788521" cy="3054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23815</xdr:colOff>
      <xdr:row>0</xdr:row>
      <xdr:rowOff>134145</xdr:rowOff>
    </xdr:from>
    <xdr:to>
      <xdr:col>16</xdr:col>
      <xdr:colOff>158750</xdr:colOff>
      <xdr:row>35</xdr:row>
      <xdr:rowOff>79374</xdr:rowOff>
    </xdr:to>
    <xdr:sp macro="" textlink="">
      <xdr:nvSpPr>
        <xdr:cNvPr id="19" name="Rectangle 18">
          <a:extLst>
            <a:ext uri="{FF2B5EF4-FFF2-40B4-BE49-F238E27FC236}">
              <a16:creationId xmlns:a16="http://schemas.microsoft.com/office/drawing/2014/main" id="{5EC09C77-666A-49D1-B3B5-D1A2D4B76173}"/>
            </a:ext>
          </a:extLst>
        </xdr:cNvPr>
        <xdr:cNvSpPr/>
      </xdr:nvSpPr>
      <xdr:spPr>
        <a:xfrm>
          <a:off x="1833565" y="134145"/>
          <a:ext cx="7977185" cy="6612729"/>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63500</xdr:colOff>
      <xdr:row>0</xdr:row>
      <xdr:rowOff>127000</xdr:rowOff>
    </xdr:from>
    <xdr:to>
      <xdr:col>3</xdr:col>
      <xdr:colOff>15875</xdr:colOff>
      <xdr:row>35</xdr:row>
      <xdr:rowOff>79375</xdr:rowOff>
    </xdr:to>
    <xdr:sp macro="" textlink="">
      <xdr:nvSpPr>
        <xdr:cNvPr id="18" name="Rectangle 17">
          <a:extLst>
            <a:ext uri="{FF2B5EF4-FFF2-40B4-BE49-F238E27FC236}">
              <a16:creationId xmlns:a16="http://schemas.microsoft.com/office/drawing/2014/main" id="{E04F2AB6-0FDD-4A2F-B454-0A92C2C4BC0F}"/>
            </a:ext>
          </a:extLst>
        </xdr:cNvPr>
        <xdr:cNvSpPr/>
      </xdr:nvSpPr>
      <xdr:spPr>
        <a:xfrm>
          <a:off x="63500" y="127000"/>
          <a:ext cx="1762125" cy="661987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31752</xdr:colOff>
      <xdr:row>0</xdr:row>
      <xdr:rowOff>142875</xdr:rowOff>
    </xdr:from>
    <xdr:to>
      <xdr:col>16</xdr:col>
      <xdr:colOff>127000</xdr:colOff>
      <xdr:row>3</xdr:row>
      <xdr:rowOff>38099</xdr:rowOff>
    </xdr:to>
    <xdr:sp macro="" textlink="">
      <xdr:nvSpPr>
        <xdr:cNvPr id="2" name="Rectangle: Rounded Corners 1">
          <a:extLst>
            <a:ext uri="{FF2B5EF4-FFF2-40B4-BE49-F238E27FC236}">
              <a16:creationId xmlns:a16="http://schemas.microsoft.com/office/drawing/2014/main" id="{A7887995-EFBB-435C-A476-A88ED02E70C6}"/>
            </a:ext>
          </a:extLst>
        </xdr:cNvPr>
        <xdr:cNvSpPr/>
      </xdr:nvSpPr>
      <xdr:spPr>
        <a:xfrm>
          <a:off x="1841502" y="142875"/>
          <a:ext cx="7937498" cy="4667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baseline="0"/>
            <a:t>DEPARTMENT &amp; COURSE DASHBOARD</a:t>
          </a:r>
          <a:endParaRPr lang="en-IN" sz="2800" b="1"/>
        </a:p>
      </xdr:txBody>
    </xdr:sp>
    <xdr:clientData/>
  </xdr:twoCellAnchor>
  <xdr:twoCellAnchor>
    <xdr:from>
      <xdr:col>3</xdr:col>
      <xdr:colOff>476250</xdr:colOff>
      <xdr:row>4</xdr:row>
      <xdr:rowOff>8165</xdr:rowOff>
    </xdr:from>
    <xdr:to>
      <xdr:col>9</xdr:col>
      <xdr:colOff>63499</xdr:colOff>
      <xdr:row>6</xdr:row>
      <xdr:rowOff>158750</xdr:rowOff>
    </xdr:to>
    <xdr:sp macro="" textlink="">
      <xdr:nvSpPr>
        <xdr:cNvPr id="3" name="Rectangle: Rounded Corners 2">
          <a:extLst>
            <a:ext uri="{FF2B5EF4-FFF2-40B4-BE49-F238E27FC236}">
              <a16:creationId xmlns:a16="http://schemas.microsoft.com/office/drawing/2014/main" id="{08E79152-35D7-4943-A296-5ECA39AB695A}"/>
            </a:ext>
          </a:extLst>
        </xdr:cNvPr>
        <xdr:cNvSpPr/>
      </xdr:nvSpPr>
      <xdr:spPr>
        <a:xfrm>
          <a:off x="2286000" y="770165"/>
          <a:ext cx="3206749" cy="53158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2000" b="1"/>
            <a:t>Total Department</a:t>
          </a:r>
          <a:r>
            <a:rPr lang="en-IN" sz="2000" b="1" baseline="0"/>
            <a:t> - 8</a:t>
          </a:r>
          <a:endParaRPr lang="en-IN" sz="2000" b="1"/>
        </a:p>
      </xdr:txBody>
    </xdr:sp>
    <xdr:clientData/>
  </xdr:twoCellAnchor>
  <xdr:twoCellAnchor>
    <xdr:from>
      <xdr:col>10</xdr:col>
      <xdr:colOff>15875</xdr:colOff>
      <xdr:row>3</xdr:row>
      <xdr:rowOff>185965</xdr:rowOff>
    </xdr:from>
    <xdr:to>
      <xdr:col>15</xdr:col>
      <xdr:colOff>380999</xdr:colOff>
      <xdr:row>6</xdr:row>
      <xdr:rowOff>158750</xdr:rowOff>
    </xdr:to>
    <xdr:sp macro="" textlink="">
      <xdr:nvSpPr>
        <xdr:cNvPr id="4" name="Rectangle: Rounded Corners 3">
          <a:extLst>
            <a:ext uri="{FF2B5EF4-FFF2-40B4-BE49-F238E27FC236}">
              <a16:creationId xmlns:a16="http://schemas.microsoft.com/office/drawing/2014/main" id="{117D9ED7-E09C-4CEA-BA9A-1A43F0FE1BEA}"/>
            </a:ext>
          </a:extLst>
        </xdr:cNvPr>
        <xdr:cNvSpPr/>
      </xdr:nvSpPr>
      <xdr:spPr>
        <a:xfrm>
          <a:off x="6048375" y="757465"/>
          <a:ext cx="3381374" cy="54428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2000" b="1"/>
            <a:t>Total</a:t>
          </a:r>
          <a:r>
            <a:rPr lang="en-IN" sz="2000" b="1" baseline="0"/>
            <a:t> Course</a:t>
          </a:r>
          <a:r>
            <a:rPr lang="en-IN" sz="2000" b="1"/>
            <a:t> -</a:t>
          </a:r>
          <a:r>
            <a:rPr lang="en-IN" sz="2000" b="1" baseline="0"/>
            <a:t> 8</a:t>
          </a:r>
          <a:endParaRPr lang="en-IN" sz="2000" b="1"/>
        </a:p>
      </xdr:txBody>
    </xdr:sp>
    <xdr:clientData/>
  </xdr:twoCellAnchor>
  <xdr:twoCellAnchor>
    <xdr:from>
      <xdr:col>3</xdr:col>
      <xdr:colOff>28923</xdr:colOff>
      <xdr:row>7</xdr:row>
      <xdr:rowOff>134712</xdr:rowOff>
    </xdr:from>
    <xdr:to>
      <xdr:col>9</xdr:col>
      <xdr:colOff>333375</xdr:colOff>
      <xdr:row>21</xdr:row>
      <xdr:rowOff>83343</xdr:rowOff>
    </xdr:to>
    <xdr:sp macro="" textlink="">
      <xdr:nvSpPr>
        <xdr:cNvPr id="7" name="Rectangle 6">
          <a:extLst>
            <a:ext uri="{FF2B5EF4-FFF2-40B4-BE49-F238E27FC236}">
              <a16:creationId xmlns:a16="http://schemas.microsoft.com/office/drawing/2014/main" id="{163DE638-74FB-4B4B-BA00-8D36E8A43DD3}"/>
            </a:ext>
          </a:extLst>
        </xdr:cNvPr>
        <xdr:cNvSpPr/>
      </xdr:nvSpPr>
      <xdr:spPr>
        <a:xfrm>
          <a:off x="1850579" y="1468212"/>
          <a:ext cx="3947765" cy="26156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333375</xdr:colOff>
      <xdr:row>7</xdr:row>
      <xdr:rowOff>134713</xdr:rowOff>
    </xdr:from>
    <xdr:to>
      <xdr:col>16</xdr:col>
      <xdr:colOff>127000</xdr:colOff>
      <xdr:row>21</xdr:row>
      <xdr:rowOff>95993</xdr:rowOff>
    </xdr:to>
    <xdr:sp macro="" textlink="">
      <xdr:nvSpPr>
        <xdr:cNvPr id="8" name="Rectangle 7">
          <a:extLst>
            <a:ext uri="{FF2B5EF4-FFF2-40B4-BE49-F238E27FC236}">
              <a16:creationId xmlns:a16="http://schemas.microsoft.com/office/drawing/2014/main" id="{22103F55-72E9-43FD-8037-07F6D01517A5}"/>
            </a:ext>
          </a:extLst>
        </xdr:cNvPr>
        <xdr:cNvSpPr/>
      </xdr:nvSpPr>
      <xdr:spPr>
        <a:xfrm>
          <a:off x="5762625" y="1468213"/>
          <a:ext cx="4016375" cy="26282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35719</xdr:colOff>
      <xdr:row>21</xdr:row>
      <xdr:rowOff>89813</xdr:rowOff>
    </xdr:from>
    <xdr:to>
      <xdr:col>9</xdr:col>
      <xdr:colOff>333375</xdr:colOff>
      <xdr:row>35</xdr:row>
      <xdr:rowOff>79375</xdr:rowOff>
    </xdr:to>
    <xdr:sp macro="" textlink="">
      <xdr:nvSpPr>
        <xdr:cNvPr id="9" name="Rectangle 8">
          <a:extLst>
            <a:ext uri="{FF2B5EF4-FFF2-40B4-BE49-F238E27FC236}">
              <a16:creationId xmlns:a16="http://schemas.microsoft.com/office/drawing/2014/main" id="{44FE2693-C582-4066-91C6-28B2E547E6A1}"/>
            </a:ext>
          </a:extLst>
        </xdr:cNvPr>
        <xdr:cNvSpPr/>
      </xdr:nvSpPr>
      <xdr:spPr>
        <a:xfrm>
          <a:off x="1845469" y="4090313"/>
          <a:ext cx="3917156" cy="265656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365125</xdr:colOff>
      <xdr:row>21</xdr:row>
      <xdr:rowOff>111125</xdr:rowOff>
    </xdr:from>
    <xdr:to>
      <xdr:col>16</xdr:col>
      <xdr:colOff>121446</xdr:colOff>
      <xdr:row>35</xdr:row>
      <xdr:rowOff>47625</xdr:rowOff>
    </xdr:to>
    <xdr:sp macro="" textlink="">
      <xdr:nvSpPr>
        <xdr:cNvPr id="10" name="Rectangle 9">
          <a:extLst>
            <a:ext uri="{FF2B5EF4-FFF2-40B4-BE49-F238E27FC236}">
              <a16:creationId xmlns:a16="http://schemas.microsoft.com/office/drawing/2014/main" id="{53F82255-3E95-473C-B098-935711FDB32B}"/>
            </a:ext>
          </a:extLst>
        </xdr:cNvPr>
        <xdr:cNvSpPr/>
      </xdr:nvSpPr>
      <xdr:spPr>
        <a:xfrm>
          <a:off x="5794375" y="4111625"/>
          <a:ext cx="3979071" cy="2603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433374</xdr:colOff>
      <xdr:row>21</xdr:row>
      <xdr:rowOff>156488</xdr:rowOff>
    </xdr:from>
    <xdr:to>
      <xdr:col>16</xdr:col>
      <xdr:colOff>63500</xdr:colOff>
      <xdr:row>34</xdr:row>
      <xdr:rowOff>158749</xdr:rowOff>
    </xdr:to>
    <xdr:graphicFrame macro="">
      <xdr:nvGraphicFramePr>
        <xdr:cNvPr id="14" name="Chart 13">
          <a:extLst>
            <a:ext uri="{FF2B5EF4-FFF2-40B4-BE49-F238E27FC236}">
              <a16:creationId xmlns:a16="http://schemas.microsoft.com/office/drawing/2014/main" id="{59589F09-68A7-428F-B3B8-E06F8E14A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107157</xdr:colOff>
      <xdr:row>8</xdr:row>
      <xdr:rowOff>10887</xdr:rowOff>
    </xdr:from>
    <xdr:to>
      <xdr:col>9</xdr:col>
      <xdr:colOff>222250</xdr:colOff>
      <xdr:row>21</xdr:row>
      <xdr:rowOff>21264</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3FC75DC6-0773-43C2-8D26-69571604A8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935957" y="1534887"/>
              <a:ext cx="3772693" cy="24868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402298</xdr:colOff>
      <xdr:row>8</xdr:row>
      <xdr:rowOff>0</xdr:rowOff>
    </xdr:from>
    <xdr:to>
      <xdr:col>16</xdr:col>
      <xdr:colOff>55698</xdr:colOff>
      <xdr:row>21</xdr:row>
      <xdr:rowOff>23811</xdr:rowOff>
    </xdr:to>
    <xdr:graphicFrame macro="">
      <xdr:nvGraphicFramePr>
        <xdr:cNvPr id="5" name="Chart 4">
          <a:extLst>
            <a:ext uri="{FF2B5EF4-FFF2-40B4-BE49-F238E27FC236}">
              <a16:creationId xmlns:a16="http://schemas.microsoft.com/office/drawing/2014/main" id="{37819D92-EE45-421A-A592-EF8A214D3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113465</xdr:colOff>
      <xdr:row>21</xdr:row>
      <xdr:rowOff>152400</xdr:rowOff>
    </xdr:from>
    <xdr:to>
      <xdr:col>9</xdr:col>
      <xdr:colOff>214312</xdr:colOff>
      <xdr:row>35</xdr:row>
      <xdr:rowOff>22566</xdr:rowOff>
    </xdr:to>
    <xdr:graphicFrame macro="">
      <xdr:nvGraphicFramePr>
        <xdr:cNvPr id="6" name="Chart 5">
          <a:extLst>
            <a:ext uri="{FF2B5EF4-FFF2-40B4-BE49-F238E27FC236}">
              <a16:creationId xmlns:a16="http://schemas.microsoft.com/office/drawing/2014/main" id="{9B56509E-2551-427A-8DBA-676698DF5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79375</xdr:colOff>
      <xdr:row>0</xdr:row>
      <xdr:rowOff>111125</xdr:rowOff>
    </xdr:from>
    <xdr:to>
      <xdr:col>3</xdr:col>
      <xdr:colOff>0</xdr:colOff>
      <xdr:row>17</xdr:row>
      <xdr:rowOff>142875</xdr:rowOff>
    </xdr:to>
    <mc:AlternateContent xmlns:mc="http://schemas.openxmlformats.org/markup-compatibility/2006" xmlns:a14="http://schemas.microsoft.com/office/drawing/2010/main">
      <mc:Choice Requires="a14">
        <xdr:graphicFrame macro="">
          <xdr:nvGraphicFramePr>
            <xdr:cNvPr id="11" name="CourseName 1">
              <a:extLst>
                <a:ext uri="{FF2B5EF4-FFF2-40B4-BE49-F238E27FC236}">
                  <a16:creationId xmlns:a16="http://schemas.microsoft.com/office/drawing/2014/main" id="{36AF5889-BB1D-45CD-911C-70CE5D599E07}"/>
                </a:ext>
              </a:extLst>
            </xdr:cNvPr>
            <xdr:cNvGraphicFramePr/>
          </xdr:nvGraphicFramePr>
          <xdr:xfrm>
            <a:off x="0" y="0"/>
            <a:ext cx="0" cy="0"/>
          </xdr:xfrm>
          <a:graphic>
            <a:graphicData uri="http://schemas.microsoft.com/office/drawing/2010/slicer">
              <sle:slicer xmlns:sle="http://schemas.microsoft.com/office/drawing/2010/slicer" name="CourseName 1"/>
            </a:graphicData>
          </a:graphic>
        </xdr:graphicFrame>
      </mc:Choice>
      <mc:Fallback xmlns="">
        <xdr:sp macro="" textlink="">
          <xdr:nvSpPr>
            <xdr:cNvPr id="0" name=""/>
            <xdr:cNvSpPr>
              <a:spLocks noTextEdit="1"/>
            </xdr:cNvSpPr>
          </xdr:nvSpPr>
          <xdr:spPr>
            <a:xfrm>
              <a:off x="79375" y="111125"/>
              <a:ext cx="1730375" cy="327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79376</xdr:colOff>
      <xdr:row>17</xdr:row>
      <xdr:rowOff>146050</xdr:rowOff>
    </xdr:from>
    <xdr:to>
      <xdr:col>3</xdr:col>
      <xdr:colOff>0</xdr:colOff>
      <xdr:row>35</xdr:row>
      <xdr:rowOff>63500</xdr:rowOff>
    </xdr:to>
    <mc:AlternateContent xmlns:mc="http://schemas.openxmlformats.org/markup-compatibility/2006" xmlns:a14="http://schemas.microsoft.com/office/drawing/2010/main">
      <mc:Choice Requires="a14">
        <xdr:graphicFrame macro="">
          <xdr:nvGraphicFramePr>
            <xdr:cNvPr id="16" name="Department">
              <a:extLst>
                <a:ext uri="{FF2B5EF4-FFF2-40B4-BE49-F238E27FC236}">
                  <a16:creationId xmlns:a16="http://schemas.microsoft.com/office/drawing/2014/main" id="{99D6BC94-2496-4EC8-9428-FF90E0D57CA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9376" y="3384550"/>
              <a:ext cx="1730374" cy="3346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79375</xdr:colOff>
      <xdr:row>0</xdr:row>
      <xdr:rowOff>158750</xdr:rowOff>
    </xdr:from>
    <xdr:to>
      <xdr:col>16</xdr:col>
      <xdr:colOff>127000</xdr:colOff>
      <xdr:row>35</xdr:row>
      <xdr:rowOff>79375</xdr:rowOff>
    </xdr:to>
    <xdr:sp macro="" textlink="">
      <xdr:nvSpPr>
        <xdr:cNvPr id="6" name="Rectangle 5">
          <a:extLst>
            <a:ext uri="{FF2B5EF4-FFF2-40B4-BE49-F238E27FC236}">
              <a16:creationId xmlns:a16="http://schemas.microsoft.com/office/drawing/2014/main" id="{45E3021C-190E-4E36-B581-0DB28806DE45}"/>
            </a:ext>
          </a:extLst>
        </xdr:cNvPr>
        <xdr:cNvSpPr/>
      </xdr:nvSpPr>
      <xdr:spPr>
        <a:xfrm>
          <a:off x="1889125" y="158750"/>
          <a:ext cx="7889875" cy="6588125"/>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31750</xdr:colOff>
      <xdr:row>0</xdr:row>
      <xdr:rowOff>158749</xdr:rowOff>
    </xdr:from>
    <xdr:to>
      <xdr:col>3</xdr:col>
      <xdr:colOff>47625</xdr:colOff>
      <xdr:row>35</xdr:row>
      <xdr:rowOff>79374</xdr:rowOff>
    </xdr:to>
    <xdr:sp macro="" textlink="">
      <xdr:nvSpPr>
        <xdr:cNvPr id="5" name="Rectangle 4">
          <a:extLst>
            <a:ext uri="{FF2B5EF4-FFF2-40B4-BE49-F238E27FC236}">
              <a16:creationId xmlns:a16="http://schemas.microsoft.com/office/drawing/2014/main" id="{CBB40F82-2D67-71D2-CACA-44898AAE6499}"/>
            </a:ext>
          </a:extLst>
        </xdr:cNvPr>
        <xdr:cNvSpPr/>
      </xdr:nvSpPr>
      <xdr:spPr>
        <a:xfrm>
          <a:off x="31750" y="158749"/>
          <a:ext cx="1825625" cy="658812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95249</xdr:colOff>
      <xdr:row>0</xdr:row>
      <xdr:rowOff>171450</xdr:rowOff>
    </xdr:from>
    <xdr:to>
      <xdr:col>16</xdr:col>
      <xdr:colOff>111125</xdr:colOff>
      <xdr:row>3</xdr:row>
      <xdr:rowOff>66674</xdr:rowOff>
    </xdr:to>
    <xdr:sp macro="" textlink="">
      <xdr:nvSpPr>
        <xdr:cNvPr id="2" name="Rectangle: Rounded Corners 1">
          <a:extLst>
            <a:ext uri="{FF2B5EF4-FFF2-40B4-BE49-F238E27FC236}">
              <a16:creationId xmlns:a16="http://schemas.microsoft.com/office/drawing/2014/main" id="{78E33E76-F8DC-4675-89D9-9990845182A1}"/>
            </a:ext>
          </a:extLst>
        </xdr:cNvPr>
        <xdr:cNvSpPr/>
      </xdr:nvSpPr>
      <xdr:spPr>
        <a:xfrm>
          <a:off x="1904999" y="171450"/>
          <a:ext cx="7858126" cy="4667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baseline="0"/>
            <a:t>EVENT DASHBOARD</a:t>
          </a:r>
          <a:endParaRPr lang="en-IN" sz="2800" b="1"/>
        </a:p>
      </xdr:txBody>
    </xdr:sp>
    <xdr:clientData/>
  </xdr:twoCellAnchor>
  <xdr:twoCellAnchor>
    <xdr:from>
      <xdr:col>3</xdr:col>
      <xdr:colOff>428625</xdr:colOff>
      <xdr:row>4</xdr:row>
      <xdr:rowOff>36740</xdr:rowOff>
    </xdr:from>
    <xdr:to>
      <xdr:col>9</xdr:col>
      <xdr:colOff>158750</xdr:colOff>
      <xdr:row>7</xdr:row>
      <xdr:rowOff>31750</xdr:rowOff>
    </xdr:to>
    <xdr:sp macro="" textlink="">
      <xdr:nvSpPr>
        <xdr:cNvPr id="3" name="Rectangle: Rounded Corners 2">
          <a:extLst>
            <a:ext uri="{FF2B5EF4-FFF2-40B4-BE49-F238E27FC236}">
              <a16:creationId xmlns:a16="http://schemas.microsoft.com/office/drawing/2014/main" id="{CEFE17A6-F2BE-4259-A1F2-9E9C3863CFF5}"/>
            </a:ext>
          </a:extLst>
        </xdr:cNvPr>
        <xdr:cNvSpPr/>
      </xdr:nvSpPr>
      <xdr:spPr>
        <a:xfrm>
          <a:off x="2238375" y="798740"/>
          <a:ext cx="3349625" cy="56651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2000" b="1"/>
            <a:t>Total Events</a:t>
          </a:r>
          <a:r>
            <a:rPr lang="en-IN" sz="2000" b="1" baseline="0"/>
            <a:t> - 4</a:t>
          </a:r>
          <a:r>
            <a:rPr lang="en-IN" sz="2000" b="1"/>
            <a:t>0</a:t>
          </a:r>
        </a:p>
      </xdr:txBody>
    </xdr:sp>
    <xdr:clientData/>
  </xdr:twoCellAnchor>
  <xdr:twoCellAnchor>
    <xdr:from>
      <xdr:col>10</xdr:col>
      <xdr:colOff>47625</xdr:colOff>
      <xdr:row>4</xdr:row>
      <xdr:rowOff>46265</xdr:rowOff>
    </xdr:from>
    <xdr:to>
      <xdr:col>15</xdr:col>
      <xdr:colOff>349250</xdr:colOff>
      <xdr:row>7</xdr:row>
      <xdr:rowOff>31750</xdr:rowOff>
    </xdr:to>
    <xdr:sp macro="" textlink="">
      <xdr:nvSpPr>
        <xdr:cNvPr id="4" name="Rectangle: Rounded Corners 3">
          <a:extLst>
            <a:ext uri="{FF2B5EF4-FFF2-40B4-BE49-F238E27FC236}">
              <a16:creationId xmlns:a16="http://schemas.microsoft.com/office/drawing/2014/main" id="{4C54BB4C-CBDE-487A-B20E-407F4B465123}"/>
            </a:ext>
          </a:extLst>
        </xdr:cNvPr>
        <xdr:cNvSpPr/>
      </xdr:nvSpPr>
      <xdr:spPr>
        <a:xfrm>
          <a:off x="6080125" y="808265"/>
          <a:ext cx="3317875" cy="55698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2000" b="1"/>
            <a:t>Total</a:t>
          </a:r>
          <a:r>
            <a:rPr lang="en-IN" sz="2000" b="1" baseline="0"/>
            <a:t> Budget</a:t>
          </a:r>
          <a:r>
            <a:rPr lang="en-IN" sz="2000" b="1"/>
            <a:t> -</a:t>
          </a:r>
          <a:r>
            <a:rPr lang="en-IN" sz="2000" b="1" baseline="0"/>
            <a:t> 3457178</a:t>
          </a:r>
          <a:endParaRPr lang="en-IN" sz="2000" b="1"/>
        </a:p>
      </xdr:txBody>
    </xdr:sp>
    <xdr:clientData/>
  </xdr:twoCellAnchor>
  <xdr:twoCellAnchor>
    <xdr:from>
      <xdr:col>3</xdr:col>
      <xdr:colOff>95250</xdr:colOff>
      <xdr:row>7</xdr:row>
      <xdr:rowOff>163288</xdr:rowOff>
    </xdr:from>
    <xdr:to>
      <xdr:col>9</xdr:col>
      <xdr:colOff>428625</xdr:colOff>
      <xdr:row>21</xdr:row>
      <xdr:rowOff>130969</xdr:rowOff>
    </xdr:to>
    <xdr:sp macro="" textlink="">
      <xdr:nvSpPr>
        <xdr:cNvPr id="7" name="Rectangle 6">
          <a:extLst>
            <a:ext uri="{FF2B5EF4-FFF2-40B4-BE49-F238E27FC236}">
              <a16:creationId xmlns:a16="http://schemas.microsoft.com/office/drawing/2014/main" id="{6684EBFA-DE15-432D-B4A2-91EB9F1FB747}"/>
            </a:ext>
          </a:extLst>
        </xdr:cNvPr>
        <xdr:cNvSpPr/>
      </xdr:nvSpPr>
      <xdr:spPr>
        <a:xfrm>
          <a:off x="1916906" y="1496788"/>
          <a:ext cx="3976688" cy="263468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440530</xdr:colOff>
      <xdr:row>7</xdr:row>
      <xdr:rowOff>163288</xdr:rowOff>
    </xdr:from>
    <xdr:to>
      <xdr:col>16</xdr:col>
      <xdr:colOff>119142</xdr:colOff>
      <xdr:row>21</xdr:row>
      <xdr:rowOff>119062</xdr:rowOff>
    </xdr:to>
    <xdr:sp macro="" textlink="">
      <xdr:nvSpPr>
        <xdr:cNvPr id="8" name="Rectangle 7">
          <a:extLst>
            <a:ext uri="{FF2B5EF4-FFF2-40B4-BE49-F238E27FC236}">
              <a16:creationId xmlns:a16="http://schemas.microsoft.com/office/drawing/2014/main" id="{4D67F6AD-471E-4836-9FC1-B06017085344}"/>
            </a:ext>
          </a:extLst>
        </xdr:cNvPr>
        <xdr:cNvSpPr/>
      </xdr:nvSpPr>
      <xdr:spPr>
        <a:xfrm>
          <a:off x="5905499" y="1496788"/>
          <a:ext cx="3929143" cy="26227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107156</xdr:colOff>
      <xdr:row>21</xdr:row>
      <xdr:rowOff>118388</xdr:rowOff>
    </xdr:from>
    <xdr:to>
      <xdr:col>9</xdr:col>
      <xdr:colOff>428625</xdr:colOff>
      <xdr:row>35</xdr:row>
      <xdr:rowOff>83344</xdr:rowOff>
    </xdr:to>
    <xdr:sp macro="" textlink="">
      <xdr:nvSpPr>
        <xdr:cNvPr id="9" name="Rectangle 8">
          <a:extLst>
            <a:ext uri="{FF2B5EF4-FFF2-40B4-BE49-F238E27FC236}">
              <a16:creationId xmlns:a16="http://schemas.microsoft.com/office/drawing/2014/main" id="{8C63C961-BC95-4B9D-A051-1331AE18AD21}"/>
            </a:ext>
          </a:extLst>
        </xdr:cNvPr>
        <xdr:cNvSpPr/>
      </xdr:nvSpPr>
      <xdr:spPr>
        <a:xfrm>
          <a:off x="1928812" y="4118888"/>
          <a:ext cx="3964782" cy="26319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453706</xdr:colOff>
      <xdr:row>21</xdr:row>
      <xdr:rowOff>118388</xdr:rowOff>
    </xdr:from>
    <xdr:to>
      <xdr:col>16</xdr:col>
      <xdr:colOff>119062</xdr:colOff>
      <xdr:row>35</xdr:row>
      <xdr:rowOff>79004</xdr:rowOff>
    </xdr:to>
    <xdr:sp macro="" textlink="">
      <xdr:nvSpPr>
        <xdr:cNvPr id="10" name="Rectangle 9">
          <a:extLst>
            <a:ext uri="{FF2B5EF4-FFF2-40B4-BE49-F238E27FC236}">
              <a16:creationId xmlns:a16="http://schemas.microsoft.com/office/drawing/2014/main" id="{11A13E49-F371-47FE-82EF-9AA1B33E0188}"/>
            </a:ext>
          </a:extLst>
        </xdr:cNvPr>
        <xdr:cNvSpPr/>
      </xdr:nvSpPr>
      <xdr:spPr>
        <a:xfrm>
          <a:off x="5918675" y="4118888"/>
          <a:ext cx="3915887" cy="26276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145181</xdr:colOff>
      <xdr:row>8</xdr:row>
      <xdr:rowOff>29938</xdr:rowOff>
    </xdr:from>
    <xdr:to>
      <xdr:col>9</xdr:col>
      <xdr:colOff>358202</xdr:colOff>
      <xdr:row>21</xdr:row>
      <xdr:rowOff>68293</xdr:rowOff>
    </xdr:to>
    <xdr:graphicFrame macro="">
      <xdr:nvGraphicFramePr>
        <xdr:cNvPr id="12" name="Chart 11">
          <a:extLst>
            <a:ext uri="{FF2B5EF4-FFF2-40B4-BE49-F238E27FC236}">
              <a16:creationId xmlns:a16="http://schemas.microsoft.com/office/drawing/2014/main" id="{AD5CDAAD-E736-4E49-85E7-899C96C94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488999</xdr:colOff>
      <xdr:row>8</xdr:row>
      <xdr:rowOff>28574</xdr:rowOff>
    </xdr:from>
    <xdr:to>
      <xdr:col>16</xdr:col>
      <xdr:colOff>47626</xdr:colOff>
      <xdr:row>21</xdr:row>
      <xdr:rowOff>47147</xdr:rowOff>
    </xdr:to>
    <xdr:graphicFrame macro="">
      <xdr:nvGraphicFramePr>
        <xdr:cNvPr id="13" name="Chart 12">
          <a:extLst>
            <a:ext uri="{FF2B5EF4-FFF2-40B4-BE49-F238E27FC236}">
              <a16:creationId xmlns:a16="http://schemas.microsoft.com/office/drawing/2014/main" id="{86A41DED-3CA8-4BCC-8B61-C46D7FF64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166009</xdr:colOff>
      <xdr:row>21</xdr:row>
      <xdr:rowOff>175537</xdr:rowOff>
    </xdr:from>
    <xdr:to>
      <xdr:col>9</xdr:col>
      <xdr:colOff>382483</xdr:colOff>
      <xdr:row>35</xdr:row>
      <xdr:rowOff>27830</xdr:rowOff>
    </xdr:to>
    <xdr:graphicFrame macro="">
      <xdr:nvGraphicFramePr>
        <xdr:cNvPr id="14" name="Chart 13">
          <a:extLst>
            <a:ext uri="{FF2B5EF4-FFF2-40B4-BE49-F238E27FC236}">
              <a16:creationId xmlns:a16="http://schemas.microsoft.com/office/drawing/2014/main" id="{8EC6AE64-5DF1-4AC4-B4D6-4A7209E97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511968</xdr:colOff>
      <xdr:row>21</xdr:row>
      <xdr:rowOff>171450</xdr:rowOff>
    </xdr:from>
    <xdr:to>
      <xdr:col>16</xdr:col>
      <xdr:colOff>38100</xdr:colOff>
      <xdr:row>35</xdr:row>
      <xdr:rowOff>23812</xdr:rowOff>
    </xdr:to>
    <xdr:graphicFrame macro="">
      <xdr:nvGraphicFramePr>
        <xdr:cNvPr id="16" name="Chart 15">
          <a:extLst>
            <a:ext uri="{FF2B5EF4-FFF2-40B4-BE49-F238E27FC236}">
              <a16:creationId xmlns:a16="http://schemas.microsoft.com/office/drawing/2014/main" id="{CA066F97-854D-49C3-9FF7-2D24580FB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63500</xdr:colOff>
      <xdr:row>0</xdr:row>
      <xdr:rowOff>168275</xdr:rowOff>
    </xdr:from>
    <xdr:to>
      <xdr:col>3</xdr:col>
      <xdr:colOff>47625</xdr:colOff>
      <xdr:row>18</xdr:row>
      <xdr:rowOff>79375</xdr:rowOff>
    </xdr:to>
    <mc:AlternateContent xmlns:mc="http://schemas.openxmlformats.org/markup-compatibility/2006" xmlns:a14="http://schemas.microsoft.com/office/drawing/2010/main">
      <mc:Choice Requires="a14">
        <xdr:graphicFrame macro="">
          <xdr:nvGraphicFramePr>
            <xdr:cNvPr id="17" name="EventType">
              <a:extLst>
                <a:ext uri="{FF2B5EF4-FFF2-40B4-BE49-F238E27FC236}">
                  <a16:creationId xmlns:a16="http://schemas.microsoft.com/office/drawing/2014/main" id="{E9F5C19E-D384-4495-8E73-7A1C9D9698FC}"/>
                </a:ext>
              </a:extLst>
            </xdr:cNvPr>
            <xdr:cNvGraphicFramePr/>
          </xdr:nvGraphicFramePr>
          <xdr:xfrm>
            <a:off x="0" y="0"/>
            <a:ext cx="0" cy="0"/>
          </xdr:xfrm>
          <a:graphic>
            <a:graphicData uri="http://schemas.microsoft.com/office/drawing/2010/slicer">
              <sle:slicer xmlns:sle="http://schemas.microsoft.com/office/drawing/2010/slicer" name="EventType"/>
            </a:graphicData>
          </a:graphic>
        </xdr:graphicFrame>
      </mc:Choice>
      <mc:Fallback xmlns="">
        <xdr:sp macro="" textlink="">
          <xdr:nvSpPr>
            <xdr:cNvPr id="0" name=""/>
            <xdr:cNvSpPr>
              <a:spLocks noTextEdit="1"/>
            </xdr:cNvSpPr>
          </xdr:nvSpPr>
          <xdr:spPr>
            <a:xfrm>
              <a:off x="63500" y="168275"/>
              <a:ext cx="1793875" cy="3340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18</xdr:row>
      <xdr:rowOff>101600</xdr:rowOff>
    </xdr:from>
    <xdr:to>
      <xdr:col>3</xdr:col>
      <xdr:colOff>47625</xdr:colOff>
      <xdr:row>26</xdr:row>
      <xdr:rowOff>63500</xdr:rowOff>
    </xdr:to>
    <mc:AlternateContent xmlns:mc="http://schemas.openxmlformats.org/markup-compatibility/2006" xmlns:a14="http://schemas.microsoft.com/office/drawing/2010/main">
      <mc:Choice Requires="a14">
        <xdr:graphicFrame macro="">
          <xdr:nvGraphicFramePr>
            <xdr:cNvPr id="18" name="OrganizerType">
              <a:extLst>
                <a:ext uri="{FF2B5EF4-FFF2-40B4-BE49-F238E27FC236}">
                  <a16:creationId xmlns:a16="http://schemas.microsoft.com/office/drawing/2014/main" id="{F9FC3FC7-BD66-49D7-8D94-FF29B31E823F}"/>
                </a:ext>
              </a:extLst>
            </xdr:cNvPr>
            <xdr:cNvGraphicFramePr/>
          </xdr:nvGraphicFramePr>
          <xdr:xfrm>
            <a:off x="0" y="0"/>
            <a:ext cx="0" cy="0"/>
          </xdr:xfrm>
          <a:graphic>
            <a:graphicData uri="http://schemas.microsoft.com/office/drawing/2010/slicer">
              <sle:slicer xmlns:sle="http://schemas.microsoft.com/office/drawing/2010/slicer" name="OrganizerType"/>
            </a:graphicData>
          </a:graphic>
        </xdr:graphicFrame>
      </mc:Choice>
      <mc:Fallback xmlns="">
        <xdr:sp macro="" textlink="">
          <xdr:nvSpPr>
            <xdr:cNvPr id="0" name=""/>
            <xdr:cNvSpPr>
              <a:spLocks noTextEdit="1"/>
            </xdr:cNvSpPr>
          </xdr:nvSpPr>
          <xdr:spPr>
            <a:xfrm>
              <a:off x="63500" y="3530600"/>
              <a:ext cx="1793875"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26</xdr:row>
      <xdr:rowOff>82551</xdr:rowOff>
    </xdr:from>
    <xdr:to>
      <xdr:col>3</xdr:col>
      <xdr:colOff>47798</xdr:colOff>
      <xdr:row>35</xdr:row>
      <xdr:rowOff>79375</xdr:rowOff>
    </xdr:to>
    <mc:AlternateContent xmlns:mc="http://schemas.openxmlformats.org/markup-compatibility/2006" xmlns:a14="http://schemas.microsoft.com/office/drawing/2010/main">
      <mc:Choice Requires="a14">
        <xdr:graphicFrame macro="">
          <xdr:nvGraphicFramePr>
            <xdr:cNvPr id="19" name="AcademicYear">
              <a:extLst>
                <a:ext uri="{FF2B5EF4-FFF2-40B4-BE49-F238E27FC236}">
                  <a16:creationId xmlns:a16="http://schemas.microsoft.com/office/drawing/2014/main" id="{D4DE99D2-D067-4868-8847-947E5EA7DC9B}"/>
                </a:ext>
              </a:extLst>
            </xdr:cNvPr>
            <xdr:cNvGraphicFramePr/>
          </xdr:nvGraphicFramePr>
          <xdr:xfrm>
            <a:off x="0" y="0"/>
            <a:ext cx="0" cy="0"/>
          </xdr:xfrm>
          <a:graphic>
            <a:graphicData uri="http://schemas.microsoft.com/office/drawing/2010/slicer">
              <sle:slicer xmlns:sle="http://schemas.microsoft.com/office/drawing/2010/slicer" name="AcademicYear"/>
            </a:graphicData>
          </a:graphic>
        </xdr:graphicFrame>
      </mc:Choice>
      <mc:Fallback xmlns="">
        <xdr:sp macro="" textlink="">
          <xdr:nvSpPr>
            <xdr:cNvPr id="0" name=""/>
            <xdr:cNvSpPr>
              <a:spLocks noTextEdit="1"/>
            </xdr:cNvSpPr>
          </xdr:nvSpPr>
          <xdr:spPr>
            <a:xfrm>
              <a:off x="57150" y="5035551"/>
              <a:ext cx="1800398" cy="1711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28.462722569442" createdVersion="6" refreshedVersion="6" minRefreshableVersion="3" recordCount="500" xr:uid="{00000000-000A-0000-FFFF-FFFF00000000}">
  <cacheSource type="worksheet">
    <worksheetSource ref="A1:R501" sheet="Students Master"/>
  </cacheSource>
  <cacheFields count="18">
    <cacheField name="StudentID" numFmtId="0">
      <sharedItems count="500">
        <s v="STU0001"/>
        <s v="STU0002"/>
        <s v="STU0003"/>
        <s v="STU0004"/>
        <s v="STU0005"/>
        <s v="STU0006"/>
        <s v="STU0007"/>
        <s v="STU0008"/>
        <s v="STU0009"/>
        <s v="STU0010"/>
        <s v="STU0011"/>
        <s v="STU0012"/>
        <s v="STU0013"/>
        <s v="STU0014"/>
        <s v="STU0015"/>
        <s v="STU0016"/>
        <s v="STU0017"/>
        <s v="STU0018"/>
        <s v="STU0019"/>
        <s v="STU0020"/>
        <s v="STU0021"/>
        <s v="STU0022"/>
        <s v="STU0023"/>
        <s v="STU0024"/>
        <s v="STU0025"/>
        <s v="STU0026"/>
        <s v="STU0027"/>
        <s v="STU0028"/>
        <s v="STU0029"/>
        <s v="STU0030"/>
        <s v="STU0031"/>
        <s v="STU0032"/>
        <s v="STU0033"/>
        <s v="STU0034"/>
        <s v="STU0035"/>
        <s v="STU0036"/>
        <s v="STU0037"/>
        <s v="STU0038"/>
        <s v="STU0039"/>
        <s v="STU0040"/>
        <s v="STU0041"/>
        <s v="STU0042"/>
        <s v="STU0043"/>
        <s v="STU0044"/>
        <s v="STU0045"/>
        <s v="STU0046"/>
        <s v="STU0047"/>
        <s v="STU0048"/>
        <s v="STU0049"/>
        <s v="STU0050"/>
        <s v="STU0051"/>
        <s v="STU0052"/>
        <s v="STU0053"/>
        <s v="STU0054"/>
        <s v="STU0055"/>
        <s v="STU0056"/>
        <s v="STU0057"/>
        <s v="STU0058"/>
        <s v="STU0059"/>
        <s v="STU0060"/>
        <s v="STU0061"/>
        <s v="STU0062"/>
        <s v="STU0063"/>
        <s v="STU0064"/>
        <s v="STU0065"/>
        <s v="STU0066"/>
        <s v="STU0067"/>
        <s v="STU0068"/>
        <s v="STU0069"/>
        <s v="STU0070"/>
        <s v="STU0071"/>
        <s v="STU0072"/>
        <s v="STU0073"/>
        <s v="STU0074"/>
        <s v="STU0075"/>
        <s v="STU0076"/>
        <s v="STU0077"/>
        <s v="STU0078"/>
        <s v="STU0079"/>
        <s v="STU0080"/>
        <s v="STU0081"/>
        <s v="STU0082"/>
        <s v="STU0083"/>
        <s v="STU0084"/>
        <s v="STU0085"/>
        <s v="STU0086"/>
        <s v="STU0087"/>
        <s v="STU0088"/>
        <s v="STU0089"/>
        <s v="STU0090"/>
        <s v="STU0091"/>
        <s v="STU0092"/>
        <s v="STU0093"/>
        <s v="STU0094"/>
        <s v="STU0095"/>
        <s v="STU0096"/>
        <s v="STU0097"/>
        <s v="STU0098"/>
        <s v="STU0099"/>
        <s v="STU0100"/>
        <s v="STU0101"/>
        <s v="STU0102"/>
        <s v="STU0103"/>
        <s v="STU0104"/>
        <s v="STU0105"/>
        <s v="STU0106"/>
        <s v="STU0107"/>
        <s v="STU0108"/>
        <s v="STU0109"/>
        <s v="STU0110"/>
        <s v="STU0111"/>
        <s v="STU0112"/>
        <s v="STU0113"/>
        <s v="STU0114"/>
        <s v="STU0115"/>
        <s v="STU0116"/>
        <s v="STU0117"/>
        <s v="STU0118"/>
        <s v="STU0119"/>
        <s v="STU0120"/>
        <s v="STU0121"/>
        <s v="STU0122"/>
        <s v="STU0123"/>
        <s v="STU0124"/>
        <s v="STU0125"/>
        <s v="STU0126"/>
        <s v="STU0127"/>
        <s v="STU0128"/>
        <s v="STU0129"/>
        <s v="STU0130"/>
        <s v="STU0131"/>
        <s v="STU0132"/>
        <s v="STU0133"/>
        <s v="STU0134"/>
        <s v="STU0135"/>
        <s v="STU0136"/>
        <s v="STU0137"/>
        <s v="STU0138"/>
        <s v="STU0139"/>
        <s v="STU0140"/>
        <s v="STU0141"/>
        <s v="STU0142"/>
        <s v="STU0143"/>
        <s v="STU0144"/>
        <s v="STU0145"/>
        <s v="STU0146"/>
        <s v="STU0147"/>
        <s v="STU0148"/>
        <s v="STU0149"/>
        <s v="STU0150"/>
        <s v="STU0151"/>
        <s v="STU0152"/>
        <s v="STU0153"/>
        <s v="STU0154"/>
        <s v="STU0155"/>
        <s v="STU0156"/>
        <s v="STU0157"/>
        <s v="STU0158"/>
        <s v="STU0159"/>
        <s v="STU0160"/>
        <s v="STU0161"/>
        <s v="STU0162"/>
        <s v="STU0163"/>
        <s v="STU0164"/>
        <s v="STU0165"/>
        <s v="STU0166"/>
        <s v="STU0167"/>
        <s v="STU0168"/>
        <s v="STU0169"/>
        <s v="STU0170"/>
        <s v="STU0171"/>
        <s v="STU0172"/>
        <s v="STU0173"/>
        <s v="STU0174"/>
        <s v="STU0175"/>
        <s v="STU0176"/>
        <s v="STU0177"/>
        <s v="STU0178"/>
        <s v="STU0179"/>
        <s v="STU0180"/>
        <s v="STU0181"/>
        <s v="STU0182"/>
        <s v="STU0183"/>
        <s v="STU0184"/>
        <s v="STU0185"/>
        <s v="STU0186"/>
        <s v="STU0187"/>
        <s v="STU0188"/>
        <s v="STU0189"/>
        <s v="STU0190"/>
        <s v="STU0191"/>
        <s v="STU0192"/>
        <s v="STU0193"/>
        <s v="STU0194"/>
        <s v="STU0195"/>
        <s v="STU0196"/>
        <s v="STU0197"/>
        <s v="STU0198"/>
        <s v="STU0199"/>
        <s v="STU0200"/>
        <s v="STU0201"/>
        <s v="STU0202"/>
        <s v="STU0203"/>
        <s v="STU0204"/>
        <s v="STU0205"/>
        <s v="STU0206"/>
        <s v="STU0207"/>
        <s v="STU0208"/>
        <s v="STU0209"/>
        <s v="STU0210"/>
        <s v="STU0211"/>
        <s v="STU0212"/>
        <s v="STU0213"/>
        <s v="STU0214"/>
        <s v="STU0215"/>
        <s v="STU0216"/>
        <s v="STU0217"/>
        <s v="STU0218"/>
        <s v="STU0219"/>
        <s v="STU0220"/>
        <s v="STU0221"/>
        <s v="STU0222"/>
        <s v="STU0223"/>
        <s v="STU0224"/>
        <s v="STU0225"/>
        <s v="STU0226"/>
        <s v="STU0227"/>
        <s v="STU0228"/>
        <s v="STU0229"/>
        <s v="STU0230"/>
        <s v="STU0231"/>
        <s v="STU0232"/>
        <s v="STU0233"/>
        <s v="STU0234"/>
        <s v="STU0235"/>
        <s v="STU0236"/>
        <s v="STU0237"/>
        <s v="STU0238"/>
        <s v="STU0239"/>
        <s v="STU0240"/>
        <s v="STU0241"/>
        <s v="STU0242"/>
        <s v="STU0243"/>
        <s v="STU0244"/>
        <s v="STU0245"/>
        <s v="STU0246"/>
        <s v="STU0247"/>
        <s v="STU0248"/>
        <s v="STU0249"/>
        <s v="STU0250"/>
        <s v="STU0251"/>
        <s v="STU0252"/>
        <s v="STU0253"/>
        <s v="STU0254"/>
        <s v="STU0255"/>
        <s v="STU0256"/>
        <s v="STU0257"/>
        <s v="STU0258"/>
        <s v="STU0259"/>
        <s v="STU0260"/>
        <s v="STU0261"/>
        <s v="STU0262"/>
        <s v="STU0263"/>
        <s v="STU0264"/>
        <s v="STU0265"/>
        <s v="STU0266"/>
        <s v="STU0267"/>
        <s v="STU0268"/>
        <s v="STU0269"/>
        <s v="STU0270"/>
        <s v="STU0271"/>
        <s v="STU0272"/>
        <s v="STU0273"/>
        <s v="STU0274"/>
        <s v="STU0275"/>
        <s v="STU0276"/>
        <s v="STU0277"/>
        <s v="STU0278"/>
        <s v="STU0279"/>
        <s v="STU0280"/>
        <s v="STU0281"/>
        <s v="STU0282"/>
        <s v="STU0283"/>
        <s v="STU0284"/>
        <s v="STU0285"/>
        <s v="STU0286"/>
        <s v="STU0287"/>
        <s v="STU0288"/>
        <s v="STU0289"/>
        <s v="STU0290"/>
        <s v="STU0291"/>
        <s v="STU0292"/>
        <s v="STU0293"/>
        <s v="STU0294"/>
        <s v="STU0295"/>
        <s v="STU0296"/>
        <s v="STU0297"/>
        <s v="STU0298"/>
        <s v="STU0299"/>
        <s v="STU0300"/>
        <s v="STU0301"/>
        <s v="STU0302"/>
        <s v="STU0303"/>
        <s v="STU0304"/>
        <s v="STU0305"/>
        <s v="STU0306"/>
        <s v="STU0307"/>
        <s v="STU0308"/>
        <s v="STU0309"/>
        <s v="STU0310"/>
        <s v="STU0311"/>
        <s v="STU0312"/>
        <s v="STU0313"/>
        <s v="STU0314"/>
        <s v="STU0315"/>
        <s v="STU0316"/>
        <s v="STU0317"/>
        <s v="STU0318"/>
        <s v="STU0319"/>
        <s v="STU0320"/>
        <s v="STU0321"/>
        <s v="STU0322"/>
        <s v="STU0323"/>
        <s v="STU0324"/>
        <s v="STU0325"/>
        <s v="STU0326"/>
        <s v="STU0327"/>
        <s v="STU0328"/>
        <s v="STU0329"/>
        <s v="STU0330"/>
        <s v="STU0331"/>
        <s v="STU0332"/>
        <s v="STU0333"/>
        <s v="STU0334"/>
        <s v="STU0335"/>
        <s v="STU0336"/>
        <s v="STU0337"/>
        <s v="STU0338"/>
        <s v="STU0339"/>
        <s v="STU0340"/>
        <s v="STU0341"/>
        <s v="STU0342"/>
        <s v="STU0343"/>
        <s v="STU0344"/>
        <s v="STU0345"/>
        <s v="STU0346"/>
        <s v="STU0347"/>
        <s v="STU0348"/>
        <s v="STU0349"/>
        <s v="STU0350"/>
        <s v="STU0351"/>
        <s v="STU0352"/>
        <s v="STU0353"/>
        <s v="STU0354"/>
        <s v="STU0355"/>
        <s v="STU0356"/>
        <s v="STU0357"/>
        <s v="STU0358"/>
        <s v="STU0359"/>
        <s v="STU0360"/>
        <s v="STU0361"/>
        <s v="STU0362"/>
        <s v="STU0363"/>
        <s v="STU0364"/>
        <s v="STU0365"/>
        <s v="STU0366"/>
        <s v="STU0367"/>
        <s v="STU0368"/>
        <s v="STU0369"/>
        <s v="STU0370"/>
        <s v="STU0371"/>
        <s v="STU0372"/>
        <s v="STU0373"/>
        <s v="STU0374"/>
        <s v="STU0375"/>
        <s v="STU0376"/>
        <s v="STU0377"/>
        <s v="STU0378"/>
        <s v="STU0379"/>
        <s v="STU0380"/>
        <s v="STU0381"/>
        <s v="STU0382"/>
        <s v="STU0383"/>
        <s v="STU0384"/>
        <s v="STU0385"/>
        <s v="STU0386"/>
        <s v="STU0387"/>
        <s v="STU0388"/>
        <s v="STU0389"/>
        <s v="STU0390"/>
        <s v="STU0391"/>
        <s v="STU0392"/>
        <s v="STU0393"/>
        <s v="STU0394"/>
        <s v="STU0395"/>
        <s v="STU0396"/>
        <s v="STU0397"/>
        <s v="STU0398"/>
        <s v="STU0399"/>
        <s v="STU0400"/>
        <s v="STU0401"/>
        <s v="STU0402"/>
        <s v="STU0403"/>
        <s v="STU0404"/>
        <s v="STU0405"/>
        <s v="STU0406"/>
        <s v="STU0407"/>
        <s v="STU0408"/>
        <s v="STU0409"/>
        <s v="STU0410"/>
        <s v="STU0411"/>
        <s v="STU0412"/>
        <s v="STU0413"/>
        <s v="STU0414"/>
        <s v="STU0415"/>
        <s v="STU0416"/>
        <s v="STU0417"/>
        <s v="STU0418"/>
        <s v="STU0419"/>
        <s v="STU0420"/>
        <s v="STU0421"/>
        <s v="STU0422"/>
        <s v="STU0423"/>
        <s v="STU0424"/>
        <s v="STU0425"/>
        <s v="STU0426"/>
        <s v="STU0427"/>
        <s v="STU0428"/>
        <s v="STU0429"/>
        <s v="STU0430"/>
        <s v="STU0431"/>
        <s v="STU0432"/>
        <s v="STU0433"/>
        <s v="STU0434"/>
        <s v="STU0435"/>
        <s v="STU0436"/>
        <s v="STU0437"/>
        <s v="STU0438"/>
        <s v="STU0439"/>
        <s v="STU0440"/>
        <s v="STU0441"/>
        <s v="STU0442"/>
        <s v="STU0443"/>
        <s v="STU0444"/>
        <s v="STU0445"/>
        <s v="STU0446"/>
        <s v="STU0447"/>
        <s v="STU0448"/>
        <s v="STU0449"/>
        <s v="STU0450"/>
        <s v="STU0451"/>
        <s v="STU0452"/>
        <s v="STU0453"/>
        <s v="STU0454"/>
        <s v="STU0455"/>
        <s v="STU0456"/>
        <s v="STU0457"/>
        <s v="STU0458"/>
        <s v="STU0459"/>
        <s v="STU0460"/>
        <s v="STU0461"/>
        <s v="STU0462"/>
        <s v="STU0463"/>
        <s v="STU0464"/>
        <s v="STU0465"/>
        <s v="STU0466"/>
        <s v="STU0467"/>
        <s v="STU0468"/>
        <s v="STU0469"/>
        <s v="STU0470"/>
        <s v="STU0471"/>
        <s v="STU0472"/>
        <s v="STU0473"/>
        <s v="STU0474"/>
        <s v="STU0475"/>
        <s v="STU0476"/>
        <s v="STU0477"/>
        <s v="STU0478"/>
        <s v="STU0479"/>
        <s v="STU0480"/>
        <s v="STU0481"/>
        <s v="STU0482"/>
        <s v="STU0483"/>
        <s v="STU0484"/>
        <s v="STU0485"/>
        <s v="STU0486"/>
        <s v="STU0487"/>
        <s v="STU0488"/>
        <s v="STU0489"/>
        <s v="STU0490"/>
        <s v="STU0491"/>
        <s v="STU0492"/>
        <s v="STU0493"/>
        <s v="STU0494"/>
        <s v="STU0495"/>
        <s v="STU0496"/>
        <s v="STU0497"/>
        <s v="STU0498"/>
        <s v="STU0499"/>
        <s v="STU0500"/>
      </sharedItems>
    </cacheField>
    <cacheField name="StudentName" numFmtId="0">
      <sharedItems count="265">
        <s v="Kunal Patel"/>
        <s v="Sai Rao"/>
        <s v="Aditya Das"/>
        <s v="Aarav Kumar"/>
        <s v="Aditi Das"/>
        <s v="Nisha Nair"/>
        <s v="Riya Kumar"/>
        <s v="Harsha Gupta"/>
        <s v="Saanvi Das"/>
        <s v="Vihaan Reddy"/>
        <s v="Meera Kumar"/>
        <s v="Shreya Patel"/>
        <s v="Leela Banerjee"/>
        <s v="Sai Gupta"/>
        <s v="Rohan Patel"/>
        <s v="Rahul Kumar"/>
        <s v="Aditya Patel"/>
        <s v="Kabir Reddy"/>
        <s v="Leela Kumar"/>
        <s v="Aarav Iyer"/>
        <s v="Varun Kumar"/>
        <s v="Meera Iyer"/>
        <s v="Tanvi Kumar"/>
        <s v="Arjun Mukherjee"/>
        <s v="Rahul Banerjee"/>
        <s v="Surya Verma"/>
        <s v="Amrita Iyer"/>
        <s v="Saanvi Kumar"/>
        <s v="Riya Verma"/>
        <s v="Surya Iyer"/>
        <s v="Rahul Verma"/>
        <s v="Diya Banerjee"/>
        <s v="Surya Sharma"/>
        <s v="Neeraj Nair"/>
        <s v="Harsha Patel"/>
        <s v="Sujith Das"/>
        <s v="Kabir Verma"/>
        <s v="Rohan Banerjee"/>
        <s v="Kabir Gupta"/>
        <s v="Rahul Patel"/>
        <s v="Kunal Reddy"/>
        <s v="Saanvi Reddy"/>
        <s v="Rohan Gupta"/>
        <s v="Vihaan Patel"/>
        <s v="Arjun Rao"/>
        <s v="Sai Das"/>
        <s v="Nisha Iyer"/>
        <s v="Rahul Sharma"/>
        <s v="Harsha Kumar"/>
        <s v="Ananya Reddy"/>
        <s v="Aditi Rao"/>
        <s v="Arjun Das"/>
        <s v="Leela Patel"/>
        <s v="Rohan Reddy"/>
        <s v="Vihaan Das"/>
        <s v="Rohan Nair"/>
        <s v="Varun Rao"/>
        <s v="Arjun Banerjee"/>
        <s v="Vihaan Verma"/>
        <s v="Diya Verma"/>
        <s v="Arjun Nair"/>
        <s v="Saanvi Iyer"/>
        <s v="Harsha Nair"/>
        <s v="Neeraj Iyer"/>
        <s v="Aditi Mukherjee"/>
        <s v="Aarav Mukherjee"/>
        <s v="Kunal Banerjee"/>
        <s v="Leela Verma"/>
        <s v="Leela Nair"/>
        <s v="Ira Verma"/>
        <s v="Nisha Banerjee"/>
        <s v="Shreya Banerjee"/>
        <s v="Neeraj Sharma"/>
        <s v="Rohan Iyer"/>
        <s v="Diya Rao"/>
        <s v="Kabir Kumar"/>
        <s v="Sujith Mukherjee"/>
        <s v="Nisha Kumar"/>
        <s v="Surya Gupta"/>
        <s v="Varun Gupta"/>
        <s v="Rahul Mukherjee"/>
        <s v="Ishaan Reddy"/>
        <s v="Ananya Gupta"/>
        <s v="Aarav Patel"/>
        <s v="Shreya Sharma"/>
        <s v="Sai Reddy"/>
        <s v="Leela Das"/>
        <s v="Vihaan Kumar"/>
        <s v="Tanvi Reddy"/>
        <s v="Surya Banerjee"/>
        <s v="Pooja Verma"/>
        <s v="Harsha Sharma"/>
        <s v="Diya Mukherjee"/>
        <s v="Meera Banerjee"/>
        <s v="Ananya Verma"/>
        <s v="Kabir Banerjee"/>
        <s v="Riya Banerjee"/>
        <s v="Amrita Patel"/>
        <s v="Surya Patel"/>
        <s v="Nisha Das"/>
        <s v="Aarav Das"/>
        <s v="Ishaan Patel"/>
        <s v="Amrita Reddy"/>
        <s v="Leela Gupta"/>
        <s v="Shreya Das"/>
        <s v="Pooja Iyer"/>
        <s v="Kavya Kumar"/>
        <s v="Saanvi Banerjee"/>
        <s v="Ishaan Sharma"/>
        <s v="Neeraj Mukherjee"/>
        <s v="Kavya Banerjee"/>
        <s v="Amrita Rao"/>
        <s v="Sai Kumar"/>
        <s v="Kunal Das"/>
        <s v="Leela Sharma"/>
        <s v="Vihaan Banerjee"/>
        <s v="Ishaan Verma"/>
        <s v="Aditya Gupta"/>
        <s v="Kunal Kumar"/>
        <s v="Rahul Nair"/>
        <s v="Sujith Nair"/>
        <s v="Meera Nair"/>
        <s v="Diya Iyer"/>
        <s v="Ira Nair"/>
        <s v="Aditya Verma"/>
        <s v="Kabir Patel"/>
        <s v="Diya Das"/>
        <s v="Riya Patel"/>
        <s v="Ira Mukherjee"/>
        <s v="Surya Kumar"/>
        <s v="Priya Verma"/>
        <s v="Nisha Verma"/>
        <s v="Meera Das"/>
        <s v="Nisha Sharma"/>
        <s v="Ishaan Rao"/>
        <s v="Saanvi Rao"/>
        <s v="Ishaan Iyer"/>
        <s v="Aditi Reddy"/>
        <s v="Harsha Verma"/>
        <s v="Aditi Sharma"/>
        <s v="Kunal Sharma"/>
        <s v="Nisha Gupta"/>
        <s v="Ira Iyer"/>
        <s v="Surya Mukherjee"/>
        <s v="Harsha Iyer"/>
        <s v="Arjun Reddy"/>
        <s v="Shreya Iyer"/>
        <s v="Meera Reddy"/>
        <s v="Sai Sharma"/>
        <s v="Meera Patel"/>
        <s v="Ishaan Gupta"/>
        <s v="Nisha Patel"/>
        <s v="Aditi Patel"/>
        <s v="Arjun Verma"/>
        <s v="Amrita Gupta"/>
        <s v="Pooja Nair"/>
        <s v="Ishaan Nair"/>
        <s v="Kunal Iyer"/>
        <s v="Riya Gupta"/>
        <s v="Amrita Das"/>
        <s v="Kabir Iyer"/>
        <s v="Priya Gupta"/>
        <s v="Surya Nair"/>
        <s v="Ananya Das"/>
        <s v="Rohan Mukherjee"/>
        <s v="Vihaan Gupta"/>
        <s v="Aarav Sharma"/>
        <s v="Aditya Rao"/>
        <s v="Ira Kumar"/>
        <s v="Rahul Rao"/>
        <s v="Kavya Nair"/>
        <s v="Aarav Reddy"/>
        <s v="Arjun Gupta"/>
        <s v="Rohan Rao"/>
        <s v="Ishaan Banerjee"/>
        <s v="Ananya Rao"/>
        <s v="Ira Sharma"/>
        <s v="Kabir Mukherjee"/>
        <s v="Aarav Rao"/>
        <s v="Leela Mukherjee"/>
        <s v="Harsha Mukherjee"/>
        <s v="Aarav Gupta"/>
        <s v="Amrita Kumar"/>
        <s v="Priya Banerjee"/>
        <s v="Arjun Iyer"/>
        <s v="Tanvi Verma"/>
        <s v="Shreya Kumar"/>
        <s v="Nisha Reddy"/>
        <s v="Ira Reddy"/>
        <s v="Aarav Banerjee"/>
        <s v="Sai Banerjee"/>
        <s v="Diya Sharma"/>
        <s v="Ananya Sharma"/>
        <s v="Ananya Nair"/>
        <s v="Rahul Iyer"/>
        <s v="Kabir Nair"/>
        <s v="Vihaan Mukherjee"/>
        <s v="Ira Gupta"/>
        <s v="Ira Patel"/>
        <s v="Diya Kumar"/>
        <s v="Varun Patel"/>
        <s v="Harsha Rao"/>
        <s v="Priya Patel"/>
        <s v="Ishaan Mukherjee"/>
        <s v="Diya Patel"/>
        <s v="Pooja Kumar"/>
        <s v="Diya Nair"/>
        <s v="Kunal Gupta"/>
        <s v="Pooja Reddy"/>
        <s v="Nisha Mukherjee"/>
        <s v="Meera Gupta"/>
        <s v="Shreya Mukherjee"/>
        <s v="Varun Nair"/>
        <s v="Ananya Mukherjee"/>
        <s v="Kunal Nair"/>
        <s v="Kabir Das"/>
        <s v="Riya Iyer"/>
        <s v="Priya Mukherjee"/>
        <s v="Kunal Verma"/>
        <s v="Sujith Reddy"/>
        <s v="Pooja Patel"/>
        <s v="Sai Nair"/>
        <s v="Varun Reddy"/>
        <s v="Ananya Patel"/>
        <s v="Shreya Gupta"/>
        <s v="Leela Reddy"/>
        <s v="Harsha Banerjee"/>
        <s v="Ananya Banerjee"/>
        <s v="Tanvi Das"/>
        <s v="Tanvi Mukherjee"/>
        <s v="Tanvi Nair"/>
        <s v="Meera Verma"/>
        <s v="Neeraj Gupta"/>
        <s v="Sai Iyer"/>
        <s v="Shreya Verma"/>
        <s v="Surya Reddy"/>
        <s v="Neeraj Reddy"/>
        <s v="Leela Rao"/>
        <s v="Sujith Verma"/>
        <s v="Diya Gupta"/>
        <s v="Arjun Kumar"/>
        <s v="Meera Sharma"/>
        <s v="Harsha Reddy"/>
        <s v="Saanvi Mukherjee"/>
        <s v="Kavya Gupta"/>
        <s v="Sai Patel"/>
        <s v="Amrita Verma"/>
        <s v="Aditya Sharma"/>
        <s v="Varun Iyer"/>
        <s v="Rahul Gupta"/>
        <s v="Priya Sharma"/>
        <s v="Neeraj Verma"/>
        <s v="Tanvi Banerjee"/>
        <s v="Pooja Das"/>
        <s v="Varun Sharma"/>
        <s v="Sujith Gupta"/>
        <s v="Varun Verma"/>
        <s v="Pooja Sharma"/>
        <s v="Riya Mukherjee"/>
        <s v="Aarav Verma"/>
        <s v="Rohan Kumar"/>
        <s v="Saanvi Nair"/>
        <s v="Kunal Rao"/>
        <s v="Tanvi Iyer"/>
        <s v="Tanvi Patel"/>
      </sharedItems>
    </cacheField>
    <cacheField name="Gender" numFmtId="0">
      <sharedItems count="3">
        <s v="Female"/>
        <s v="Other"/>
        <s v="Male"/>
      </sharedItems>
    </cacheField>
    <cacheField name="DOB" numFmtId="164">
      <sharedItems containsSemiMixedTypes="0" containsNonDate="0" containsDate="1" containsString="0" minDate="1999-01-01T00:00:00" maxDate="2007-12-29T00:00:00"/>
    </cacheField>
    <cacheField name="BloodGroup" numFmtId="0">
      <sharedItems/>
    </cacheField>
    <cacheField name="FatherName" numFmtId="0">
      <sharedItems count="271">
        <s v="Riya Iyer"/>
        <s v="Varun Verma"/>
        <s v="Aarav Patel"/>
        <s v="Saanvi Reddy"/>
        <s v="Varun Kumar"/>
        <s v="Harsha Kumar"/>
        <s v="Meera Nair"/>
        <s v="Aditya Sharma"/>
        <s v="Surya Nair"/>
        <s v="Kavya Kumar"/>
        <s v="Riya Das"/>
        <s v="Meera Sharma"/>
        <s v="Ananya Banerjee"/>
        <s v="Leela Patel"/>
        <s v="Shreya Nair"/>
        <s v="Diya Mukherjee"/>
        <s v="Nisha Verma"/>
        <s v="Ira Kumar"/>
        <s v="Ishaan Banerjee"/>
        <s v="Ananya Sharma"/>
        <s v="Ananya Rao"/>
        <s v="Diya Gupta"/>
        <s v="Diya Das"/>
        <s v="Aditya Mukherjee"/>
        <s v="Saanvi Das"/>
        <s v="Meera Rao"/>
        <s v="Sujith Banerjee"/>
        <s v="Pooja Nair"/>
        <s v="Aditya Das"/>
        <s v="Varun Banerjee"/>
        <s v="Nisha Mukherjee"/>
        <s v="Riya Nair"/>
        <s v="Ira Das"/>
        <s v="Kabir Sharma"/>
        <s v="Aditi Sharma"/>
        <s v="Vihaan Banerjee"/>
        <s v="Rahul Nair"/>
        <s v="Ira Rao"/>
        <s v="Sai Mukherjee"/>
        <s v="Kunal Gupta"/>
        <s v="Rahul Kumar"/>
        <s v="Aditi Iyer"/>
        <s v="Nisha Reddy"/>
        <s v="Kavya Patel"/>
        <s v="Leela Mukherjee"/>
        <s v="Aditya Iyer"/>
        <s v="Ishaan Nair"/>
        <s v="Priya Kumar"/>
        <s v="Ira Reddy"/>
        <s v="Varun Das"/>
        <s v="Shreya Sharma"/>
        <s v="Tanvi Banerjee"/>
        <s v="Kavya Sharma"/>
        <s v="Surya Gupta"/>
        <s v="Harsha Verma"/>
        <s v="Sujith Reddy"/>
        <s v="Varun Gupta"/>
        <s v="Kunal Iyer"/>
        <s v="Saanvi Nair"/>
        <s v="Sujith Verma"/>
        <s v="Saanvi Gupta"/>
        <s v="Ananya Nair"/>
        <s v="Tanvi Gupta"/>
        <s v="Aarav Verma"/>
        <s v="Aditya Nair"/>
        <s v="Kunal Mukherjee"/>
        <s v="Sai Iyer"/>
        <s v="Sujith Kumar"/>
        <s v="Diya Verma"/>
        <s v="Leela Gupta"/>
        <s v="Ishaan Patel"/>
        <s v="Diya Nair"/>
        <s v="Kabir Iyer"/>
        <s v="Nisha Rao"/>
        <s v="Saanvi Verma"/>
        <s v="Kunal Das"/>
        <s v="Surya Mukherjee"/>
        <s v="Neeraj Reddy"/>
        <s v="Varun Iyer"/>
        <s v="Kabir Das"/>
        <s v="Arjun Verma"/>
        <s v="Priya Iyer"/>
        <s v="Shreya Iyer"/>
        <s v="Aarav Gupta"/>
        <s v="Arjun Gupta"/>
        <s v="Aditi Verma"/>
        <s v="Vihaan Patel"/>
        <s v="Kunal Patel"/>
        <s v="Sujith Iyer"/>
        <s v="Varun Reddy"/>
        <s v="Meera Das"/>
        <s v="Rahul Gupta"/>
        <s v="Leela Banerjee"/>
        <s v="Meera Banerjee"/>
        <s v="Kavya Das"/>
        <s v="Kabir Patel"/>
        <s v="Sai Sharma"/>
        <s v="Tanvi Iyer"/>
        <s v="Saanvi Iyer"/>
        <s v="Harsha Sharma"/>
        <s v="Ananya Iyer"/>
        <s v="Arjun Kumar"/>
        <s v="Pooja Banerjee"/>
        <s v="Diya Reddy"/>
        <s v="Pooja Das"/>
        <s v="Vihaan Verma"/>
        <s v="Sai Das"/>
        <s v="Ira Banerjee"/>
        <s v="Saanvi Banerjee"/>
        <s v="Rohan Patel"/>
        <s v="Nisha Sharma"/>
        <s v="Pooja Sharma"/>
        <s v="Arjun Banerjee"/>
        <s v="Varun Rao"/>
        <s v="Nisha Nair"/>
        <s v="Riya Rao"/>
        <s v="Aditi Banerjee"/>
        <s v="Rohan Rao"/>
        <s v="Meera Mukherjee"/>
        <s v="Ira Verma"/>
        <s v="Rohan Banerjee"/>
        <s v="Leela Kumar"/>
        <s v="Rahul Verma"/>
        <s v="Neeraj Patel"/>
        <s v="Ishaan Iyer"/>
        <s v="Riya Sharma"/>
        <s v="Priya Verma"/>
        <s v="Leela Iyer"/>
        <s v="Priya Das"/>
        <s v="Neeraj Sharma"/>
        <s v="Arjun Iyer"/>
        <s v="Diya Rao"/>
        <s v="Ananya Reddy"/>
        <s v="Kunal Reddy"/>
        <s v="Sai Patel"/>
        <s v="Harsha Iyer"/>
        <s v="Tanvi Nair"/>
        <s v="Varun Nair"/>
        <s v="Aarav Banerjee"/>
        <s v="Sujith Das"/>
        <s v="Amrita Reddy"/>
        <s v="Aarav Nair"/>
        <s v="Pooja Verma"/>
        <s v="Rahul Patel"/>
        <s v="Ira Gupta"/>
        <s v="Arjun Sharma"/>
        <s v="Vihaan Sharma"/>
        <s v="Leela Nair"/>
        <s v="Kunal Nair"/>
        <s v="Aditya Kumar"/>
        <s v="Priya Mukherjee"/>
        <s v="Tanvi Reddy"/>
        <s v="Tanvi Das"/>
        <s v="Aditya Reddy"/>
        <s v="Riya Banerjee"/>
        <s v="Aditi Kumar"/>
        <s v="Diya Sharma"/>
        <s v="Diya Kumar"/>
        <s v="Leela Sharma"/>
        <s v="Diya Iyer"/>
        <s v="Nisha Kumar"/>
        <s v="Rahul Das"/>
        <s v="Leela Das"/>
        <s v="Meera Verma"/>
        <s v="Tanvi Verma"/>
        <s v="Priya Nair"/>
        <s v="Ira Nair"/>
        <s v="Leela Verma"/>
        <s v="Shreya Verma"/>
        <s v="Shreya Banerjee"/>
        <s v="Arjun Das"/>
        <s v="Sujith Nair"/>
        <s v="Aarav Iyer"/>
        <s v="Vihaan Iyer"/>
        <s v="Tanvi Kumar"/>
        <s v="Vihaan Das"/>
        <s v="Sujith Gupta"/>
        <s v="Varun Patel"/>
        <s v="Riya Gupta"/>
        <s v="Amrita Kumar"/>
        <s v="Arjun Patel"/>
        <s v="Kunal Banerjee"/>
        <s v="Amrita Das"/>
        <s v="Neeraj Verma"/>
        <s v="Kavya Verma"/>
        <s v="Sai Verma"/>
        <s v="Sai Reddy"/>
        <s v="Nisha Patel"/>
        <s v="Ananya Mukherjee"/>
        <s v="Priya Rao"/>
        <s v="Rahul Mukherjee"/>
        <s v="Riya Verma"/>
        <s v="Varun Sharma"/>
        <s v="Kabir Mukherjee"/>
        <s v="Amrita Banerjee"/>
        <s v="Surya Rao"/>
        <s v="Rohan Mukherjee"/>
        <s v="Rohan Reddy"/>
        <s v="Rohan Nair"/>
        <s v="Kabir Verma"/>
        <s v="Kunal Verma"/>
        <s v="Ira Patel"/>
        <s v="Aditi Mukherjee"/>
        <s v="Rohan Verma"/>
        <s v="Pooja Iyer"/>
        <s v="Surya Das"/>
        <s v="Aditi Nair"/>
        <s v="Arjun Reddy"/>
        <s v="Aarav Sharma"/>
        <s v="Harsha Patel"/>
        <s v="Rohan Sharma"/>
        <s v="Kavya Iyer"/>
        <s v="Varun Mukherjee"/>
        <s v="Shreya Patel"/>
        <s v="Kavya Gupta"/>
        <s v="Kavya Rao"/>
        <s v="Diya Patel"/>
        <s v="Aarav Mukherjee"/>
        <s v="Neeraj Mukherjee"/>
        <s v="Riya Kumar"/>
        <s v="Meera Iyer"/>
        <s v="Neeraj Das"/>
        <s v="Sai Gupta"/>
        <s v="Amrita Mukherjee"/>
        <s v="Vihaan Gupta"/>
        <s v="Leela Reddy"/>
        <s v="Kunal Rao"/>
        <s v="Kavya Nair"/>
        <s v="Tanvi Mukherjee"/>
        <s v="Arjun Rao"/>
        <s v="Kabir Reddy"/>
        <s v="Saanvi Kumar"/>
        <s v="Harsha Nair"/>
        <s v="Sujith Mukherjee"/>
        <s v="Sai Nair"/>
        <s v="Surya Iyer"/>
        <s v="Sujith Sharma"/>
        <s v="Aditi Patel"/>
        <s v="Meera Patel"/>
        <s v="Meera Reddy"/>
        <s v="Rahul Sharma"/>
        <s v="Harsha Gupta"/>
        <s v="Neeraj Rao"/>
        <s v="Ishaan Verma"/>
        <s v="Arjun Mukherjee"/>
        <s v="Aarav Reddy"/>
        <s v="Aditi Rao"/>
        <s v="Shreya Das"/>
        <s v="Ishaan Kumar"/>
        <s v="Sai Banerjee"/>
        <s v="Pooja Reddy"/>
        <s v="Rohan Iyer"/>
        <s v="Ira Iyer"/>
        <s v="Rahul Reddy"/>
        <s v="Surya Patel"/>
        <s v="Rahul Banerjee"/>
        <s v="Aditi Das"/>
        <s v="Ananya Verma"/>
        <s v="Pooja Gupta"/>
        <s v="Surya Verma"/>
        <s v="Ishaan Mukherjee"/>
        <s v="Saanvi Patel"/>
        <s v="Ananya Patel"/>
        <s v="Harsha Reddy"/>
        <s v="Sujith Patel"/>
        <s v="Amrita Verma"/>
        <s v="Nisha Das"/>
        <s v="Aarav Kumar"/>
        <s v="Arjun Nair"/>
        <s v="Neeraj Kumar"/>
        <s v="Meera Kumar"/>
      </sharedItems>
    </cacheField>
    <cacheField name="MotherName" numFmtId="0">
      <sharedItems count="261">
        <s v="Ananya Patel"/>
        <s v="Neeraj Gupta"/>
        <s v="Sujith Kumar"/>
        <s v="Diya Nair"/>
        <s v="Kunal Nair"/>
        <s v="Kabir Sharma"/>
        <s v="Shreya Rao"/>
        <s v="Sai Nair"/>
        <s v="Sai Rao"/>
        <s v="Harsha Kumar"/>
        <s v="Arjun Patel"/>
        <s v="Ananya Mukherjee"/>
        <s v="Varun Kumar"/>
        <s v="Kavya Banerjee"/>
        <s v="Varun Nair"/>
        <s v="Arjun Verma"/>
        <s v="Riya Iyer"/>
        <s v="Diya Banerjee"/>
        <s v="Harsha Rao"/>
        <s v="Tanvi Kumar"/>
        <s v="Diya Verma"/>
        <s v="Priya Reddy"/>
        <s v="Tanvi Nair"/>
        <s v="Ira Mukherjee"/>
        <s v="Sujith Gupta"/>
        <s v="Shreya Sharma"/>
        <s v="Harsha Gupta"/>
        <s v="Ira Gupta"/>
        <s v="Amrita Das"/>
        <s v="Neeraj Patel"/>
        <s v="Diya Reddy"/>
        <s v="Rohan Patel"/>
        <s v="Ishaan Nair"/>
        <s v="Riya Rao"/>
        <s v="Vihaan Rao"/>
        <s v="Riya Verma"/>
        <s v="Meera Patel"/>
        <s v="Harsha Nair"/>
        <s v="Aditya Mukherjee"/>
        <s v="Ishaan Gupta"/>
        <s v="Diya Das"/>
        <s v="Ananya Gupta"/>
        <s v="Arjun Banerjee"/>
        <s v="Tanvi Banerjee"/>
        <s v="Surya Kumar"/>
        <s v="Ananya Nair"/>
        <s v="Amrita Gupta"/>
        <s v="Riya Nair"/>
        <s v="Nisha Kumar"/>
        <s v="Leela Das"/>
        <s v="Harsha Banerjee"/>
        <s v="Nisha Iyer"/>
        <s v="Saanvi Das"/>
        <s v="Aarav Reddy"/>
        <s v="Kunal Patel"/>
        <s v="Vihaan Verma"/>
        <s v="Ananya Rao"/>
        <s v="Aditya Gupta"/>
        <s v="Aditi Mukherjee"/>
        <s v="Varun Patel"/>
        <s v="Kunal Reddy"/>
        <s v="Vihaan Mukherjee"/>
        <s v="Pooja Verma"/>
        <s v="Varun Gupta"/>
        <s v="Saanvi Gupta"/>
        <s v="Rohan Gupta"/>
        <s v="Sujith Reddy"/>
        <s v="Aditya Iyer"/>
        <s v="Kavya Mukherjee"/>
        <s v="Aarav Rao"/>
        <s v="Rahul Mukherjee"/>
        <s v="Aditya Nair"/>
        <s v="Aditi Das"/>
        <s v="Riya Mukherjee"/>
        <s v="Aarav Sharma"/>
        <s v="Tanvi Patel"/>
        <s v="Ira Nair"/>
        <s v="Pooja Mukherjee"/>
        <s v="Shreya Mukherjee"/>
        <s v="Aditi Sharma"/>
        <s v="Nisha Verma"/>
        <s v="Kabir Verma"/>
        <s v="Aditya Banerjee"/>
        <s v="Kunal Mukherjee"/>
        <s v="Kunal Iyer"/>
        <s v="Aarav Banerjee"/>
        <s v="Kunal Banerjee"/>
        <s v="Sujith Banerjee"/>
        <s v="Ira Das"/>
        <s v="Riya Patel"/>
        <s v="Meera Mukherjee"/>
        <s v="Kabir Patel"/>
        <s v="Aarav Das"/>
        <s v="Varun Mukherjee"/>
        <s v="Ananya Das"/>
        <s v="Amrita Reddy"/>
        <s v="Riya Kumar"/>
        <s v="Aditya Sharma"/>
        <s v="Aarav Kumar"/>
        <s v="Sai Reddy"/>
        <s v="Amrita Banerjee"/>
        <s v="Arjun Kumar"/>
        <s v="Ira Iyer"/>
        <s v="Saanvi Kumar"/>
        <s v="Kavya Gupta"/>
        <s v="Shreya Das"/>
        <s v="Kabir Mukherjee"/>
        <s v="Vihaan Gupta"/>
        <s v="Leela Sharma"/>
        <s v="Surya Reddy"/>
        <s v="Arjun Sharma"/>
        <s v="Neeraj Iyer"/>
        <s v="Rahul Kumar"/>
        <s v="Riya Das"/>
        <s v="Nisha Sharma"/>
        <s v="Aditya Das"/>
        <s v="Amrita Sharma"/>
        <s v="Neeraj Banerjee"/>
        <s v="Meera Banerjee"/>
        <s v="Surya Iyer"/>
        <s v="Aditya Kumar"/>
        <s v="Harsha Sharma"/>
        <s v="Ira Reddy"/>
        <s v="Arjun Iyer"/>
        <s v="Ananya Verma"/>
        <s v="Neeraj Kumar"/>
        <s v="Rahul Rao"/>
        <s v="Kavya Kumar"/>
        <s v="Meera Rao"/>
        <s v="Ishaan Mukherjee"/>
        <s v="Diya Kumar"/>
        <s v="Surya Sharma"/>
        <s v="Aditya Rao"/>
        <s v="Leela Nair"/>
        <s v="Shreya Kumar"/>
        <s v="Aarav Mukherjee"/>
        <s v="Kunal Verma"/>
        <s v="Varun Verma"/>
        <s v="Riya Banerjee"/>
        <s v="Meera Iyer"/>
        <s v="Surya Verma"/>
        <s v="Tanvi Reddy"/>
        <s v="Vihaan Nair"/>
        <s v="Rohan Rao"/>
        <s v="Sai Mukherjee"/>
        <s v="Saanvi Iyer"/>
        <s v="Ira Kumar"/>
        <s v="Varun Rao"/>
        <s v="Neeraj Nair"/>
        <s v="Harsha Verma"/>
        <s v="Neeraj Verma"/>
        <s v="Neeraj Mukherjee"/>
        <s v="Kunal Gupta"/>
        <s v="Saanvi Rao"/>
        <s v="Sai Sharma"/>
        <s v="Sujith Das"/>
        <s v="Tanvi Das"/>
        <s v="Amrita Patel"/>
        <s v="Arjun Nair"/>
        <s v="Nisha Banerjee"/>
        <s v="Shreya Banerjee"/>
        <s v="Vihaan Banerjee"/>
        <s v="Arjun Gupta"/>
        <s v="Aditi Kumar"/>
        <s v="Ishaan Verma"/>
        <s v="Aarav Verma"/>
        <s v="Kabir Reddy"/>
        <s v="Aditya Verma"/>
        <s v="Varun Das"/>
        <s v="Saanvi Sharma"/>
        <s v="Aditi Nair"/>
        <s v="Kavya Iyer"/>
        <s v="Amrita Iyer"/>
        <s v="Rahul Verma"/>
        <s v="Amrita Mukherjee"/>
        <s v="Surya Mukherjee"/>
        <s v="Ananya Banerjee"/>
        <s v="Saanvi Nair"/>
        <s v="Riya Sharma"/>
        <s v="Amrita Nair"/>
        <s v="Varun Iyer"/>
        <s v="Surya Gupta"/>
        <s v="Sujith Patel"/>
        <s v="Nisha Reddy"/>
        <s v="Meera Reddy"/>
        <s v="Nisha Rao"/>
        <s v="Amrita Verma"/>
        <s v="Ananya Sharma"/>
        <s v="Kavya Sharma"/>
        <s v="Riya Reddy"/>
        <s v="Rohan Reddy"/>
        <s v="Aditi Patel"/>
        <s v="Ira Sharma"/>
        <s v="Arjun Mukherjee"/>
        <s v="Shreya Patel"/>
        <s v="Rohan Sharma"/>
        <s v="Kavya Das"/>
        <s v="Harsha Mukherjee"/>
        <s v="Sai Das"/>
        <s v="Diya Gupta"/>
        <s v="Diya Mukherjee"/>
        <s v="Priya Sharma"/>
        <s v="Kabir Gupta"/>
        <s v="Tanvi Mukherjee"/>
        <s v="Aditi Rao"/>
        <s v="Surya Das"/>
        <s v="Kavya Verma"/>
        <s v="Nisha Mukherjee"/>
        <s v="Kabir Iyer"/>
        <s v="Sujith Verma"/>
        <s v="Sujith Mukherjee"/>
        <s v="Sujith Sharma"/>
        <s v="Nisha Gupta"/>
        <s v="Nisha Patel"/>
        <s v="Ishaan Kumar"/>
        <s v="Ananya Iyer"/>
        <s v="Saanvi Reddy"/>
        <s v="Rohan Iyer"/>
        <s v="Meera Das"/>
        <s v="Aditi Iyer"/>
        <s v="Ishaan Das"/>
        <s v="Leela Banerjee"/>
        <s v="Shreya Iyer"/>
        <s v="Saanvi Banerjee"/>
        <s v="Rohan Nair"/>
        <s v="Kunal Kumar"/>
        <s v="Pooja Banerjee"/>
        <s v="Ishaan Patel"/>
        <s v="Aarav Nair"/>
        <s v="Leela Kumar"/>
        <s v="Arjun Rao"/>
        <s v="Priya Das"/>
        <s v="Rahul Gupta"/>
        <s v="Kavya Rao"/>
        <s v="Pooja Sharma"/>
        <s v="Aarav Gupta"/>
        <s v="Aarav Patel"/>
        <s v="Diya Sharma"/>
        <s v="Neeraj Rao"/>
        <s v="Priya Kumar"/>
        <s v="Neeraj Reddy"/>
        <s v="Rahul Iyer"/>
        <s v="Ishaan Reddy"/>
        <s v="Ananya Reddy"/>
        <s v="Sai Patel"/>
        <s v="Priya Rao"/>
        <s v="Kavya Nair"/>
        <s v="Rahul Banerjee"/>
        <s v="Rohan Verma"/>
        <s v="Rahul Das"/>
        <s v="Aditi Gupta"/>
        <s v="Meera Gupta"/>
        <s v="Sai Verma"/>
        <s v="Shreya Reddy"/>
        <s v="Aarav Iyer"/>
        <s v="Saanvi Patel"/>
        <s v="Shreya Nair"/>
        <s v="Sujith Nair"/>
        <s v="Pooja Nair"/>
        <s v="Riya Gupta"/>
        <s v="Kunal Sharma"/>
      </sharedItems>
    </cacheField>
    <cacheField name="Address" numFmtId="0">
      <sharedItems count="469">
        <s v="143, Charminar Rd"/>
        <s v="494, Anna Salai"/>
        <s v="55, Charminar Rd"/>
        <s v="175, Anna Salai"/>
        <s v="129, Ring Road"/>
        <s v="294, Anna Salai"/>
        <s v="31, Brigade Road"/>
        <s v="305, Anna Salai"/>
        <s v="224, LBS Marg"/>
        <s v="390, MG Road"/>
        <s v="98, Park Street"/>
        <s v="243, Charminar Rd"/>
        <s v="447, MG Road"/>
        <s v="124, LBS Marg"/>
        <s v="12, Charminar Rd"/>
        <s v="466, Anna Salai"/>
        <s v="345, Anna Salai"/>
        <s v="487, Charminar Rd"/>
        <s v="498, MG Road"/>
        <s v="27, Park Street"/>
        <s v="65, Anna Salai"/>
        <s v="35, Brigade Road"/>
        <s v="391, Anna Salai"/>
        <s v="193, Charminar Rd"/>
        <s v="24, Ring Road"/>
        <s v="328, Charminar Rd"/>
        <s v="121, Brigade Road"/>
        <s v="181, Brigade Road"/>
        <s v="21, Ring Road"/>
        <s v="305, Brigade Road"/>
        <s v="20, FC Road"/>
        <s v="258, Charminar Rd"/>
        <s v="198, Brigade Road"/>
        <s v="328, LBS Marg"/>
        <s v="177, Ring Road"/>
        <s v="183, MG Road"/>
        <s v="368, Charminar Rd"/>
        <s v="79, LBS Marg"/>
        <s v="415, FC Road"/>
        <s v="422, Brigade Road"/>
        <s v="315, Brigade Road"/>
        <s v="31, Park Street"/>
        <s v="256, LBS Marg"/>
        <s v="148, Brigade Road"/>
        <s v="202, Anna Salai"/>
        <s v="125, MG Road"/>
        <s v="412, Anna Salai"/>
        <s v="336, Anna Salai"/>
        <s v="331, MG Road"/>
        <s v="436, LBS Marg"/>
        <s v="489, FC Road"/>
        <s v="388, Ring Road"/>
        <s v="69, FC Road"/>
        <s v="345, MG Road"/>
        <s v="219, LBS Marg"/>
        <s v="434, FC Road"/>
        <s v="398, Anna Salai"/>
        <s v="336, FC Road"/>
        <s v="259, LBS Marg"/>
        <s v="41, FC Road"/>
        <s v="351, Anna Salai"/>
        <s v="394, Charminar Rd"/>
        <s v="53, Park Street"/>
        <s v="223, Anna Salai"/>
        <s v="325, LBS Marg"/>
        <s v="405, Charminar Rd"/>
        <s v="262, Ring Road"/>
        <s v="59, MG Road"/>
        <s v="296, Brigade Road"/>
        <s v="262, Charminar Rd"/>
        <s v="43, MG Road"/>
        <s v="398, Ring Road"/>
        <s v="365, FC Road"/>
        <s v="254, Anna Salai"/>
        <s v="341, Park Street"/>
        <s v="71, Charminar Rd"/>
        <s v="312, Anna Salai"/>
        <s v="35, MG Road"/>
        <s v="224, Ring Road"/>
        <s v="365, Brigade Road"/>
        <s v="423, Brigade Road"/>
        <s v="390, Ring Road"/>
        <s v="44, Brigade Road"/>
        <s v="232, Anna Salai"/>
        <s v="426, Ring Road"/>
        <s v="89, FC Road"/>
        <s v="93, MG Road"/>
        <s v="358, FC Road"/>
        <s v="470, Park Street"/>
        <s v="486, Charminar Rd"/>
        <s v="369, MG Road"/>
        <s v="174, LBS Marg"/>
        <s v="246, Ring Road"/>
        <s v="343, FC Road"/>
        <s v="223, Ring Road"/>
        <s v="293, LBS Marg"/>
        <s v="214, Brigade Road"/>
        <s v="422, LBS Marg"/>
        <s v="5, LBS Marg"/>
        <s v="167, Anna Salai"/>
        <s v="449, Park Street"/>
        <s v="153, Charminar Rd"/>
        <s v="220, LBS Marg"/>
        <s v="455, Park Street"/>
        <s v="64, Anna Salai"/>
        <s v="467, Ring Road"/>
        <s v="60, Brigade Road"/>
        <s v="467, LBS Marg"/>
        <s v="329, Charminar Rd"/>
        <s v="212, MG Road"/>
        <s v="377, MG Road"/>
        <s v="263, Anna Salai"/>
        <s v="28, MG Road"/>
        <s v="434, Anna Salai"/>
        <s v="340, FC Road"/>
        <s v="23, Anna Salai"/>
        <s v="92, Anna Salai"/>
        <s v="81, Ring Road"/>
        <s v="316, Anna Salai"/>
        <s v="157, Park Street"/>
        <s v="40, Brigade Road"/>
        <s v="82, Park Street"/>
        <s v="301, Brigade Road"/>
        <s v="108, Park Street"/>
        <s v="407, Park Street"/>
        <s v="333, Charminar Rd"/>
        <s v="61, MG Road"/>
        <s v="118, LBS Marg"/>
        <s v="469, FC Road"/>
        <s v="247, Brigade Road"/>
        <s v="256, Ring Road"/>
        <s v="270, Charminar Rd"/>
        <s v="187, Charminar Rd"/>
        <s v="31, Ring Road"/>
        <s v="324, Park Street"/>
        <s v="359, Brigade Road"/>
        <s v="479, Anna Salai"/>
        <s v="353, LBS Marg"/>
        <s v="317, LBS Marg"/>
        <s v="241, Park Street"/>
        <s v="443, Ring Road"/>
        <s v="120, FC Road"/>
        <s v="260, Charminar Rd"/>
        <s v="293, Charminar Rd"/>
        <s v="119, Charminar Rd"/>
        <s v="221, FC Road"/>
        <s v="80, Brigade Road"/>
        <s v="179, Charminar Rd"/>
        <s v="293, MG Road"/>
        <s v="395, Anna Salai"/>
        <s v="109, Ring Road"/>
        <s v="195, Brigade Road"/>
        <s v="460, Charminar Rd"/>
        <s v="286, Brigade Road"/>
        <s v="69, LBS Marg"/>
        <s v="423, Charminar Rd"/>
        <s v="471, MG Road"/>
        <s v="363, Charminar Rd"/>
        <s v="122, Ring Road"/>
        <s v="355, Park Street"/>
        <s v="435, FC Road"/>
        <s v="145, Anna Salai"/>
        <s v="372, FC Road"/>
        <s v="425, Anna Salai"/>
        <s v="352, Brigade Road"/>
        <s v="294, Ring Road"/>
        <s v="234, Anna Salai"/>
        <s v="333, Brigade Road"/>
        <s v="56, Charminar Rd"/>
        <s v="32, FC Road"/>
        <s v="9, Park Street"/>
        <s v="361, FC Road"/>
        <s v="170, Charminar Rd"/>
        <s v="58, Park Street"/>
        <s v="131, Charminar Rd"/>
        <s v="45, Park Street"/>
        <s v="313, Charminar Rd"/>
        <s v="245, Charminar Rd"/>
        <s v="200, Brigade Road"/>
        <s v="446, Park Street"/>
        <s v="416, Charminar Rd"/>
        <s v="362, Anna Salai"/>
        <s v="142, MG Road"/>
        <s v="167, Charminar Rd"/>
        <s v="70, Brigade Road"/>
        <s v="485, Park Street"/>
        <s v="236, MG Road"/>
        <s v="188, LBS Marg"/>
        <s v="270, Brigade Road"/>
        <s v="216, LBS Marg"/>
        <s v="146, LBS Marg"/>
        <s v="394, Park Street"/>
        <s v="48, FC Road"/>
        <s v="448, Brigade Road"/>
        <s v="387, Park Street"/>
        <s v="253, Brigade Road"/>
        <s v="264, Ring Road"/>
        <s v="426, Brigade Road"/>
        <s v="40, MG Road"/>
        <s v="314, Ring Road"/>
        <s v="64, LBS Marg"/>
        <s v="268, Brigade Road"/>
        <s v="394, LBS Marg"/>
        <s v="415, MG Road"/>
        <s v="498, Charminar Rd"/>
        <s v="276, FC Road"/>
        <s v="110, Anna Salai"/>
        <s v="331, Park Street"/>
        <s v="460, FC Road"/>
        <s v="131, MG Road"/>
        <s v="63, Ring Road"/>
        <s v="358, Anna Salai"/>
        <s v="44, MG Road"/>
        <s v="326, LBS Marg"/>
        <s v="300, Ring Road"/>
        <s v="319, LBS Marg"/>
        <s v="309, Park Street"/>
        <s v="388, LBS Marg"/>
        <s v="418, MG Road"/>
        <s v="323, Charminar Rd"/>
        <s v="11, Park Street"/>
        <s v="103, Park Street"/>
        <s v="437, Brigade Road"/>
        <s v="225, Charminar Rd"/>
        <s v="174, FC Road"/>
        <s v="106, LBS Marg"/>
        <s v="260, FC Road"/>
        <s v="76, Charminar Rd"/>
        <s v="442, Brigade Road"/>
        <s v="63, FC Road"/>
        <s v="331, Brigade Road"/>
        <s v="206, MG Road"/>
        <s v="133, Charminar Rd"/>
        <s v="401, Park Street"/>
        <s v="203, Brigade Road"/>
        <s v="361, LBS Marg"/>
        <s v="184, Ring Road"/>
        <s v="99, MG Road"/>
        <s v="451, MG Road"/>
        <s v="297, Brigade Road"/>
        <s v="481, MG Road"/>
        <s v="309, FC Road"/>
        <s v="254, Ring Road"/>
        <s v="369, Park Street"/>
        <s v="163, Charminar Rd"/>
        <s v="356, LBS Marg"/>
        <s v="231, LBS Marg"/>
        <s v="433, Anna Salai"/>
        <s v="370, LBS Marg"/>
        <s v="79, FC Road"/>
        <s v="189, MG Road"/>
        <s v="310, Ring Road"/>
        <s v="141, Anna Salai"/>
        <s v="168, LBS Marg"/>
        <s v="227, MG Road"/>
        <s v="321, Ring Road"/>
        <s v="492, Brigade Road"/>
        <s v="318, Brigade Road"/>
        <s v="465, Ring Road"/>
        <s v="230, Ring Road"/>
        <s v="364, LBS Marg"/>
        <s v="266, Ring Road"/>
        <s v="214, Charminar Rd"/>
        <s v="500, FC Road"/>
        <s v="311, LBS Marg"/>
        <s v="109, Park Street"/>
        <s v="335, Charminar Rd"/>
        <s v="276, LBS Marg"/>
        <s v="108, Ring Road"/>
        <s v="336, Park Street"/>
        <s v="497, Park Street"/>
        <s v="301, LBS Marg"/>
        <s v="229, FC Road"/>
        <s v="331, Ring Road"/>
        <s v="373, Anna Salai"/>
        <s v="194, Anna Salai"/>
        <s v="30, Brigade Road"/>
        <s v="264, FC Road"/>
        <s v="3, FC Road"/>
        <s v="102, Brigade Road"/>
        <s v="393, Ring Road"/>
        <s v="165, Ring Road"/>
        <s v="62, MG Road"/>
        <s v="405, MG Road"/>
        <s v="460, Anna Salai"/>
        <s v="194, Charminar Rd"/>
        <s v="137, Brigade Road"/>
        <s v="473, Brigade Road"/>
        <s v="58, Charminar Rd"/>
        <s v="416, Ring Road"/>
        <s v="376, MG Road"/>
        <s v="452, MG Road"/>
        <s v="240, LBS Marg"/>
        <s v="24, MG Road"/>
        <s v="454, Brigade Road"/>
        <s v="281, Brigade Road"/>
        <s v="433, FC Road"/>
        <s v="93, Brigade Road"/>
        <s v="217, Anna Salai"/>
        <s v="288, Ring Road"/>
        <s v="308, Charminar Rd"/>
        <s v="196, Anna Salai"/>
        <s v="487, Brigade Road"/>
        <s v="492, Charminar Rd"/>
        <s v="395, Park Street"/>
        <s v="73, Anna Salai"/>
        <s v="82, Anna Salai"/>
        <s v="144, Charminar Rd"/>
        <s v="93, FC Road"/>
        <s v="102, Ring Road"/>
        <s v="141, FC Road"/>
        <s v="133, MG Road"/>
        <s v="48, Anna Salai"/>
        <s v="198, LBS Marg"/>
        <s v="171, MG Road"/>
        <s v="208, Charminar Rd"/>
        <s v="220, FC Road"/>
        <s v="280, Anna Salai"/>
        <s v="46, Ring Road"/>
        <s v="497, MG Road"/>
        <s v="366, Anna Salai"/>
        <s v="153, LBS Marg"/>
        <s v="461, Anna Salai"/>
        <s v="155, Anna Salai"/>
        <s v="337, Ring Road"/>
        <s v="5, Park Street"/>
        <s v="38, LBS Marg"/>
        <s v="443, Brigade Road"/>
        <s v="115, Anna Salai"/>
        <s v="419, FC Road"/>
        <s v="14, Ring Road"/>
        <s v="411, MG Road"/>
        <s v="126, Anna Salai"/>
        <s v="424, Brigade Road"/>
        <s v="476, MG Road"/>
        <s v="338, Anna Salai"/>
        <s v="76, MG Road"/>
        <s v="425, Charminar Rd"/>
        <s v="391, Brigade Road"/>
        <s v="491, Charminar Rd"/>
        <s v="452, Ring Road"/>
        <s v="24, Brigade Road"/>
        <s v="253, FC Road"/>
        <s v="73, Brigade Road"/>
        <s v="412, Brigade Road"/>
        <s v="78, LBS Marg"/>
        <s v="201, FC Road"/>
        <s v="393, Brigade Road"/>
        <s v="127, MG Road"/>
        <s v="52, Anna Salai"/>
        <s v="415, Brigade Road"/>
        <s v="492, Ring Road"/>
        <s v="151, Anna Salai"/>
        <s v="360, Ring Road"/>
        <s v="289, Brigade Road"/>
        <s v="257, Brigade Road"/>
        <s v="395, FC Road"/>
        <s v="477, LBS Marg"/>
        <s v="162, Charminar Rd"/>
        <s v="240, Park Street"/>
        <s v="454, Ring Road"/>
        <s v="242, Charminar Rd"/>
        <s v="385, Charminar Rd"/>
        <s v="83, FC Road"/>
        <s v="303, Anna Salai"/>
        <s v="487, Anna Salai"/>
        <s v="337, Park Street"/>
        <s v="273, Park Street"/>
        <s v="472, Park Street"/>
        <s v="81, Park Street"/>
        <s v="381, Charminar Rd"/>
        <s v="17, Charminar Rd"/>
        <s v="386, Brigade Road"/>
        <s v="289, FC Road"/>
        <s v="161, FC Road"/>
        <s v="35, Anna Salai"/>
        <s v="51, MG Road"/>
        <s v="264, Anna Salai"/>
        <s v="373, FC Road"/>
        <s v="397, Charminar Rd"/>
        <s v="347, Anna Salai"/>
        <s v="434, Brigade Road"/>
        <s v="78, Anna Salai"/>
        <s v="139, Ring Road"/>
        <s v="24, Park Street"/>
        <s v="319, FC Road"/>
        <s v="66, FC Road"/>
        <s v="453, Anna Salai"/>
        <s v="280, LBS Marg"/>
        <s v="158, LBS Marg"/>
        <s v="116, Park Street"/>
        <s v="331, Charminar Rd"/>
        <s v="79, Brigade Road"/>
        <s v="376, Anna Salai"/>
        <s v="364, Charminar Rd"/>
        <s v="229, MG Road"/>
        <s v="328, Park Street"/>
        <s v="175, FC Road"/>
        <s v="248, LBS Marg"/>
        <s v="470, LBS Marg"/>
        <s v="142, Anna Salai"/>
        <s v="83, Ring Road"/>
        <s v="42, FC Road"/>
        <s v="308, FC Road"/>
        <s v="402, LBS Marg"/>
        <s v="219, Charminar Rd"/>
        <s v="27, Charminar Rd"/>
        <s v="73, Ring Road"/>
        <s v="327, Brigade Road"/>
        <s v="20, Charminar Rd"/>
        <s v="33, Ring Road"/>
        <s v="30, Charminar Rd"/>
        <s v="494, Charminar Rd"/>
        <s v="112, Ring Road"/>
        <s v="483, LBS Marg"/>
        <s v="104, Park Street"/>
        <s v="182, LBS Marg"/>
        <s v="155, Charminar Rd"/>
        <s v="125, Brigade Road"/>
        <s v="368, Brigade Road"/>
        <s v="390, Brigade Road"/>
        <s v="392, LBS Marg"/>
        <s v="238, LBS Marg"/>
        <s v="307, Park Street"/>
        <s v="363, Ring Road"/>
        <s v="183, LBS Marg"/>
        <s v="391, Charminar Rd"/>
        <s v="223, FC Road"/>
        <s v="280, MG Road"/>
        <s v="344, Charminar Rd"/>
        <s v="132, FC Road"/>
        <s v="112, MG Road"/>
        <s v="291, Park Street"/>
        <s v="140, Anna Salai"/>
        <s v="333, MG Road"/>
        <s v="385, LBS Marg"/>
        <s v="257, MG Road"/>
        <s v="367, MG Road"/>
        <s v="199, FC Road"/>
        <s v="279, Brigade Road"/>
        <s v="335, MG Road"/>
        <s v="465, Park Street"/>
        <s v="5, Anna Salai"/>
        <s v="209, MG Road"/>
        <s v="44, Park Street"/>
        <s v="129, Anna Salai"/>
        <s v="409, LBS Marg"/>
        <s v="476, LBS Marg"/>
        <s v="320, Anna Salai"/>
        <s v="85, Park Street"/>
        <s v="199, LBS Marg"/>
        <s v="252, Charminar Rd"/>
        <s v="143, Park Street"/>
        <s v="371, Park Street"/>
        <s v="35, Charminar Rd"/>
        <s v="60, Charminar Rd"/>
        <s v="213, MG Road"/>
        <s v="13, Ring Road"/>
        <s v="236, FC Road"/>
        <s v="27, Anna Salai"/>
        <s v="481, FC Road"/>
        <s v="91, MG Road"/>
        <s v="146, Park Street"/>
        <s v="19, Brigade Road"/>
        <s v="200, Park Street"/>
        <s v="370, Park Street"/>
        <s v="411, Anna Salai"/>
        <s v="51, Park Street"/>
        <s v="63, LBS Marg"/>
      </sharedItems>
    </cacheField>
    <cacheField name="City" numFmtId="0">
      <sharedItems count="10">
        <s v="Delhi"/>
        <s v="Chennai"/>
        <s v="Hyderabad"/>
        <s v="Coimbatore"/>
        <s v="Ahmedabad"/>
        <s v="Kolkata"/>
        <s v="Pune"/>
        <s v="Bengaluru"/>
        <s v="Mumbai"/>
        <s v="Kochi"/>
      </sharedItems>
    </cacheField>
    <cacheField name="State" numFmtId="0">
      <sharedItems count="8">
        <s v="Tamil Nadu"/>
        <s v="Karnataka"/>
        <s v="Kerala"/>
        <s v="Delhi"/>
        <s v="West Bengal"/>
        <s v="Maharashtra"/>
        <s v="Gujarat"/>
        <s v="Telangana"/>
      </sharedItems>
    </cacheField>
    <cacheField name="Pincode" numFmtId="0">
      <sharedItems/>
    </cacheField>
    <cacheField name="Phone" numFmtId="0">
      <sharedItems/>
    </cacheField>
    <cacheField name="Email" numFmtId="0">
      <sharedItems/>
    </cacheField>
    <cacheField name="AdmissionYear" numFmtId="0">
      <sharedItems containsSemiMixedTypes="0" containsString="0" containsNumber="1" containsInteger="1" minValue="2021" maxValue="2024" count="4">
        <n v="2023"/>
        <n v="2024"/>
        <n v="2021"/>
        <n v="2022"/>
      </sharedItems>
    </cacheField>
    <cacheField name="CourseID" numFmtId="0">
      <sharedItems count="8">
        <s v="CRS06"/>
        <s v="CRS07"/>
        <s v="CRS01"/>
        <s v="CRS04"/>
        <s v="CRS03"/>
        <s v="CRS05"/>
        <s v="CRS02"/>
        <s v="CRS08"/>
      </sharedItems>
    </cacheField>
    <cacheField name="CourseName" numFmtId="0">
      <sharedItems count="8">
        <s v="B.Tech Civil"/>
        <s v="B.Sc Physics"/>
        <s v="B.Sc Computer Science"/>
        <s v="BBA"/>
        <s v="B.A English"/>
        <s v="B.Tech Mechanical"/>
        <s v="B.Com"/>
        <s v="B.Sc Mathematics"/>
      </sharedItems>
    </cacheField>
    <cacheField name="Year" numFmtId="0">
      <sharedItems containsSemiMixedTypes="0" containsString="0" containsNumber="1" containsInteger="1" minValue="2" maxValue="4" count="3">
        <n v="3"/>
        <n v="2"/>
        <n v="4"/>
      </sharedItems>
    </cacheField>
    <cacheField name="Semester" numFmtId="0">
      <sharedItems containsSemiMixedTypes="0" containsString="0" containsNumber="1" containsInteger="1" minValue="4" maxValue="8" count="3">
        <n v="6"/>
        <n v="4"/>
        <n v="8"/>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29.70914525463" createdVersion="6" refreshedVersion="6" minRefreshableVersion="3" recordCount="40" xr:uid="{00000000-000A-0000-FFFF-FFFF01000000}">
  <cacheSource type="worksheet">
    <worksheetSource ref="A1:J41" sheet="Events Master"/>
  </cacheSource>
  <cacheFields count="10">
    <cacheField name="EventID" numFmtId="0">
      <sharedItems/>
    </cacheField>
    <cacheField name="EventName" numFmtId="0">
      <sharedItems/>
    </cacheField>
    <cacheField name="EventType" numFmtId="0">
      <sharedItems count="8">
        <s v="Student Association"/>
        <s v="Eye Camp"/>
        <s v="Sports Meet"/>
        <s v="Medical Camp"/>
        <s v="Guest Lecture"/>
        <s v="Culturals"/>
        <s v="Safety Day"/>
        <s v="Tech Fest"/>
      </sharedItems>
    </cacheField>
    <cacheField name="OrganizerType" numFmtId="0">
      <sharedItems count="2">
        <s v="Internal"/>
        <s v="External"/>
      </sharedItems>
    </cacheField>
    <cacheField name="OrganizerName" numFmtId="0">
      <sharedItems/>
    </cacheField>
    <cacheField name="StartDate" numFmtId="164">
      <sharedItems containsSemiMixedTypes="0" containsNonDate="0" containsDate="1" containsString="0" minDate="2024-07-14T00:00:00" maxDate="2025-08-16T00:00:00"/>
    </cacheField>
    <cacheField name="EndDate" numFmtId="164">
      <sharedItems containsSemiMixedTypes="0" containsNonDate="0" containsDate="1" containsString="0" minDate="2024-07-14T00:00:00" maxDate="2025-08-17T00:00:00"/>
    </cacheField>
    <cacheField name="Location" numFmtId="0">
      <sharedItems/>
    </cacheField>
    <cacheField name="AcademicYear" numFmtId="0">
      <sharedItems count="2">
        <s v="2024-2025"/>
        <s v="2025-2026"/>
      </sharedItems>
    </cacheField>
    <cacheField name="BudgetINR" numFmtId="0">
      <sharedItems containsSemiMixedTypes="0" containsString="0" containsNumber="1" containsInteger="1" minValue="26831" maxValue="143782"/>
    </cacheField>
  </cacheFields>
  <extLst>
    <ext xmlns:x14="http://schemas.microsoft.com/office/spreadsheetml/2009/9/main" uri="{725AE2AE-9491-48be-B2B4-4EB974FC3084}">
      <x14:pivotCacheDefinition pivotCacheId="172733156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56.619179398149" createdVersion="8" refreshedVersion="8" minRefreshableVersion="3" recordCount="500" xr:uid="{5421C2C3-4859-4D73-BFA6-130130DA9018}">
  <cacheSource type="worksheet">
    <worksheetSource ref="A1:S501" sheet="Students Master"/>
  </cacheSource>
  <cacheFields count="19">
    <cacheField name="StudentID" numFmtId="0">
      <sharedItems/>
    </cacheField>
    <cacheField name="StudentName" numFmtId="0">
      <sharedItems/>
    </cacheField>
    <cacheField name="Gender" numFmtId="0">
      <sharedItems count="3">
        <s v="Female"/>
        <s v="Male"/>
        <s v="Other"/>
      </sharedItems>
    </cacheField>
    <cacheField name="DOB" numFmtId="164">
      <sharedItems containsSemiMixedTypes="0" containsNonDate="0" containsDate="1" containsString="0" minDate="1999-01-01T00:00:00" maxDate="2007-12-29T00:00:00"/>
    </cacheField>
    <cacheField name="BloodGroup" numFmtId="0">
      <sharedItems/>
    </cacheField>
    <cacheField name="FatherName" numFmtId="0">
      <sharedItems/>
    </cacheField>
    <cacheField name="MotherName" numFmtId="0">
      <sharedItems/>
    </cacheField>
    <cacheField name="Address" numFmtId="0">
      <sharedItems/>
    </cacheField>
    <cacheField name="City" numFmtId="0">
      <sharedItems count="10">
        <s v="Chennai"/>
        <s v="Bengaluru"/>
        <s v="Kochi"/>
        <s v="Delhi"/>
        <s v="Kolkata"/>
        <s v="Pune"/>
        <s v="Ahmedabad"/>
        <s v="Hyderabad"/>
        <s v="Mumbai"/>
        <s v="Coimbatore"/>
      </sharedItems>
    </cacheField>
    <cacheField name="State" numFmtId="0">
      <sharedItems count="8">
        <s v="Tamil Nadu"/>
        <s v="Karnataka"/>
        <s v="Kerala"/>
        <s v="Delhi"/>
        <s v="West Bengal"/>
        <s v="Maharashtra"/>
        <s v="Gujarat"/>
        <s v="Telangana"/>
      </sharedItems>
    </cacheField>
    <cacheField name="Pincode" numFmtId="0">
      <sharedItems/>
    </cacheField>
    <cacheField name="Phone" numFmtId="0">
      <sharedItems/>
    </cacheField>
    <cacheField name="Email" numFmtId="0">
      <sharedItems/>
    </cacheField>
    <cacheField name="AdmissionYear" numFmtId="0">
      <sharedItems containsSemiMixedTypes="0" containsString="0" containsNumber="1" containsInteger="1" minValue="2021" maxValue="2024" count="4">
        <n v="2023"/>
        <n v="2024"/>
        <n v="2021"/>
        <n v="2022"/>
      </sharedItems>
    </cacheField>
    <cacheField name="CourseID" numFmtId="0">
      <sharedItems/>
    </cacheField>
    <cacheField name="CourseName" numFmtId="0">
      <sharedItems count="8">
        <s v="B.Tech Civil"/>
        <s v="B.Sc Physics"/>
        <s v="B.Sc Computer Science"/>
        <s v="BBA"/>
        <s v="B.A English"/>
        <s v="B.Tech Mechanical"/>
        <s v="B.Com"/>
        <s v="B.Sc Mathematics"/>
      </sharedItems>
    </cacheField>
    <cacheField name="Year" numFmtId="0">
      <sharedItems containsSemiMixedTypes="0" containsString="0" containsNumber="1" containsInteger="1" minValue="1" maxValue="3" count="3">
        <n v="3"/>
        <n v="2"/>
        <n v="1"/>
      </sharedItems>
    </cacheField>
    <cacheField name="Semester" numFmtId="0">
      <sharedItems containsSemiMixedTypes="0" containsString="0" containsNumber="1" containsInteger="1" minValue="2" maxValue="6"/>
    </cacheField>
    <cacheField name="Department" numFmtId="0">
      <sharedItems count="8">
        <s v="Civil Engg"/>
        <s v="Physics"/>
        <s v="Computer Science"/>
        <s v="Management"/>
        <s v="Humanities"/>
        <s v="Mechanical Engg"/>
        <s v="Commerce"/>
        <s v="Mathematics"/>
      </sharedItems>
    </cacheField>
  </cacheFields>
  <extLst>
    <ext xmlns:x14="http://schemas.microsoft.com/office/spreadsheetml/2009/9/main" uri="{725AE2AE-9491-48be-B2B4-4EB974FC3084}">
      <x14:pivotCacheDefinition pivotCacheId="66385772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56.676430208332" createdVersion="8" refreshedVersion="8" minRefreshableVersion="3" recordCount="20" xr:uid="{AE3FD3CE-FD07-4DCE-B338-EC9954BBDF57}">
  <cacheSource type="worksheet">
    <worksheetSource ref="A1:Q21" sheet="Faculty Master"/>
  </cacheSource>
  <cacheFields count="17">
    <cacheField name="FacultyID" numFmtId="0">
      <sharedItems/>
    </cacheField>
    <cacheField name="FacultyName" numFmtId="0">
      <sharedItems/>
    </cacheField>
    <cacheField name="Gender" numFmtId="0">
      <sharedItems count="3">
        <s v="Male"/>
        <s v="Female"/>
        <s v="Other"/>
      </sharedItems>
    </cacheField>
    <cacheField name="DOB" numFmtId="164">
      <sharedItems containsSemiMixedTypes="0" containsNonDate="0" containsDate="1" containsString="0" minDate="1971-08-24T00:00:00" maxDate="1990-11-04T00:00:00"/>
    </cacheField>
    <cacheField name="Qualification" numFmtId="0">
      <sharedItems count="7">
        <s v="M.Tech"/>
        <s v="M.A"/>
        <s v="PhD"/>
        <s v="M.Sc"/>
        <s v="M.Phil"/>
        <s v="B.Ed"/>
        <s v="MBA"/>
      </sharedItems>
    </cacheField>
    <cacheField name="Department" numFmtId="0">
      <sharedItems count="8">
        <s v="Management"/>
        <s v="Civil Engg"/>
        <s v="Commerce"/>
        <s v="Humanities"/>
        <s v="Mechanical Engg"/>
        <s v="Physics"/>
        <s v="Computer Science"/>
        <s v="Mathematics"/>
      </sharedItems>
    </cacheField>
    <cacheField name="CourseID" numFmtId="0">
      <sharedItems/>
    </cacheField>
    <cacheField name="CourseName" numFmtId="0">
      <sharedItems/>
    </cacheField>
    <cacheField name="DateOfJoining" numFmtId="164">
      <sharedItems containsSemiMixedTypes="0" containsNonDate="0" containsDate="1" containsString="0" minDate="2006-04-26T00:00:00" maxDate="2024-04-05T00:00:00"/>
    </cacheField>
    <cacheField name="ExperienceYears" numFmtId="0">
      <sharedItems containsSemiMixedTypes="0" containsString="0" containsNumber="1" containsInteger="1" minValue="0" maxValue="18" count="14">
        <n v="14"/>
        <n v="6"/>
        <n v="13"/>
        <n v="17"/>
        <n v="15"/>
        <n v="10"/>
        <n v="18"/>
        <n v="8"/>
        <n v="9"/>
        <n v="12"/>
        <n v="0"/>
        <n v="3"/>
        <n v="5"/>
        <n v="4"/>
      </sharedItems>
    </cacheField>
    <cacheField name="Address" numFmtId="0">
      <sharedItems/>
    </cacheField>
    <cacheField name="City" numFmtId="0">
      <sharedItems/>
    </cacheField>
    <cacheField name="State" numFmtId="0">
      <sharedItems count="8">
        <s v="Tamil Nadu"/>
        <s v="West Bengal"/>
        <s v="Gujarat"/>
        <s v="Kerala"/>
        <s v="Karnataka"/>
        <s v="Delhi"/>
        <s v="Telangana"/>
        <s v="Maharashtra"/>
      </sharedItems>
    </cacheField>
    <cacheField name="Pincode" numFmtId="0">
      <sharedItems/>
    </cacheField>
    <cacheField name="Phone" numFmtId="0">
      <sharedItems/>
    </cacheField>
    <cacheField name="Email" numFmtId="0">
      <sharedItems/>
    </cacheField>
    <cacheField name="BloodGroup" numFmtId="0">
      <sharedItems/>
    </cacheField>
  </cacheFields>
  <extLst>
    <ext xmlns:x14="http://schemas.microsoft.com/office/spreadsheetml/2009/9/main" uri="{725AE2AE-9491-48be-B2B4-4EB974FC3084}">
      <x14:pivotCacheDefinition pivotCacheId="17765793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d v="2001-05-16T00:00:00"/>
    <s v="B-"/>
    <x v="0"/>
    <x v="0"/>
    <x v="0"/>
    <x v="0"/>
    <x v="0"/>
    <s v="470920"/>
    <s v="9900286241"/>
    <s v="kunal.patel971@student.college.edu"/>
    <x v="0"/>
    <x v="0"/>
    <x v="0"/>
    <x v="0"/>
    <x v="0"/>
  </r>
  <r>
    <x v="1"/>
    <x v="1"/>
    <x v="1"/>
    <d v="2007-05-22T00:00:00"/>
    <s v="AB+"/>
    <x v="1"/>
    <x v="1"/>
    <x v="1"/>
    <x v="1"/>
    <x v="1"/>
    <s v="959391"/>
    <s v="9582636875"/>
    <s v="sai.rao43@gmail.com"/>
    <x v="1"/>
    <x v="0"/>
    <x v="0"/>
    <x v="1"/>
    <x v="1"/>
  </r>
  <r>
    <x v="2"/>
    <x v="2"/>
    <x v="1"/>
    <d v="2002-10-29T00:00:00"/>
    <s v="AB+"/>
    <x v="2"/>
    <x v="2"/>
    <x v="2"/>
    <x v="2"/>
    <x v="2"/>
    <s v="747928"/>
    <s v="9544728808"/>
    <s v="aditya.das250@gmail.com"/>
    <x v="1"/>
    <x v="0"/>
    <x v="0"/>
    <x v="1"/>
    <x v="1"/>
  </r>
  <r>
    <x v="3"/>
    <x v="3"/>
    <x v="0"/>
    <d v="2001-01-14T00:00:00"/>
    <s v="AB+"/>
    <x v="3"/>
    <x v="3"/>
    <x v="3"/>
    <x v="3"/>
    <x v="3"/>
    <s v="551245"/>
    <s v="9247402426"/>
    <s v="aarav.kumar378@gmail.com"/>
    <x v="0"/>
    <x v="1"/>
    <x v="1"/>
    <x v="0"/>
    <x v="0"/>
  </r>
  <r>
    <x v="4"/>
    <x v="4"/>
    <x v="0"/>
    <d v="2002-12-12T00:00:00"/>
    <s v="B+"/>
    <x v="4"/>
    <x v="4"/>
    <x v="4"/>
    <x v="1"/>
    <x v="4"/>
    <s v="379617"/>
    <s v="9257598233"/>
    <s v="aditi.das726@student.college.edu"/>
    <x v="2"/>
    <x v="2"/>
    <x v="2"/>
    <x v="2"/>
    <x v="2"/>
  </r>
  <r>
    <x v="5"/>
    <x v="5"/>
    <x v="1"/>
    <d v="2000-06-01T00:00:00"/>
    <s v="AB+"/>
    <x v="5"/>
    <x v="5"/>
    <x v="5"/>
    <x v="4"/>
    <x v="2"/>
    <s v="410948"/>
    <s v="9406015391"/>
    <s v="nisha.nair783@gmail.com"/>
    <x v="3"/>
    <x v="1"/>
    <x v="1"/>
    <x v="2"/>
    <x v="2"/>
  </r>
  <r>
    <x v="6"/>
    <x v="6"/>
    <x v="0"/>
    <d v="2005-08-07T00:00:00"/>
    <s v="B-"/>
    <x v="6"/>
    <x v="6"/>
    <x v="6"/>
    <x v="5"/>
    <x v="4"/>
    <s v="202514"/>
    <s v="9640228022"/>
    <s v="riya.kumar811@student.college.edu"/>
    <x v="2"/>
    <x v="3"/>
    <x v="3"/>
    <x v="2"/>
    <x v="2"/>
  </r>
  <r>
    <x v="7"/>
    <x v="7"/>
    <x v="0"/>
    <d v="2000-08-05T00:00:00"/>
    <s v="AB+"/>
    <x v="7"/>
    <x v="7"/>
    <x v="7"/>
    <x v="4"/>
    <x v="0"/>
    <s v="434254"/>
    <s v="9587602685"/>
    <s v="harsha.gupta22@gmail.com"/>
    <x v="2"/>
    <x v="4"/>
    <x v="4"/>
    <x v="2"/>
    <x v="2"/>
  </r>
  <r>
    <x v="8"/>
    <x v="8"/>
    <x v="1"/>
    <d v="2003-12-17T00:00:00"/>
    <s v="O+"/>
    <x v="8"/>
    <x v="8"/>
    <x v="8"/>
    <x v="1"/>
    <x v="2"/>
    <s v="336836"/>
    <s v="9298543394"/>
    <s v="saanvi.das527@student.college.edu"/>
    <x v="1"/>
    <x v="1"/>
    <x v="1"/>
    <x v="1"/>
    <x v="1"/>
  </r>
  <r>
    <x v="9"/>
    <x v="9"/>
    <x v="1"/>
    <d v="2003-01-21T00:00:00"/>
    <s v="B-"/>
    <x v="9"/>
    <x v="9"/>
    <x v="9"/>
    <x v="5"/>
    <x v="3"/>
    <s v="594619"/>
    <s v="9621550994"/>
    <s v="vihaan.reddy121@student.college.edu"/>
    <x v="0"/>
    <x v="5"/>
    <x v="5"/>
    <x v="0"/>
    <x v="0"/>
  </r>
  <r>
    <x v="10"/>
    <x v="10"/>
    <x v="0"/>
    <d v="2001-09-25T00:00:00"/>
    <s v="B+"/>
    <x v="10"/>
    <x v="10"/>
    <x v="10"/>
    <x v="1"/>
    <x v="3"/>
    <s v="783720"/>
    <s v="9785684437"/>
    <s v="meera.kumar387@gmail.com"/>
    <x v="3"/>
    <x v="3"/>
    <x v="3"/>
    <x v="2"/>
    <x v="2"/>
  </r>
  <r>
    <x v="11"/>
    <x v="11"/>
    <x v="2"/>
    <d v="2007-09-12T00:00:00"/>
    <s v="O+"/>
    <x v="11"/>
    <x v="11"/>
    <x v="11"/>
    <x v="6"/>
    <x v="5"/>
    <s v="405588"/>
    <s v="9454746149"/>
    <s v="shreya.patel347@gmail.com"/>
    <x v="2"/>
    <x v="0"/>
    <x v="0"/>
    <x v="2"/>
    <x v="2"/>
  </r>
  <r>
    <x v="12"/>
    <x v="12"/>
    <x v="1"/>
    <d v="2003-04-06T00:00:00"/>
    <s v="A-"/>
    <x v="12"/>
    <x v="12"/>
    <x v="12"/>
    <x v="3"/>
    <x v="0"/>
    <s v="262209"/>
    <s v="9771120303"/>
    <s v="leela.banerjee442@student.college.edu"/>
    <x v="1"/>
    <x v="4"/>
    <x v="4"/>
    <x v="1"/>
    <x v="1"/>
  </r>
  <r>
    <x v="13"/>
    <x v="13"/>
    <x v="2"/>
    <d v="2005-11-01T00:00:00"/>
    <s v="B-"/>
    <x v="13"/>
    <x v="13"/>
    <x v="13"/>
    <x v="3"/>
    <x v="5"/>
    <s v="264684"/>
    <s v="9250992964"/>
    <s v="sai.gupta310@student.college.edu"/>
    <x v="1"/>
    <x v="6"/>
    <x v="6"/>
    <x v="1"/>
    <x v="1"/>
  </r>
  <r>
    <x v="14"/>
    <x v="14"/>
    <x v="1"/>
    <d v="2003-01-10T00:00:00"/>
    <s v="O+"/>
    <x v="14"/>
    <x v="14"/>
    <x v="14"/>
    <x v="0"/>
    <x v="1"/>
    <s v="567064"/>
    <s v="9927636667"/>
    <s v="rohan.patel676@student.college.edu"/>
    <x v="2"/>
    <x v="2"/>
    <x v="2"/>
    <x v="2"/>
    <x v="2"/>
  </r>
  <r>
    <x v="15"/>
    <x v="15"/>
    <x v="2"/>
    <d v="2005-07-01T00:00:00"/>
    <s v="O-"/>
    <x v="15"/>
    <x v="15"/>
    <x v="15"/>
    <x v="2"/>
    <x v="6"/>
    <s v="115959"/>
    <s v="9828487319"/>
    <s v="rahul.kumar145@student.college.edu"/>
    <x v="1"/>
    <x v="0"/>
    <x v="0"/>
    <x v="1"/>
    <x v="1"/>
  </r>
  <r>
    <x v="16"/>
    <x v="16"/>
    <x v="2"/>
    <d v="2001-12-19T00:00:00"/>
    <s v="B+"/>
    <x v="16"/>
    <x v="16"/>
    <x v="16"/>
    <x v="3"/>
    <x v="6"/>
    <s v="891208"/>
    <s v="9592089341"/>
    <s v="aditya.patel969@student.college.edu"/>
    <x v="1"/>
    <x v="6"/>
    <x v="6"/>
    <x v="1"/>
    <x v="1"/>
  </r>
  <r>
    <x v="17"/>
    <x v="17"/>
    <x v="1"/>
    <d v="2000-07-09T00:00:00"/>
    <s v="B+"/>
    <x v="17"/>
    <x v="17"/>
    <x v="17"/>
    <x v="3"/>
    <x v="5"/>
    <s v="868692"/>
    <s v="9624239396"/>
    <s v="kabir.reddy63@gmail.com"/>
    <x v="3"/>
    <x v="6"/>
    <x v="6"/>
    <x v="2"/>
    <x v="2"/>
  </r>
  <r>
    <x v="18"/>
    <x v="18"/>
    <x v="2"/>
    <d v="2006-06-07T00:00:00"/>
    <s v="A+"/>
    <x v="18"/>
    <x v="18"/>
    <x v="18"/>
    <x v="7"/>
    <x v="7"/>
    <s v="215072"/>
    <s v="9283190811"/>
    <s v="leela.kumar257@student.college.edu"/>
    <x v="2"/>
    <x v="4"/>
    <x v="4"/>
    <x v="2"/>
    <x v="2"/>
  </r>
  <r>
    <x v="19"/>
    <x v="19"/>
    <x v="2"/>
    <d v="2005-08-08T00:00:00"/>
    <s v="O+"/>
    <x v="19"/>
    <x v="7"/>
    <x v="19"/>
    <x v="6"/>
    <x v="0"/>
    <s v="747515"/>
    <s v="9907854904"/>
    <s v="aarav.iyer412@gmail.com"/>
    <x v="2"/>
    <x v="7"/>
    <x v="7"/>
    <x v="2"/>
    <x v="2"/>
  </r>
  <r>
    <x v="20"/>
    <x v="20"/>
    <x v="2"/>
    <d v="1999-11-27T00:00:00"/>
    <s v="O+"/>
    <x v="20"/>
    <x v="15"/>
    <x v="20"/>
    <x v="3"/>
    <x v="7"/>
    <s v="352547"/>
    <s v="9168584848"/>
    <s v="varun.kumar409@gmail.com"/>
    <x v="2"/>
    <x v="0"/>
    <x v="0"/>
    <x v="2"/>
    <x v="2"/>
  </r>
  <r>
    <x v="21"/>
    <x v="21"/>
    <x v="1"/>
    <d v="2001-11-10T00:00:00"/>
    <s v="A+"/>
    <x v="21"/>
    <x v="19"/>
    <x v="21"/>
    <x v="1"/>
    <x v="0"/>
    <s v="473109"/>
    <s v="9564894902"/>
    <s v="meera.iyer320@gmail.com"/>
    <x v="3"/>
    <x v="4"/>
    <x v="4"/>
    <x v="2"/>
    <x v="2"/>
  </r>
  <r>
    <x v="22"/>
    <x v="22"/>
    <x v="2"/>
    <d v="2000-03-19T00:00:00"/>
    <s v="AB+"/>
    <x v="22"/>
    <x v="20"/>
    <x v="22"/>
    <x v="3"/>
    <x v="4"/>
    <s v="889866"/>
    <s v="9098217330"/>
    <s v="tanvi.kumar891@student.college.edu"/>
    <x v="1"/>
    <x v="6"/>
    <x v="6"/>
    <x v="1"/>
    <x v="1"/>
  </r>
  <r>
    <x v="23"/>
    <x v="23"/>
    <x v="1"/>
    <d v="1999-05-06T00:00:00"/>
    <s v="B+"/>
    <x v="23"/>
    <x v="21"/>
    <x v="23"/>
    <x v="4"/>
    <x v="7"/>
    <s v="133958"/>
    <s v="9170044642"/>
    <s v="arjun.mukherjee525@student.college.edu"/>
    <x v="1"/>
    <x v="6"/>
    <x v="6"/>
    <x v="1"/>
    <x v="1"/>
  </r>
  <r>
    <x v="24"/>
    <x v="24"/>
    <x v="1"/>
    <d v="2005-08-26T00:00:00"/>
    <s v="B-"/>
    <x v="24"/>
    <x v="22"/>
    <x v="24"/>
    <x v="6"/>
    <x v="1"/>
    <s v="032123"/>
    <s v="9071375880"/>
    <s v="rahul.banerjee883@student.college.edu"/>
    <x v="2"/>
    <x v="7"/>
    <x v="7"/>
    <x v="2"/>
    <x v="2"/>
  </r>
  <r>
    <x v="25"/>
    <x v="25"/>
    <x v="0"/>
    <d v="2005-06-16T00:00:00"/>
    <s v="A+"/>
    <x v="25"/>
    <x v="23"/>
    <x v="25"/>
    <x v="0"/>
    <x v="0"/>
    <s v="491946"/>
    <s v="9341440872"/>
    <s v="surya.verma798@student.college.edu"/>
    <x v="2"/>
    <x v="3"/>
    <x v="3"/>
    <x v="2"/>
    <x v="2"/>
  </r>
  <r>
    <x v="26"/>
    <x v="26"/>
    <x v="0"/>
    <d v="2007-02-27T00:00:00"/>
    <s v="A-"/>
    <x v="26"/>
    <x v="24"/>
    <x v="26"/>
    <x v="8"/>
    <x v="3"/>
    <s v="167617"/>
    <s v="9477495668"/>
    <s v="amrita.iyer643@gmail.com"/>
    <x v="1"/>
    <x v="6"/>
    <x v="6"/>
    <x v="1"/>
    <x v="1"/>
  </r>
  <r>
    <x v="27"/>
    <x v="27"/>
    <x v="1"/>
    <d v="2002-05-25T00:00:00"/>
    <s v="AB+"/>
    <x v="27"/>
    <x v="25"/>
    <x v="27"/>
    <x v="0"/>
    <x v="2"/>
    <s v="408088"/>
    <s v="9654578486"/>
    <s v="saanvi.kumar330@gmail.com"/>
    <x v="3"/>
    <x v="2"/>
    <x v="2"/>
    <x v="2"/>
    <x v="2"/>
  </r>
  <r>
    <x v="28"/>
    <x v="28"/>
    <x v="0"/>
    <d v="2007-01-04T00:00:00"/>
    <s v="B+"/>
    <x v="28"/>
    <x v="26"/>
    <x v="28"/>
    <x v="4"/>
    <x v="2"/>
    <s v="563937"/>
    <s v="9606335328"/>
    <s v="riya.verma988@student.college.edu"/>
    <x v="2"/>
    <x v="4"/>
    <x v="4"/>
    <x v="2"/>
    <x v="2"/>
  </r>
  <r>
    <x v="29"/>
    <x v="29"/>
    <x v="0"/>
    <d v="2006-05-11T00:00:00"/>
    <s v="A-"/>
    <x v="29"/>
    <x v="27"/>
    <x v="29"/>
    <x v="0"/>
    <x v="6"/>
    <s v="631799"/>
    <s v="9906503937"/>
    <s v="surya.iyer197@student.college.edu"/>
    <x v="3"/>
    <x v="6"/>
    <x v="6"/>
    <x v="2"/>
    <x v="2"/>
  </r>
  <r>
    <x v="30"/>
    <x v="30"/>
    <x v="1"/>
    <d v="2007-08-24T00:00:00"/>
    <s v="O-"/>
    <x v="30"/>
    <x v="28"/>
    <x v="30"/>
    <x v="3"/>
    <x v="5"/>
    <s v="511669"/>
    <s v="9703796772"/>
    <s v="rahul.verma245@gmail.com"/>
    <x v="1"/>
    <x v="3"/>
    <x v="3"/>
    <x v="1"/>
    <x v="1"/>
  </r>
  <r>
    <x v="31"/>
    <x v="31"/>
    <x v="1"/>
    <d v="2003-12-10T00:00:00"/>
    <s v="O-"/>
    <x v="31"/>
    <x v="29"/>
    <x v="31"/>
    <x v="8"/>
    <x v="4"/>
    <s v="812685"/>
    <s v="9188272914"/>
    <s v="diya.banerjee970@student.college.edu"/>
    <x v="1"/>
    <x v="0"/>
    <x v="0"/>
    <x v="1"/>
    <x v="1"/>
  </r>
  <r>
    <x v="32"/>
    <x v="32"/>
    <x v="0"/>
    <d v="1999-08-07T00:00:00"/>
    <s v="AB+"/>
    <x v="32"/>
    <x v="30"/>
    <x v="32"/>
    <x v="2"/>
    <x v="4"/>
    <s v="098671"/>
    <s v="9286174002"/>
    <s v="surya.sharma856@student.college.edu"/>
    <x v="1"/>
    <x v="6"/>
    <x v="6"/>
    <x v="1"/>
    <x v="1"/>
  </r>
  <r>
    <x v="33"/>
    <x v="33"/>
    <x v="2"/>
    <d v="2002-05-18T00:00:00"/>
    <s v="B-"/>
    <x v="33"/>
    <x v="31"/>
    <x v="33"/>
    <x v="1"/>
    <x v="0"/>
    <s v="845657"/>
    <s v="9203516539"/>
    <s v="neeraj.nair558@student.college.edu"/>
    <x v="1"/>
    <x v="2"/>
    <x v="2"/>
    <x v="1"/>
    <x v="1"/>
  </r>
  <r>
    <x v="34"/>
    <x v="34"/>
    <x v="0"/>
    <d v="2001-11-04T00:00:00"/>
    <s v="B+"/>
    <x v="34"/>
    <x v="20"/>
    <x v="34"/>
    <x v="1"/>
    <x v="7"/>
    <s v="133686"/>
    <s v="9941179027"/>
    <s v="harsha.patel908@student.college.edu"/>
    <x v="0"/>
    <x v="1"/>
    <x v="1"/>
    <x v="0"/>
    <x v="0"/>
  </r>
  <r>
    <x v="35"/>
    <x v="35"/>
    <x v="0"/>
    <d v="2001-11-03T00:00:00"/>
    <s v="AB+"/>
    <x v="35"/>
    <x v="32"/>
    <x v="35"/>
    <x v="2"/>
    <x v="3"/>
    <s v="138783"/>
    <s v="9944958706"/>
    <s v="sujith.das843@student.college.edu"/>
    <x v="0"/>
    <x v="0"/>
    <x v="0"/>
    <x v="0"/>
    <x v="0"/>
  </r>
  <r>
    <x v="36"/>
    <x v="36"/>
    <x v="0"/>
    <d v="2006-05-31T00:00:00"/>
    <s v="A+"/>
    <x v="36"/>
    <x v="33"/>
    <x v="36"/>
    <x v="8"/>
    <x v="2"/>
    <s v="308392"/>
    <s v="9990638691"/>
    <s v="kabir.verma623@gmail.com"/>
    <x v="3"/>
    <x v="6"/>
    <x v="6"/>
    <x v="2"/>
    <x v="2"/>
  </r>
  <r>
    <x v="37"/>
    <x v="37"/>
    <x v="0"/>
    <d v="2003-01-23T00:00:00"/>
    <s v="O+"/>
    <x v="37"/>
    <x v="34"/>
    <x v="37"/>
    <x v="2"/>
    <x v="7"/>
    <s v="401332"/>
    <s v="9901591772"/>
    <s v="rohan.banerjee627@gmail.com"/>
    <x v="1"/>
    <x v="3"/>
    <x v="3"/>
    <x v="1"/>
    <x v="1"/>
  </r>
  <r>
    <x v="38"/>
    <x v="38"/>
    <x v="2"/>
    <d v="2004-01-26T00:00:00"/>
    <s v="AB+"/>
    <x v="38"/>
    <x v="35"/>
    <x v="38"/>
    <x v="2"/>
    <x v="0"/>
    <s v="522177"/>
    <s v="9132972435"/>
    <s v="kabir.gupta479@student.college.edu"/>
    <x v="2"/>
    <x v="6"/>
    <x v="6"/>
    <x v="2"/>
    <x v="2"/>
  </r>
  <r>
    <x v="39"/>
    <x v="39"/>
    <x v="1"/>
    <d v="2007-01-23T00:00:00"/>
    <s v="B+"/>
    <x v="24"/>
    <x v="36"/>
    <x v="39"/>
    <x v="8"/>
    <x v="7"/>
    <s v="646387"/>
    <s v="9619490111"/>
    <s v="rahul.patel331@student.college.edu"/>
    <x v="0"/>
    <x v="6"/>
    <x v="6"/>
    <x v="0"/>
    <x v="0"/>
  </r>
  <r>
    <x v="40"/>
    <x v="40"/>
    <x v="1"/>
    <d v="2005-03-06T00:00:00"/>
    <s v="B-"/>
    <x v="39"/>
    <x v="37"/>
    <x v="40"/>
    <x v="9"/>
    <x v="5"/>
    <s v="551693"/>
    <s v="9908097225"/>
    <s v="kunal.reddy633@student.college.edu"/>
    <x v="0"/>
    <x v="5"/>
    <x v="5"/>
    <x v="0"/>
    <x v="0"/>
  </r>
  <r>
    <x v="41"/>
    <x v="41"/>
    <x v="1"/>
    <d v="2003-07-22T00:00:00"/>
    <s v="B+"/>
    <x v="40"/>
    <x v="38"/>
    <x v="41"/>
    <x v="4"/>
    <x v="6"/>
    <s v="426377"/>
    <s v="9891353422"/>
    <s v="saanvi.reddy100@student.college.edu"/>
    <x v="1"/>
    <x v="1"/>
    <x v="1"/>
    <x v="1"/>
    <x v="1"/>
  </r>
  <r>
    <x v="42"/>
    <x v="42"/>
    <x v="0"/>
    <d v="2005-06-24T00:00:00"/>
    <s v="O-"/>
    <x v="41"/>
    <x v="39"/>
    <x v="42"/>
    <x v="4"/>
    <x v="3"/>
    <s v="403425"/>
    <s v="9025862011"/>
    <s v="rohan.gupta271@gmail.com"/>
    <x v="1"/>
    <x v="0"/>
    <x v="0"/>
    <x v="1"/>
    <x v="1"/>
  </r>
  <r>
    <x v="43"/>
    <x v="43"/>
    <x v="2"/>
    <d v="2005-05-24T00:00:00"/>
    <s v="O-"/>
    <x v="42"/>
    <x v="40"/>
    <x v="43"/>
    <x v="6"/>
    <x v="2"/>
    <s v="729619"/>
    <s v="9373971550"/>
    <s v="vihaan.patel141@gmail.com"/>
    <x v="1"/>
    <x v="7"/>
    <x v="7"/>
    <x v="1"/>
    <x v="1"/>
  </r>
  <r>
    <x v="44"/>
    <x v="44"/>
    <x v="1"/>
    <d v="2000-07-26T00:00:00"/>
    <s v="O+"/>
    <x v="20"/>
    <x v="41"/>
    <x v="44"/>
    <x v="3"/>
    <x v="7"/>
    <s v="554540"/>
    <s v="9314388652"/>
    <s v="arjun.rao672@student.college.edu"/>
    <x v="2"/>
    <x v="7"/>
    <x v="7"/>
    <x v="2"/>
    <x v="2"/>
  </r>
  <r>
    <x v="45"/>
    <x v="45"/>
    <x v="1"/>
    <d v="2007-02-01T00:00:00"/>
    <s v="A-"/>
    <x v="43"/>
    <x v="42"/>
    <x v="45"/>
    <x v="3"/>
    <x v="0"/>
    <s v="144425"/>
    <s v="9648775594"/>
    <s v="sai.das386@gmail.com"/>
    <x v="1"/>
    <x v="0"/>
    <x v="0"/>
    <x v="1"/>
    <x v="1"/>
  </r>
  <r>
    <x v="46"/>
    <x v="46"/>
    <x v="1"/>
    <d v="2007-08-29T00:00:00"/>
    <s v="B-"/>
    <x v="44"/>
    <x v="43"/>
    <x v="46"/>
    <x v="3"/>
    <x v="2"/>
    <s v="125292"/>
    <s v="9227339721"/>
    <s v="nisha.iyer693@gmail.com"/>
    <x v="0"/>
    <x v="4"/>
    <x v="4"/>
    <x v="0"/>
    <x v="0"/>
  </r>
  <r>
    <x v="47"/>
    <x v="47"/>
    <x v="0"/>
    <d v="2007-01-04T00:00:00"/>
    <s v="A+"/>
    <x v="45"/>
    <x v="44"/>
    <x v="47"/>
    <x v="4"/>
    <x v="4"/>
    <s v="259616"/>
    <s v="9526560471"/>
    <s v="rahul.sharma790@student.college.edu"/>
    <x v="3"/>
    <x v="1"/>
    <x v="1"/>
    <x v="2"/>
    <x v="2"/>
  </r>
  <r>
    <x v="48"/>
    <x v="48"/>
    <x v="0"/>
    <d v="2006-04-18T00:00:00"/>
    <s v="AB+"/>
    <x v="46"/>
    <x v="45"/>
    <x v="48"/>
    <x v="1"/>
    <x v="4"/>
    <s v="579918"/>
    <s v="9199349998"/>
    <s v="harsha.kumar10@gmail.com"/>
    <x v="2"/>
    <x v="0"/>
    <x v="0"/>
    <x v="2"/>
    <x v="2"/>
  </r>
  <r>
    <x v="49"/>
    <x v="15"/>
    <x v="1"/>
    <d v="2005-02-03T00:00:00"/>
    <s v="A-"/>
    <x v="47"/>
    <x v="46"/>
    <x v="49"/>
    <x v="0"/>
    <x v="4"/>
    <s v="837670"/>
    <s v="9326166443"/>
    <s v="rahul.kumar411@student.college.edu"/>
    <x v="3"/>
    <x v="7"/>
    <x v="7"/>
    <x v="2"/>
    <x v="2"/>
  </r>
  <r>
    <x v="50"/>
    <x v="49"/>
    <x v="2"/>
    <d v="2001-12-04T00:00:00"/>
    <s v="B-"/>
    <x v="48"/>
    <x v="47"/>
    <x v="50"/>
    <x v="0"/>
    <x v="1"/>
    <s v="232641"/>
    <s v="9698766932"/>
    <s v="ananya.reddy981@student.college.edu"/>
    <x v="3"/>
    <x v="7"/>
    <x v="7"/>
    <x v="2"/>
    <x v="2"/>
  </r>
  <r>
    <x v="51"/>
    <x v="50"/>
    <x v="0"/>
    <d v="2003-08-31T00:00:00"/>
    <s v="O-"/>
    <x v="49"/>
    <x v="44"/>
    <x v="51"/>
    <x v="5"/>
    <x v="0"/>
    <s v="553918"/>
    <s v="9925184674"/>
    <s v="aditi.rao921@gmail.com"/>
    <x v="2"/>
    <x v="7"/>
    <x v="7"/>
    <x v="2"/>
    <x v="2"/>
  </r>
  <r>
    <x v="52"/>
    <x v="51"/>
    <x v="0"/>
    <d v="2004-02-15T00:00:00"/>
    <s v="B+"/>
    <x v="50"/>
    <x v="48"/>
    <x v="16"/>
    <x v="7"/>
    <x v="6"/>
    <s v="202047"/>
    <s v="9508942116"/>
    <s v="arjun.das747@gmail.com"/>
    <x v="1"/>
    <x v="7"/>
    <x v="7"/>
    <x v="1"/>
    <x v="1"/>
  </r>
  <r>
    <x v="53"/>
    <x v="52"/>
    <x v="0"/>
    <d v="1999-11-25T00:00:00"/>
    <s v="A+"/>
    <x v="51"/>
    <x v="49"/>
    <x v="52"/>
    <x v="1"/>
    <x v="5"/>
    <s v="931987"/>
    <s v="9947432411"/>
    <s v="leela.patel897@student.college.edu"/>
    <x v="1"/>
    <x v="2"/>
    <x v="2"/>
    <x v="1"/>
    <x v="1"/>
  </r>
  <r>
    <x v="54"/>
    <x v="53"/>
    <x v="2"/>
    <d v="2000-02-18T00:00:00"/>
    <s v="B-"/>
    <x v="52"/>
    <x v="33"/>
    <x v="53"/>
    <x v="5"/>
    <x v="1"/>
    <s v="422805"/>
    <s v="9287356331"/>
    <s v="rohan.reddy677@student.college.edu"/>
    <x v="0"/>
    <x v="5"/>
    <x v="5"/>
    <x v="0"/>
    <x v="0"/>
  </r>
  <r>
    <x v="55"/>
    <x v="54"/>
    <x v="1"/>
    <d v="2007-03-31T00:00:00"/>
    <s v="AB+"/>
    <x v="53"/>
    <x v="50"/>
    <x v="54"/>
    <x v="7"/>
    <x v="7"/>
    <s v="967341"/>
    <s v="9374837895"/>
    <s v="vihaan.das992@gmail.com"/>
    <x v="3"/>
    <x v="1"/>
    <x v="1"/>
    <x v="2"/>
    <x v="2"/>
  </r>
  <r>
    <x v="56"/>
    <x v="55"/>
    <x v="2"/>
    <d v="2002-09-14T00:00:00"/>
    <s v="O+"/>
    <x v="54"/>
    <x v="44"/>
    <x v="55"/>
    <x v="1"/>
    <x v="4"/>
    <s v="036008"/>
    <s v="9562293921"/>
    <s v="rohan.nair760@student.college.edu"/>
    <x v="1"/>
    <x v="3"/>
    <x v="3"/>
    <x v="1"/>
    <x v="1"/>
  </r>
  <r>
    <x v="57"/>
    <x v="56"/>
    <x v="1"/>
    <d v="2001-04-17T00:00:00"/>
    <s v="B+"/>
    <x v="48"/>
    <x v="51"/>
    <x v="56"/>
    <x v="6"/>
    <x v="2"/>
    <s v="532540"/>
    <s v="9948934521"/>
    <s v="varun.rao268@gmail.com"/>
    <x v="3"/>
    <x v="3"/>
    <x v="3"/>
    <x v="2"/>
    <x v="2"/>
  </r>
  <r>
    <x v="58"/>
    <x v="49"/>
    <x v="0"/>
    <d v="2005-05-22T00:00:00"/>
    <s v="O-"/>
    <x v="55"/>
    <x v="52"/>
    <x v="57"/>
    <x v="0"/>
    <x v="2"/>
    <s v="964171"/>
    <s v="9749560089"/>
    <s v="ananya.reddy685@student.college.edu"/>
    <x v="2"/>
    <x v="1"/>
    <x v="1"/>
    <x v="2"/>
    <x v="2"/>
  </r>
  <r>
    <x v="59"/>
    <x v="57"/>
    <x v="2"/>
    <d v="1999-10-06T00:00:00"/>
    <s v="A+"/>
    <x v="56"/>
    <x v="53"/>
    <x v="58"/>
    <x v="2"/>
    <x v="1"/>
    <s v="666440"/>
    <s v="9505290868"/>
    <s v="arjun.banerjee932@student.college.edu"/>
    <x v="2"/>
    <x v="4"/>
    <x v="4"/>
    <x v="2"/>
    <x v="2"/>
  </r>
  <r>
    <x v="60"/>
    <x v="53"/>
    <x v="1"/>
    <d v="2004-11-26T00:00:00"/>
    <s v="AB+"/>
    <x v="57"/>
    <x v="54"/>
    <x v="59"/>
    <x v="6"/>
    <x v="2"/>
    <s v="592686"/>
    <s v="9870350014"/>
    <s v="rohan.reddy445@gmail.com"/>
    <x v="2"/>
    <x v="2"/>
    <x v="2"/>
    <x v="2"/>
    <x v="2"/>
  </r>
  <r>
    <x v="61"/>
    <x v="53"/>
    <x v="1"/>
    <d v="2005-05-10T00:00:00"/>
    <s v="O-"/>
    <x v="58"/>
    <x v="55"/>
    <x v="60"/>
    <x v="9"/>
    <x v="1"/>
    <s v="180218"/>
    <s v="9892558653"/>
    <s v="rohan.reddy758@student.college.edu"/>
    <x v="2"/>
    <x v="0"/>
    <x v="0"/>
    <x v="2"/>
    <x v="2"/>
  </r>
  <r>
    <x v="62"/>
    <x v="58"/>
    <x v="0"/>
    <d v="2001-08-08T00:00:00"/>
    <s v="O+"/>
    <x v="59"/>
    <x v="56"/>
    <x v="61"/>
    <x v="2"/>
    <x v="1"/>
    <s v="674253"/>
    <s v="9153722023"/>
    <s v="vihaan.verma803@student.college.edu"/>
    <x v="1"/>
    <x v="0"/>
    <x v="0"/>
    <x v="1"/>
    <x v="1"/>
  </r>
  <r>
    <x v="63"/>
    <x v="59"/>
    <x v="2"/>
    <d v="1999-01-22T00:00:00"/>
    <s v="O+"/>
    <x v="40"/>
    <x v="3"/>
    <x v="62"/>
    <x v="1"/>
    <x v="5"/>
    <s v="455105"/>
    <s v="9578047759"/>
    <s v="diya.verma249@student.college.edu"/>
    <x v="1"/>
    <x v="4"/>
    <x v="4"/>
    <x v="1"/>
    <x v="1"/>
  </r>
  <r>
    <x v="64"/>
    <x v="60"/>
    <x v="0"/>
    <d v="2002-01-04T00:00:00"/>
    <s v="B+"/>
    <x v="60"/>
    <x v="57"/>
    <x v="63"/>
    <x v="6"/>
    <x v="3"/>
    <s v="402265"/>
    <s v="9113936833"/>
    <s v="arjun.nair836@student.college.edu"/>
    <x v="0"/>
    <x v="3"/>
    <x v="3"/>
    <x v="0"/>
    <x v="0"/>
  </r>
  <r>
    <x v="65"/>
    <x v="61"/>
    <x v="2"/>
    <d v="2003-06-20T00:00:00"/>
    <s v="O+"/>
    <x v="61"/>
    <x v="58"/>
    <x v="64"/>
    <x v="3"/>
    <x v="4"/>
    <s v="327391"/>
    <s v="9917079278"/>
    <s v="saanvi.iyer71@gmail.com"/>
    <x v="1"/>
    <x v="4"/>
    <x v="4"/>
    <x v="1"/>
    <x v="1"/>
  </r>
  <r>
    <x v="66"/>
    <x v="62"/>
    <x v="2"/>
    <d v="2001-10-31T00:00:00"/>
    <s v="O+"/>
    <x v="62"/>
    <x v="59"/>
    <x v="65"/>
    <x v="1"/>
    <x v="2"/>
    <s v="944596"/>
    <s v="9573856076"/>
    <s v="harsha.nair364@student.college.edu"/>
    <x v="2"/>
    <x v="1"/>
    <x v="1"/>
    <x v="2"/>
    <x v="2"/>
  </r>
  <r>
    <x v="67"/>
    <x v="63"/>
    <x v="0"/>
    <d v="2000-03-09T00:00:00"/>
    <s v="B-"/>
    <x v="63"/>
    <x v="60"/>
    <x v="66"/>
    <x v="4"/>
    <x v="7"/>
    <s v="375530"/>
    <s v="9149191342"/>
    <s v="neeraj.iyer495@gmail.com"/>
    <x v="2"/>
    <x v="7"/>
    <x v="7"/>
    <x v="2"/>
    <x v="2"/>
  </r>
  <r>
    <x v="68"/>
    <x v="64"/>
    <x v="0"/>
    <d v="2002-07-30T00:00:00"/>
    <s v="AB+"/>
    <x v="64"/>
    <x v="61"/>
    <x v="67"/>
    <x v="2"/>
    <x v="0"/>
    <s v="619211"/>
    <s v="9592416406"/>
    <s v="aditi.mukherjee203@gmail.com"/>
    <x v="1"/>
    <x v="1"/>
    <x v="1"/>
    <x v="1"/>
    <x v="1"/>
  </r>
  <r>
    <x v="69"/>
    <x v="65"/>
    <x v="2"/>
    <d v="2001-04-22T00:00:00"/>
    <s v="O+"/>
    <x v="65"/>
    <x v="62"/>
    <x v="68"/>
    <x v="9"/>
    <x v="5"/>
    <s v="311649"/>
    <s v="9333134168"/>
    <s v="aarav.mukherjee941@student.college.edu"/>
    <x v="3"/>
    <x v="0"/>
    <x v="0"/>
    <x v="2"/>
    <x v="2"/>
  </r>
  <r>
    <x v="70"/>
    <x v="17"/>
    <x v="0"/>
    <d v="2000-04-24T00:00:00"/>
    <s v="AB+"/>
    <x v="66"/>
    <x v="63"/>
    <x v="69"/>
    <x v="6"/>
    <x v="5"/>
    <s v="544599"/>
    <s v="9112186894"/>
    <s v="kabir.reddy200@gmail.com"/>
    <x v="1"/>
    <x v="1"/>
    <x v="1"/>
    <x v="1"/>
    <x v="1"/>
  </r>
  <r>
    <x v="71"/>
    <x v="22"/>
    <x v="0"/>
    <d v="2006-12-18T00:00:00"/>
    <s v="B-"/>
    <x v="67"/>
    <x v="64"/>
    <x v="70"/>
    <x v="5"/>
    <x v="3"/>
    <s v="022757"/>
    <s v="9455259577"/>
    <s v="tanvi.kumar452@student.college.edu"/>
    <x v="2"/>
    <x v="3"/>
    <x v="3"/>
    <x v="2"/>
    <x v="2"/>
  </r>
  <r>
    <x v="72"/>
    <x v="47"/>
    <x v="0"/>
    <d v="2001-12-12T00:00:00"/>
    <s v="A-"/>
    <x v="68"/>
    <x v="35"/>
    <x v="71"/>
    <x v="5"/>
    <x v="7"/>
    <s v="864678"/>
    <s v="9855519259"/>
    <s v="rahul.sharma527@student.college.edu"/>
    <x v="1"/>
    <x v="2"/>
    <x v="2"/>
    <x v="1"/>
    <x v="1"/>
  </r>
  <r>
    <x v="73"/>
    <x v="66"/>
    <x v="2"/>
    <d v="2006-11-13T00:00:00"/>
    <s v="O+"/>
    <x v="69"/>
    <x v="65"/>
    <x v="72"/>
    <x v="5"/>
    <x v="6"/>
    <s v="452446"/>
    <s v="9805293930"/>
    <s v="kunal.banerjee793@student.college.edu"/>
    <x v="1"/>
    <x v="0"/>
    <x v="0"/>
    <x v="1"/>
    <x v="1"/>
  </r>
  <r>
    <x v="74"/>
    <x v="67"/>
    <x v="1"/>
    <d v="2003-06-18T00:00:00"/>
    <s v="O+"/>
    <x v="70"/>
    <x v="66"/>
    <x v="73"/>
    <x v="2"/>
    <x v="3"/>
    <s v="355436"/>
    <s v="9007418409"/>
    <s v="leela.verma208@student.college.edu"/>
    <x v="0"/>
    <x v="4"/>
    <x v="4"/>
    <x v="0"/>
    <x v="0"/>
  </r>
  <r>
    <x v="75"/>
    <x v="68"/>
    <x v="2"/>
    <d v="2006-05-05T00:00:00"/>
    <s v="B-"/>
    <x v="71"/>
    <x v="67"/>
    <x v="74"/>
    <x v="7"/>
    <x v="6"/>
    <s v="677400"/>
    <s v="9205540318"/>
    <s v="leela.nair711@student.college.edu"/>
    <x v="2"/>
    <x v="3"/>
    <x v="3"/>
    <x v="2"/>
    <x v="2"/>
  </r>
  <r>
    <x v="76"/>
    <x v="69"/>
    <x v="1"/>
    <d v="2000-02-24T00:00:00"/>
    <s v="B+"/>
    <x v="72"/>
    <x v="3"/>
    <x v="75"/>
    <x v="8"/>
    <x v="5"/>
    <s v="056132"/>
    <s v="9796428117"/>
    <s v="ira.verma360@gmail.com"/>
    <x v="3"/>
    <x v="3"/>
    <x v="3"/>
    <x v="2"/>
    <x v="2"/>
  </r>
  <r>
    <x v="77"/>
    <x v="66"/>
    <x v="2"/>
    <d v="2001-10-13T00:00:00"/>
    <s v="B-"/>
    <x v="73"/>
    <x v="68"/>
    <x v="76"/>
    <x v="7"/>
    <x v="3"/>
    <s v="261367"/>
    <s v="9723260803"/>
    <s v="kunal.banerjee325@student.college.edu"/>
    <x v="1"/>
    <x v="0"/>
    <x v="0"/>
    <x v="1"/>
    <x v="1"/>
  </r>
  <r>
    <x v="78"/>
    <x v="70"/>
    <x v="2"/>
    <d v="2007-07-22T00:00:00"/>
    <s v="AB+"/>
    <x v="74"/>
    <x v="69"/>
    <x v="77"/>
    <x v="0"/>
    <x v="4"/>
    <s v="007565"/>
    <s v="9470562352"/>
    <s v="nisha.banerjee828@student.college.edu"/>
    <x v="0"/>
    <x v="1"/>
    <x v="1"/>
    <x v="0"/>
    <x v="0"/>
  </r>
  <r>
    <x v="79"/>
    <x v="71"/>
    <x v="1"/>
    <d v="2006-08-21T00:00:00"/>
    <s v="A-"/>
    <x v="54"/>
    <x v="70"/>
    <x v="78"/>
    <x v="7"/>
    <x v="4"/>
    <s v="044637"/>
    <s v="9717719577"/>
    <s v="shreya.banerjee171@gmail.com"/>
    <x v="0"/>
    <x v="6"/>
    <x v="6"/>
    <x v="0"/>
    <x v="0"/>
  </r>
  <r>
    <x v="80"/>
    <x v="72"/>
    <x v="0"/>
    <d v="2003-10-25T00:00:00"/>
    <s v="A-"/>
    <x v="75"/>
    <x v="71"/>
    <x v="79"/>
    <x v="4"/>
    <x v="2"/>
    <s v="508117"/>
    <s v="9861708003"/>
    <s v="neeraj.sharma943@student.college.edu"/>
    <x v="2"/>
    <x v="1"/>
    <x v="1"/>
    <x v="2"/>
    <x v="2"/>
  </r>
  <r>
    <x v="81"/>
    <x v="73"/>
    <x v="2"/>
    <d v="2003-09-01T00:00:00"/>
    <s v="O+"/>
    <x v="76"/>
    <x v="45"/>
    <x v="80"/>
    <x v="3"/>
    <x v="7"/>
    <s v="160250"/>
    <s v="9488730432"/>
    <s v="rohan.iyer804@gmail.com"/>
    <x v="3"/>
    <x v="7"/>
    <x v="7"/>
    <x v="2"/>
    <x v="2"/>
  </r>
  <r>
    <x v="82"/>
    <x v="74"/>
    <x v="0"/>
    <d v="2007-08-31T00:00:00"/>
    <s v="O+"/>
    <x v="77"/>
    <x v="72"/>
    <x v="81"/>
    <x v="8"/>
    <x v="1"/>
    <s v="905660"/>
    <s v="9373732949"/>
    <s v="diya.rao996@student.college.edu"/>
    <x v="0"/>
    <x v="6"/>
    <x v="6"/>
    <x v="0"/>
    <x v="0"/>
  </r>
  <r>
    <x v="83"/>
    <x v="9"/>
    <x v="1"/>
    <d v="2003-08-19T00:00:00"/>
    <s v="A-"/>
    <x v="78"/>
    <x v="73"/>
    <x v="82"/>
    <x v="9"/>
    <x v="5"/>
    <s v="635061"/>
    <s v="9289383429"/>
    <s v="vihaan.reddy140@student.college.edu"/>
    <x v="2"/>
    <x v="4"/>
    <x v="4"/>
    <x v="2"/>
    <x v="2"/>
  </r>
  <r>
    <x v="84"/>
    <x v="6"/>
    <x v="0"/>
    <d v="2003-07-24T00:00:00"/>
    <s v="B-"/>
    <x v="79"/>
    <x v="30"/>
    <x v="83"/>
    <x v="4"/>
    <x v="3"/>
    <s v="808376"/>
    <s v="9281793028"/>
    <s v="riya.kumar179@student.college.edu"/>
    <x v="1"/>
    <x v="3"/>
    <x v="3"/>
    <x v="1"/>
    <x v="1"/>
  </r>
  <r>
    <x v="85"/>
    <x v="75"/>
    <x v="2"/>
    <d v="2007-11-26T00:00:00"/>
    <s v="A+"/>
    <x v="80"/>
    <x v="74"/>
    <x v="84"/>
    <x v="8"/>
    <x v="4"/>
    <s v="836652"/>
    <s v="9800941983"/>
    <s v="kabir.kumar44@gmail.com"/>
    <x v="3"/>
    <x v="1"/>
    <x v="1"/>
    <x v="2"/>
    <x v="2"/>
  </r>
  <r>
    <x v="86"/>
    <x v="76"/>
    <x v="0"/>
    <d v="2004-07-25T00:00:00"/>
    <s v="B-"/>
    <x v="2"/>
    <x v="75"/>
    <x v="85"/>
    <x v="5"/>
    <x v="5"/>
    <s v="241666"/>
    <s v="9484034672"/>
    <s v="sujith.mukherjee822@student.college.edu"/>
    <x v="0"/>
    <x v="7"/>
    <x v="7"/>
    <x v="0"/>
    <x v="0"/>
  </r>
  <r>
    <x v="87"/>
    <x v="77"/>
    <x v="0"/>
    <d v="2005-05-05T00:00:00"/>
    <s v="AB+"/>
    <x v="81"/>
    <x v="76"/>
    <x v="86"/>
    <x v="2"/>
    <x v="4"/>
    <s v="082843"/>
    <s v="9521225777"/>
    <s v="nisha.kumar971@student.college.edu"/>
    <x v="1"/>
    <x v="0"/>
    <x v="0"/>
    <x v="1"/>
    <x v="1"/>
  </r>
  <r>
    <x v="88"/>
    <x v="78"/>
    <x v="2"/>
    <d v="2001-08-26T00:00:00"/>
    <s v="O-"/>
    <x v="82"/>
    <x v="77"/>
    <x v="87"/>
    <x v="3"/>
    <x v="1"/>
    <s v="735198"/>
    <s v="9895100604"/>
    <s v="surya.gupta340@student.college.edu"/>
    <x v="3"/>
    <x v="0"/>
    <x v="0"/>
    <x v="2"/>
    <x v="2"/>
  </r>
  <r>
    <x v="89"/>
    <x v="79"/>
    <x v="0"/>
    <d v="1999-09-01T00:00:00"/>
    <s v="A-"/>
    <x v="83"/>
    <x v="78"/>
    <x v="88"/>
    <x v="1"/>
    <x v="7"/>
    <s v="939313"/>
    <s v="9119796196"/>
    <s v="varun.gupta952@gmail.com"/>
    <x v="3"/>
    <x v="1"/>
    <x v="1"/>
    <x v="2"/>
    <x v="2"/>
  </r>
  <r>
    <x v="90"/>
    <x v="80"/>
    <x v="1"/>
    <d v="2002-04-21T00:00:00"/>
    <s v="B-"/>
    <x v="84"/>
    <x v="79"/>
    <x v="89"/>
    <x v="3"/>
    <x v="1"/>
    <s v="138661"/>
    <s v="9430336986"/>
    <s v="rahul.mukherjee747@gmail.com"/>
    <x v="2"/>
    <x v="5"/>
    <x v="5"/>
    <x v="2"/>
    <x v="2"/>
  </r>
  <r>
    <x v="91"/>
    <x v="81"/>
    <x v="1"/>
    <d v="1999-10-05T00:00:00"/>
    <s v="B+"/>
    <x v="71"/>
    <x v="62"/>
    <x v="90"/>
    <x v="7"/>
    <x v="6"/>
    <s v="441483"/>
    <s v="9387572470"/>
    <s v="ishaan.reddy21@gmail.com"/>
    <x v="2"/>
    <x v="6"/>
    <x v="6"/>
    <x v="2"/>
    <x v="2"/>
  </r>
  <r>
    <x v="92"/>
    <x v="82"/>
    <x v="0"/>
    <d v="2000-10-21T00:00:00"/>
    <s v="A-"/>
    <x v="85"/>
    <x v="80"/>
    <x v="91"/>
    <x v="7"/>
    <x v="6"/>
    <s v="918112"/>
    <s v="9167722205"/>
    <s v="ananya.gupta861@gmail.com"/>
    <x v="2"/>
    <x v="0"/>
    <x v="0"/>
    <x v="2"/>
    <x v="2"/>
  </r>
  <r>
    <x v="93"/>
    <x v="83"/>
    <x v="2"/>
    <d v="2002-04-21T00:00:00"/>
    <s v="B+"/>
    <x v="26"/>
    <x v="18"/>
    <x v="92"/>
    <x v="1"/>
    <x v="1"/>
    <s v="269417"/>
    <s v="9482633310"/>
    <s v="aarav.patel451@gmail.com"/>
    <x v="3"/>
    <x v="5"/>
    <x v="5"/>
    <x v="2"/>
    <x v="2"/>
  </r>
  <r>
    <x v="94"/>
    <x v="84"/>
    <x v="2"/>
    <d v="2007-06-09T00:00:00"/>
    <s v="A+"/>
    <x v="29"/>
    <x v="81"/>
    <x v="93"/>
    <x v="9"/>
    <x v="6"/>
    <s v="955884"/>
    <s v="9584840975"/>
    <s v="shreya.sharma923@student.college.edu"/>
    <x v="1"/>
    <x v="4"/>
    <x v="4"/>
    <x v="1"/>
    <x v="1"/>
  </r>
  <r>
    <x v="95"/>
    <x v="85"/>
    <x v="2"/>
    <d v="2000-05-31T00:00:00"/>
    <s v="A+"/>
    <x v="86"/>
    <x v="82"/>
    <x v="94"/>
    <x v="8"/>
    <x v="3"/>
    <s v="378055"/>
    <s v="9859075711"/>
    <s v="sai.reddy581@student.college.edu"/>
    <x v="2"/>
    <x v="5"/>
    <x v="5"/>
    <x v="2"/>
    <x v="2"/>
  </r>
  <r>
    <x v="96"/>
    <x v="86"/>
    <x v="0"/>
    <d v="2003-08-11T00:00:00"/>
    <s v="O-"/>
    <x v="87"/>
    <x v="9"/>
    <x v="95"/>
    <x v="7"/>
    <x v="5"/>
    <s v="216608"/>
    <s v="9327980832"/>
    <s v="leela.das504@student.college.edu"/>
    <x v="3"/>
    <x v="4"/>
    <x v="4"/>
    <x v="2"/>
    <x v="2"/>
  </r>
  <r>
    <x v="97"/>
    <x v="80"/>
    <x v="0"/>
    <d v="2007-09-06T00:00:00"/>
    <s v="O-"/>
    <x v="88"/>
    <x v="83"/>
    <x v="96"/>
    <x v="5"/>
    <x v="2"/>
    <s v="287788"/>
    <s v="9513518801"/>
    <s v="rahul.mukherjee853@student.college.edu"/>
    <x v="2"/>
    <x v="3"/>
    <x v="3"/>
    <x v="2"/>
    <x v="2"/>
  </r>
  <r>
    <x v="98"/>
    <x v="87"/>
    <x v="2"/>
    <d v="2003-01-16T00:00:00"/>
    <s v="O-"/>
    <x v="89"/>
    <x v="84"/>
    <x v="97"/>
    <x v="9"/>
    <x v="6"/>
    <s v="610351"/>
    <s v="9853187623"/>
    <s v="vihaan.kumar167@student.college.edu"/>
    <x v="3"/>
    <x v="3"/>
    <x v="3"/>
    <x v="2"/>
    <x v="2"/>
  </r>
  <r>
    <x v="99"/>
    <x v="88"/>
    <x v="0"/>
    <d v="2006-04-22T00:00:00"/>
    <s v="AB+"/>
    <x v="90"/>
    <x v="85"/>
    <x v="98"/>
    <x v="8"/>
    <x v="5"/>
    <s v="602839"/>
    <s v="9643324683"/>
    <s v="tanvi.reddy105@student.college.edu"/>
    <x v="0"/>
    <x v="5"/>
    <x v="5"/>
    <x v="0"/>
    <x v="0"/>
  </r>
  <r>
    <x v="100"/>
    <x v="24"/>
    <x v="2"/>
    <d v="2004-05-27T00:00:00"/>
    <s v="B+"/>
    <x v="45"/>
    <x v="86"/>
    <x v="99"/>
    <x v="0"/>
    <x v="3"/>
    <s v="152088"/>
    <s v="9431042947"/>
    <s v="rahul.banerjee598@student.college.edu"/>
    <x v="3"/>
    <x v="7"/>
    <x v="7"/>
    <x v="2"/>
    <x v="2"/>
  </r>
  <r>
    <x v="101"/>
    <x v="89"/>
    <x v="0"/>
    <d v="2004-09-08T00:00:00"/>
    <s v="B-"/>
    <x v="91"/>
    <x v="87"/>
    <x v="100"/>
    <x v="0"/>
    <x v="0"/>
    <s v="477599"/>
    <s v="9862284835"/>
    <s v="surya.banerjee475@student.college.edu"/>
    <x v="2"/>
    <x v="6"/>
    <x v="6"/>
    <x v="2"/>
    <x v="2"/>
  </r>
  <r>
    <x v="102"/>
    <x v="41"/>
    <x v="1"/>
    <d v="2000-05-05T00:00:00"/>
    <s v="AB+"/>
    <x v="92"/>
    <x v="88"/>
    <x v="101"/>
    <x v="7"/>
    <x v="5"/>
    <s v="124594"/>
    <s v="9377461602"/>
    <s v="saanvi.reddy780@student.college.edu"/>
    <x v="3"/>
    <x v="7"/>
    <x v="7"/>
    <x v="2"/>
    <x v="2"/>
  </r>
  <r>
    <x v="103"/>
    <x v="90"/>
    <x v="2"/>
    <d v="2005-11-21T00:00:00"/>
    <s v="O-"/>
    <x v="93"/>
    <x v="36"/>
    <x v="102"/>
    <x v="6"/>
    <x v="1"/>
    <s v="013038"/>
    <s v="9166263135"/>
    <s v="pooja.verma172@student.college.edu"/>
    <x v="2"/>
    <x v="5"/>
    <x v="5"/>
    <x v="2"/>
    <x v="2"/>
  </r>
  <r>
    <x v="104"/>
    <x v="15"/>
    <x v="1"/>
    <d v="2004-11-01T00:00:00"/>
    <s v="AB+"/>
    <x v="94"/>
    <x v="0"/>
    <x v="103"/>
    <x v="2"/>
    <x v="2"/>
    <s v="319942"/>
    <s v="9717513608"/>
    <s v="rahul.kumar262@student.college.edu"/>
    <x v="2"/>
    <x v="6"/>
    <x v="6"/>
    <x v="2"/>
    <x v="2"/>
  </r>
  <r>
    <x v="105"/>
    <x v="91"/>
    <x v="2"/>
    <d v="2006-09-26T00:00:00"/>
    <s v="O-"/>
    <x v="95"/>
    <x v="89"/>
    <x v="104"/>
    <x v="4"/>
    <x v="5"/>
    <s v="260415"/>
    <s v="9674856274"/>
    <s v="harsha.sharma624@student.college.edu"/>
    <x v="0"/>
    <x v="3"/>
    <x v="3"/>
    <x v="0"/>
    <x v="0"/>
  </r>
  <r>
    <x v="106"/>
    <x v="92"/>
    <x v="0"/>
    <d v="2002-04-24T00:00:00"/>
    <s v="O-"/>
    <x v="96"/>
    <x v="48"/>
    <x v="105"/>
    <x v="4"/>
    <x v="7"/>
    <s v="200154"/>
    <s v="9970796492"/>
    <s v="diya.mukherjee52@student.college.edu"/>
    <x v="3"/>
    <x v="2"/>
    <x v="2"/>
    <x v="2"/>
    <x v="2"/>
  </r>
  <r>
    <x v="107"/>
    <x v="68"/>
    <x v="0"/>
    <d v="2007-12-28T00:00:00"/>
    <s v="O+"/>
    <x v="97"/>
    <x v="90"/>
    <x v="106"/>
    <x v="7"/>
    <x v="1"/>
    <s v="861346"/>
    <s v="9808149238"/>
    <s v="leela.nair820@gmail.com"/>
    <x v="3"/>
    <x v="6"/>
    <x v="6"/>
    <x v="2"/>
    <x v="2"/>
  </r>
  <r>
    <x v="108"/>
    <x v="23"/>
    <x v="1"/>
    <d v="1999-08-29T00:00:00"/>
    <s v="O+"/>
    <x v="69"/>
    <x v="91"/>
    <x v="107"/>
    <x v="3"/>
    <x v="2"/>
    <s v="133068"/>
    <s v="9919140237"/>
    <s v="arjun.mukherjee695@student.college.edu"/>
    <x v="0"/>
    <x v="6"/>
    <x v="6"/>
    <x v="0"/>
    <x v="0"/>
  </r>
  <r>
    <x v="109"/>
    <x v="93"/>
    <x v="1"/>
    <d v="2001-10-15T00:00:00"/>
    <s v="A+"/>
    <x v="98"/>
    <x v="43"/>
    <x v="108"/>
    <x v="8"/>
    <x v="1"/>
    <s v="095441"/>
    <s v="9733255380"/>
    <s v="meera.banerjee455@gmail.com"/>
    <x v="1"/>
    <x v="7"/>
    <x v="7"/>
    <x v="1"/>
    <x v="1"/>
  </r>
  <r>
    <x v="110"/>
    <x v="94"/>
    <x v="0"/>
    <d v="2007-05-11T00:00:00"/>
    <s v="O+"/>
    <x v="99"/>
    <x v="91"/>
    <x v="109"/>
    <x v="9"/>
    <x v="1"/>
    <s v="879685"/>
    <s v="9643888375"/>
    <s v="ananya.verma734@gmail.com"/>
    <x v="1"/>
    <x v="6"/>
    <x v="6"/>
    <x v="1"/>
    <x v="1"/>
  </r>
  <r>
    <x v="111"/>
    <x v="95"/>
    <x v="2"/>
    <d v="1999-01-09T00:00:00"/>
    <s v="O+"/>
    <x v="100"/>
    <x v="87"/>
    <x v="1"/>
    <x v="9"/>
    <x v="7"/>
    <s v="701177"/>
    <s v="9161934771"/>
    <s v="kabir.banerjee425@student.college.edu"/>
    <x v="2"/>
    <x v="7"/>
    <x v="7"/>
    <x v="2"/>
    <x v="2"/>
  </r>
  <r>
    <x v="112"/>
    <x v="96"/>
    <x v="1"/>
    <d v="2004-08-27T00:00:00"/>
    <s v="B+"/>
    <x v="101"/>
    <x v="92"/>
    <x v="110"/>
    <x v="9"/>
    <x v="6"/>
    <s v="845915"/>
    <s v="9713685399"/>
    <s v="riya.banerjee781@student.college.edu"/>
    <x v="1"/>
    <x v="0"/>
    <x v="0"/>
    <x v="1"/>
    <x v="1"/>
  </r>
  <r>
    <x v="113"/>
    <x v="15"/>
    <x v="2"/>
    <d v="2000-07-19T00:00:00"/>
    <s v="AB+"/>
    <x v="25"/>
    <x v="93"/>
    <x v="111"/>
    <x v="9"/>
    <x v="7"/>
    <s v="796262"/>
    <s v="9369695631"/>
    <s v="rahul.kumar361@gmail.com"/>
    <x v="1"/>
    <x v="5"/>
    <x v="5"/>
    <x v="1"/>
    <x v="1"/>
  </r>
  <r>
    <x v="114"/>
    <x v="97"/>
    <x v="2"/>
    <d v="2004-11-11T00:00:00"/>
    <s v="A-"/>
    <x v="33"/>
    <x v="27"/>
    <x v="112"/>
    <x v="5"/>
    <x v="3"/>
    <s v="712286"/>
    <s v="9270818787"/>
    <s v="amrita.patel575@gmail.com"/>
    <x v="0"/>
    <x v="2"/>
    <x v="2"/>
    <x v="0"/>
    <x v="0"/>
  </r>
  <r>
    <x v="115"/>
    <x v="98"/>
    <x v="0"/>
    <d v="2003-09-03T00:00:00"/>
    <s v="O+"/>
    <x v="102"/>
    <x v="94"/>
    <x v="112"/>
    <x v="0"/>
    <x v="4"/>
    <s v="678897"/>
    <s v="9675679216"/>
    <s v="surya.patel192@student.college.edu"/>
    <x v="2"/>
    <x v="1"/>
    <x v="1"/>
    <x v="2"/>
    <x v="2"/>
  </r>
  <r>
    <x v="116"/>
    <x v="43"/>
    <x v="0"/>
    <d v="2005-03-29T00:00:00"/>
    <s v="O-"/>
    <x v="39"/>
    <x v="8"/>
    <x v="113"/>
    <x v="7"/>
    <x v="7"/>
    <s v="490957"/>
    <s v="9683750759"/>
    <s v="vihaan.patel534@student.college.edu"/>
    <x v="3"/>
    <x v="1"/>
    <x v="1"/>
    <x v="2"/>
    <x v="2"/>
  </r>
  <r>
    <x v="117"/>
    <x v="99"/>
    <x v="0"/>
    <d v="2000-01-12T00:00:00"/>
    <s v="B-"/>
    <x v="103"/>
    <x v="95"/>
    <x v="114"/>
    <x v="2"/>
    <x v="7"/>
    <s v="296457"/>
    <s v="9613269208"/>
    <s v="nisha.das391@student.college.edu"/>
    <x v="0"/>
    <x v="5"/>
    <x v="5"/>
    <x v="0"/>
    <x v="0"/>
  </r>
  <r>
    <x v="118"/>
    <x v="100"/>
    <x v="0"/>
    <d v="2004-10-07T00:00:00"/>
    <s v="O+"/>
    <x v="104"/>
    <x v="96"/>
    <x v="115"/>
    <x v="5"/>
    <x v="7"/>
    <s v="591950"/>
    <s v="9067841579"/>
    <s v="aarav.das794@gmail.com"/>
    <x v="2"/>
    <x v="4"/>
    <x v="4"/>
    <x v="2"/>
    <x v="2"/>
  </r>
  <r>
    <x v="119"/>
    <x v="3"/>
    <x v="1"/>
    <d v="2002-09-20T00:00:00"/>
    <s v="B+"/>
    <x v="105"/>
    <x v="97"/>
    <x v="116"/>
    <x v="9"/>
    <x v="0"/>
    <s v="522364"/>
    <s v="9065667570"/>
    <s v="aarav.kumar951@student.college.edu"/>
    <x v="0"/>
    <x v="6"/>
    <x v="6"/>
    <x v="0"/>
    <x v="0"/>
  </r>
  <r>
    <x v="120"/>
    <x v="15"/>
    <x v="0"/>
    <d v="2003-06-07T00:00:00"/>
    <s v="B+"/>
    <x v="26"/>
    <x v="98"/>
    <x v="117"/>
    <x v="8"/>
    <x v="6"/>
    <s v="782628"/>
    <s v="9986908105"/>
    <s v="rahul.kumar404@student.college.edu"/>
    <x v="3"/>
    <x v="0"/>
    <x v="0"/>
    <x v="2"/>
    <x v="2"/>
  </r>
  <r>
    <x v="121"/>
    <x v="101"/>
    <x v="1"/>
    <d v="2004-09-30T00:00:00"/>
    <s v="A+"/>
    <x v="84"/>
    <x v="99"/>
    <x v="118"/>
    <x v="5"/>
    <x v="0"/>
    <s v="178899"/>
    <s v="9452007431"/>
    <s v="ishaan.patel672@student.college.edu"/>
    <x v="0"/>
    <x v="6"/>
    <x v="6"/>
    <x v="0"/>
    <x v="0"/>
  </r>
  <r>
    <x v="122"/>
    <x v="102"/>
    <x v="0"/>
    <d v="2004-06-13T00:00:00"/>
    <s v="O+"/>
    <x v="0"/>
    <x v="13"/>
    <x v="119"/>
    <x v="3"/>
    <x v="7"/>
    <s v="891377"/>
    <s v="9623634474"/>
    <s v="amrita.reddy112@student.college.edu"/>
    <x v="2"/>
    <x v="5"/>
    <x v="5"/>
    <x v="2"/>
    <x v="2"/>
  </r>
  <r>
    <x v="123"/>
    <x v="103"/>
    <x v="1"/>
    <d v="2001-03-15T00:00:00"/>
    <s v="B-"/>
    <x v="65"/>
    <x v="100"/>
    <x v="120"/>
    <x v="7"/>
    <x v="1"/>
    <s v="857202"/>
    <s v="9856138581"/>
    <s v="leela.gupta514@student.college.edu"/>
    <x v="0"/>
    <x v="2"/>
    <x v="2"/>
    <x v="0"/>
    <x v="0"/>
  </r>
  <r>
    <x v="124"/>
    <x v="88"/>
    <x v="1"/>
    <d v="2006-09-03T00:00:00"/>
    <s v="O+"/>
    <x v="106"/>
    <x v="101"/>
    <x v="121"/>
    <x v="3"/>
    <x v="5"/>
    <s v="743240"/>
    <s v="9302934409"/>
    <s v="tanvi.reddy332@student.college.edu"/>
    <x v="0"/>
    <x v="5"/>
    <x v="5"/>
    <x v="0"/>
    <x v="0"/>
  </r>
  <r>
    <x v="125"/>
    <x v="104"/>
    <x v="1"/>
    <d v="2000-12-13T00:00:00"/>
    <s v="O+"/>
    <x v="107"/>
    <x v="102"/>
    <x v="122"/>
    <x v="9"/>
    <x v="3"/>
    <s v="395384"/>
    <s v="9465110621"/>
    <s v="shreya.das371@student.college.edu"/>
    <x v="3"/>
    <x v="1"/>
    <x v="1"/>
    <x v="2"/>
    <x v="2"/>
  </r>
  <r>
    <x v="126"/>
    <x v="105"/>
    <x v="1"/>
    <d v="2000-04-09T00:00:00"/>
    <s v="A+"/>
    <x v="108"/>
    <x v="103"/>
    <x v="123"/>
    <x v="6"/>
    <x v="1"/>
    <s v="215158"/>
    <s v="9119549687"/>
    <s v="pooja.iyer842@gmail.com"/>
    <x v="3"/>
    <x v="7"/>
    <x v="7"/>
    <x v="2"/>
    <x v="2"/>
  </r>
  <r>
    <x v="127"/>
    <x v="106"/>
    <x v="0"/>
    <d v="2000-11-29T00:00:00"/>
    <s v="O-"/>
    <x v="109"/>
    <x v="104"/>
    <x v="124"/>
    <x v="3"/>
    <x v="3"/>
    <s v="169503"/>
    <s v="9105968619"/>
    <s v="kavya.kumar615@student.college.edu"/>
    <x v="2"/>
    <x v="6"/>
    <x v="6"/>
    <x v="2"/>
    <x v="2"/>
  </r>
  <r>
    <x v="128"/>
    <x v="107"/>
    <x v="2"/>
    <d v="2005-10-07T00:00:00"/>
    <s v="B+"/>
    <x v="110"/>
    <x v="100"/>
    <x v="125"/>
    <x v="9"/>
    <x v="6"/>
    <s v="305287"/>
    <s v="9357760142"/>
    <s v="saanvi.banerjee880@student.college.edu"/>
    <x v="1"/>
    <x v="5"/>
    <x v="5"/>
    <x v="1"/>
    <x v="1"/>
  </r>
  <r>
    <x v="129"/>
    <x v="108"/>
    <x v="1"/>
    <d v="2007-05-04T00:00:00"/>
    <s v="B+"/>
    <x v="111"/>
    <x v="105"/>
    <x v="126"/>
    <x v="6"/>
    <x v="4"/>
    <s v="633162"/>
    <s v="9843267474"/>
    <s v="ishaan.sharma380@gmail.com"/>
    <x v="0"/>
    <x v="0"/>
    <x v="0"/>
    <x v="0"/>
    <x v="0"/>
  </r>
  <r>
    <x v="130"/>
    <x v="109"/>
    <x v="0"/>
    <d v="2007-04-02T00:00:00"/>
    <s v="O+"/>
    <x v="112"/>
    <x v="106"/>
    <x v="127"/>
    <x v="8"/>
    <x v="0"/>
    <s v="243567"/>
    <s v="9190019402"/>
    <s v="neeraj.mukherjee82@student.college.edu"/>
    <x v="1"/>
    <x v="1"/>
    <x v="1"/>
    <x v="1"/>
    <x v="1"/>
  </r>
  <r>
    <x v="131"/>
    <x v="110"/>
    <x v="1"/>
    <d v="2002-03-19T00:00:00"/>
    <s v="B-"/>
    <x v="113"/>
    <x v="107"/>
    <x v="33"/>
    <x v="4"/>
    <x v="1"/>
    <s v="268205"/>
    <s v="9521020197"/>
    <s v="kavya.banerjee362@gmail.com"/>
    <x v="3"/>
    <x v="2"/>
    <x v="2"/>
    <x v="2"/>
    <x v="2"/>
  </r>
  <r>
    <x v="132"/>
    <x v="64"/>
    <x v="2"/>
    <d v="2000-01-05T00:00:00"/>
    <s v="B-"/>
    <x v="114"/>
    <x v="72"/>
    <x v="128"/>
    <x v="2"/>
    <x v="3"/>
    <s v="294401"/>
    <s v="9555315257"/>
    <s v="aditi.mukherjee257@gmail.com"/>
    <x v="1"/>
    <x v="3"/>
    <x v="3"/>
    <x v="1"/>
    <x v="1"/>
  </r>
  <r>
    <x v="133"/>
    <x v="63"/>
    <x v="0"/>
    <d v="2006-08-23T00:00:00"/>
    <s v="B+"/>
    <x v="115"/>
    <x v="108"/>
    <x v="129"/>
    <x v="0"/>
    <x v="0"/>
    <s v="372784"/>
    <s v="9357223735"/>
    <s v="neeraj.iyer183@gmail.com"/>
    <x v="0"/>
    <x v="3"/>
    <x v="3"/>
    <x v="0"/>
    <x v="0"/>
  </r>
  <r>
    <x v="134"/>
    <x v="111"/>
    <x v="0"/>
    <d v="2001-01-18T00:00:00"/>
    <s v="B-"/>
    <x v="116"/>
    <x v="109"/>
    <x v="130"/>
    <x v="5"/>
    <x v="4"/>
    <s v="822261"/>
    <s v="9196667504"/>
    <s v="amrita.rao636@gmail.com"/>
    <x v="0"/>
    <x v="7"/>
    <x v="7"/>
    <x v="0"/>
    <x v="0"/>
  </r>
  <r>
    <x v="135"/>
    <x v="45"/>
    <x v="0"/>
    <d v="2003-06-18T00:00:00"/>
    <s v="B-"/>
    <x v="117"/>
    <x v="110"/>
    <x v="131"/>
    <x v="4"/>
    <x v="1"/>
    <s v="536196"/>
    <s v="9460253625"/>
    <s v="sai.das243@gmail.com"/>
    <x v="0"/>
    <x v="0"/>
    <x v="0"/>
    <x v="0"/>
    <x v="0"/>
  </r>
  <r>
    <x v="136"/>
    <x v="112"/>
    <x v="0"/>
    <d v="2001-05-12T00:00:00"/>
    <s v="O-"/>
    <x v="118"/>
    <x v="111"/>
    <x v="132"/>
    <x v="0"/>
    <x v="2"/>
    <s v="115202"/>
    <s v="9243191814"/>
    <s v="sai.kumar915@gmail.com"/>
    <x v="1"/>
    <x v="5"/>
    <x v="5"/>
    <x v="1"/>
    <x v="1"/>
  </r>
  <r>
    <x v="137"/>
    <x v="113"/>
    <x v="1"/>
    <d v="1999-07-15T00:00:00"/>
    <s v="B+"/>
    <x v="119"/>
    <x v="63"/>
    <x v="133"/>
    <x v="0"/>
    <x v="2"/>
    <s v="807235"/>
    <s v="9834366565"/>
    <s v="kunal.das800@gmail.com"/>
    <x v="0"/>
    <x v="7"/>
    <x v="7"/>
    <x v="0"/>
    <x v="0"/>
  </r>
  <r>
    <x v="138"/>
    <x v="109"/>
    <x v="0"/>
    <d v="1999-11-18T00:00:00"/>
    <s v="B-"/>
    <x v="37"/>
    <x v="112"/>
    <x v="134"/>
    <x v="8"/>
    <x v="7"/>
    <s v="464903"/>
    <s v="9367638797"/>
    <s v="neeraj.mukherjee534@gmail.com"/>
    <x v="3"/>
    <x v="4"/>
    <x v="4"/>
    <x v="2"/>
    <x v="2"/>
  </r>
  <r>
    <x v="139"/>
    <x v="114"/>
    <x v="2"/>
    <d v="2007-02-28T00:00:00"/>
    <s v="A-"/>
    <x v="120"/>
    <x v="83"/>
    <x v="135"/>
    <x v="5"/>
    <x v="5"/>
    <s v="309407"/>
    <s v="9591609327"/>
    <s v="leela.sharma454@student.college.edu"/>
    <x v="3"/>
    <x v="2"/>
    <x v="2"/>
    <x v="2"/>
    <x v="2"/>
  </r>
  <r>
    <x v="140"/>
    <x v="115"/>
    <x v="0"/>
    <d v="2002-08-25T00:00:00"/>
    <s v="A-"/>
    <x v="121"/>
    <x v="113"/>
    <x v="136"/>
    <x v="9"/>
    <x v="2"/>
    <s v="195547"/>
    <s v="9846594203"/>
    <s v="vihaan.banerjee423@gmail.com"/>
    <x v="0"/>
    <x v="2"/>
    <x v="2"/>
    <x v="0"/>
    <x v="0"/>
  </r>
  <r>
    <x v="141"/>
    <x v="100"/>
    <x v="2"/>
    <d v="2002-11-09T00:00:00"/>
    <s v="B+"/>
    <x v="40"/>
    <x v="114"/>
    <x v="137"/>
    <x v="4"/>
    <x v="3"/>
    <s v="042203"/>
    <s v="9453173324"/>
    <s v="aarav.das246@gmail.com"/>
    <x v="0"/>
    <x v="1"/>
    <x v="1"/>
    <x v="0"/>
    <x v="0"/>
  </r>
  <r>
    <x v="142"/>
    <x v="116"/>
    <x v="2"/>
    <d v="2000-07-13T00:00:00"/>
    <s v="O+"/>
    <x v="122"/>
    <x v="9"/>
    <x v="138"/>
    <x v="0"/>
    <x v="2"/>
    <s v="100511"/>
    <s v="9277214337"/>
    <s v="ishaan.verma381@gmail.com"/>
    <x v="2"/>
    <x v="0"/>
    <x v="0"/>
    <x v="2"/>
    <x v="2"/>
  </r>
  <r>
    <x v="143"/>
    <x v="117"/>
    <x v="2"/>
    <d v="2001-12-27T00:00:00"/>
    <s v="A-"/>
    <x v="123"/>
    <x v="115"/>
    <x v="139"/>
    <x v="5"/>
    <x v="3"/>
    <s v="881727"/>
    <s v="9470475946"/>
    <s v="aditya.gupta320@gmail.com"/>
    <x v="2"/>
    <x v="6"/>
    <x v="6"/>
    <x v="2"/>
    <x v="2"/>
  </r>
  <r>
    <x v="144"/>
    <x v="118"/>
    <x v="1"/>
    <d v="2002-05-08T00:00:00"/>
    <s v="O-"/>
    <x v="124"/>
    <x v="116"/>
    <x v="140"/>
    <x v="1"/>
    <x v="4"/>
    <s v="631217"/>
    <s v="9007453010"/>
    <s v="kunal.kumar634@gmail.com"/>
    <x v="2"/>
    <x v="2"/>
    <x v="2"/>
    <x v="2"/>
    <x v="2"/>
  </r>
  <r>
    <x v="145"/>
    <x v="31"/>
    <x v="2"/>
    <d v="2006-11-12T00:00:00"/>
    <s v="A+"/>
    <x v="16"/>
    <x v="101"/>
    <x v="141"/>
    <x v="9"/>
    <x v="7"/>
    <s v="841631"/>
    <s v="9844261137"/>
    <s v="diya.banerjee282@student.college.edu"/>
    <x v="3"/>
    <x v="7"/>
    <x v="7"/>
    <x v="2"/>
    <x v="2"/>
  </r>
  <r>
    <x v="146"/>
    <x v="119"/>
    <x v="1"/>
    <d v="2003-02-12T00:00:00"/>
    <s v="A+"/>
    <x v="125"/>
    <x v="117"/>
    <x v="142"/>
    <x v="8"/>
    <x v="1"/>
    <s v="636309"/>
    <s v="9816712430"/>
    <s v="rahul.nair675@student.college.edu"/>
    <x v="3"/>
    <x v="4"/>
    <x v="4"/>
    <x v="2"/>
    <x v="2"/>
  </r>
  <r>
    <x v="147"/>
    <x v="114"/>
    <x v="2"/>
    <d v="2000-03-14T00:00:00"/>
    <s v="AB+"/>
    <x v="3"/>
    <x v="5"/>
    <x v="143"/>
    <x v="4"/>
    <x v="3"/>
    <s v="027096"/>
    <s v="9984637887"/>
    <s v="leela.sharma60@gmail.com"/>
    <x v="2"/>
    <x v="6"/>
    <x v="6"/>
    <x v="2"/>
    <x v="2"/>
  </r>
  <r>
    <x v="148"/>
    <x v="120"/>
    <x v="2"/>
    <d v="2001-06-03T00:00:00"/>
    <s v="AB+"/>
    <x v="126"/>
    <x v="106"/>
    <x v="144"/>
    <x v="5"/>
    <x v="4"/>
    <s v="526174"/>
    <s v="9163468114"/>
    <s v="sujith.nair346@student.college.edu"/>
    <x v="1"/>
    <x v="0"/>
    <x v="0"/>
    <x v="1"/>
    <x v="1"/>
  </r>
  <r>
    <x v="149"/>
    <x v="26"/>
    <x v="1"/>
    <d v="2002-08-22T00:00:00"/>
    <s v="O-"/>
    <x v="127"/>
    <x v="118"/>
    <x v="145"/>
    <x v="3"/>
    <x v="4"/>
    <s v="527929"/>
    <s v="9437955933"/>
    <s v="amrita.iyer228@student.college.edu"/>
    <x v="0"/>
    <x v="2"/>
    <x v="2"/>
    <x v="0"/>
    <x v="0"/>
  </r>
  <r>
    <x v="150"/>
    <x v="109"/>
    <x v="0"/>
    <d v="2005-03-17T00:00:00"/>
    <s v="AB+"/>
    <x v="128"/>
    <x v="6"/>
    <x v="146"/>
    <x v="7"/>
    <x v="2"/>
    <s v="313528"/>
    <s v="9039777186"/>
    <s v="neeraj.mukherjee591@student.college.edu"/>
    <x v="0"/>
    <x v="2"/>
    <x v="2"/>
    <x v="0"/>
    <x v="0"/>
  </r>
  <r>
    <x v="151"/>
    <x v="50"/>
    <x v="0"/>
    <d v="1999-11-18T00:00:00"/>
    <s v="O-"/>
    <x v="129"/>
    <x v="119"/>
    <x v="147"/>
    <x v="6"/>
    <x v="0"/>
    <s v="826607"/>
    <s v="9330515207"/>
    <s v="aditi.rao403@gmail.com"/>
    <x v="2"/>
    <x v="3"/>
    <x v="3"/>
    <x v="2"/>
    <x v="2"/>
  </r>
  <r>
    <x v="152"/>
    <x v="121"/>
    <x v="0"/>
    <d v="2000-08-29T00:00:00"/>
    <s v="A+"/>
    <x v="130"/>
    <x v="120"/>
    <x v="148"/>
    <x v="9"/>
    <x v="6"/>
    <s v="234674"/>
    <s v="9135595224"/>
    <s v="meera.nair702@student.college.edu"/>
    <x v="1"/>
    <x v="1"/>
    <x v="1"/>
    <x v="1"/>
    <x v="1"/>
  </r>
  <r>
    <x v="153"/>
    <x v="122"/>
    <x v="2"/>
    <d v="2002-08-06T00:00:00"/>
    <s v="A+"/>
    <x v="131"/>
    <x v="121"/>
    <x v="149"/>
    <x v="8"/>
    <x v="7"/>
    <s v="694108"/>
    <s v="9137810998"/>
    <s v="diya.iyer840@gmail.com"/>
    <x v="0"/>
    <x v="6"/>
    <x v="6"/>
    <x v="0"/>
    <x v="0"/>
  </r>
  <r>
    <x v="154"/>
    <x v="15"/>
    <x v="0"/>
    <d v="1999-04-04T00:00:00"/>
    <s v="O+"/>
    <x v="132"/>
    <x v="72"/>
    <x v="150"/>
    <x v="9"/>
    <x v="3"/>
    <s v="569663"/>
    <s v="9952026249"/>
    <s v="rahul.kumar69@gmail.com"/>
    <x v="0"/>
    <x v="0"/>
    <x v="0"/>
    <x v="0"/>
    <x v="0"/>
  </r>
  <r>
    <x v="155"/>
    <x v="67"/>
    <x v="2"/>
    <d v="2002-04-13T00:00:00"/>
    <s v="O-"/>
    <x v="92"/>
    <x v="122"/>
    <x v="151"/>
    <x v="2"/>
    <x v="2"/>
    <s v="851549"/>
    <s v="9025331336"/>
    <s v="leela.verma242@gmail.com"/>
    <x v="2"/>
    <x v="5"/>
    <x v="5"/>
    <x v="2"/>
    <x v="2"/>
  </r>
  <r>
    <x v="156"/>
    <x v="97"/>
    <x v="2"/>
    <d v="2005-03-23T00:00:00"/>
    <s v="B+"/>
    <x v="133"/>
    <x v="123"/>
    <x v="152"/>
    <x v="8"/>
    <x v="0"/>
    <s v="756864"/>
    <s v="9543641656"/>
    <s v="amrita.patel208@student.college.edu"/>
    <x v="3"/>
    <x v="1"/>
    <x v="1"/>
    <x v="2"/>
    <x v="2"/>
  </r>
  <r>
    <x v="157"/>
    <x v="78"/>
    <x v="1"/>
    <d v="2005-05-02T00:00:00"/>
    <s v="AB+"/>
    <x v="53"/>
    <x v="124"/>
    <x v="153"/>
    <x v="8"/>
    <x v="7"/>
    <s v="810399"/>
    <s v="9378671110"/>
    <s v="surya.gupta627@gmail.com"/>
    <x v="3"/>
    <x v="3"/>
    <x v="3"/>
    <x v="2"/>
    <x v="2"/>
  </r>
  <r>
    <x v="158"/>
    <x v="37"/>
    <x v="2"/>
    <d v="2003-01-11T00:00:00"/>
    <s v="O+"/>
    <x v="23"/>
    <x v="125"/>
    <x v="154"/>
    <x v="2"/>
    <x v="5"/>
    <s v="841107"/>
    <s v="9024797099"/>
    <s v="rohan.banerjee888@gmail.com"/>
    <x v="0"/>
    <x v="7"/>
    <x v="7"/>
    <x v="0"/>
    <x v="0"/>
  </r>
  <r>
    <x v="159"/>
    <x v="102"/>
    <x v="0"/>
    <d v="2003-07-17T00:00:00"/>
    <s v="A-"/>
    <x v="129"/>
    <x v="68"/>
    <x v="155"/>
    <x v="2"/>
    <x v="6"/>
    <s v="675587"/>
    <s v="9548095375"/>
    <s v="amrita.reddy529@student.college.edu"/>
    <x v="0"/>
    <x v="7"/>
    <x v="7"/>
    <x v="0"/>
    <x v="0"/>
  </r>
  <r>
    <x v="160"/>
    <x v="123"/>
    <x v="0"/>
    <d v="2004-03-04T00:00:00"/>
    <s v="B+"/>
    <x v="134"/>
    <x v="126"/>
    <x v="156"/>
    <x v="9"/>
    <x v="5"/>
    <s v="460515"/>
    <s v="9853304888"/>
    <s v="ira.nair93@gmail.com"/>
    <x v="3"/>
    <x v="6"/>
    <x v="6"/>
    <x v="2"/>
    <x v="2"/>
  </r>
  <r>
    <x v="161"/>
    <x v="124"/>
    <x v="1"/>
    <d v="2004-01-15T00:00:00"/>
    <s v="A-"/>
    <x v="135"/>
    <x v="115"/>
    <x v="157"/>
    <x v="9"/>
    <x v="5"/>
    <s v="337956"/>
    <s v="9181743746"/>
    <s v="aditya.verma121@student.college.edu"/>
    <x v="2"/>
    <x v="5"/>
    <x v="5"/>
    <x v="2"/>
    <x v="2"/>
  </r>
  <r>
    <x v="162"/>
    <x v="3"/>
    <x v="0"/>
    <d v="2004-08-04T00:00:00"/>
    <s v="B+"/>
    <x v="110"/>
    <x v="127"/>
    <x v="158"/>
    <x v="3"/>
    <x v="2"/>
    <s v="446082"/>
    <s v="9682103105"/>
    <s v="aarav.kumar618@gmail.com"/>
    <x v="2"/>
    <x v="2"/>
    <x v="2"/>
    <x v="2"/>
    <x v="2"/>
  </r>
  <r>
    <x v="163"/>
    <x v="125"/>
    <x v="2"/>
    <d v="2000-10-22T00:00:00"/>
    <s v="A+"/>
    <x v="136"/>
    <x v="13"/>
    <x v="159"/>
    <x v="4"/>
    <x v="7"/>
    <s v="902330"/>
    <s v="9452162556"/>
    <s v="kabir.patel627@student.college.edu"/>
    <x v="2"/>
    <x v="7"/>
    <x v="7"/>
    <x v="2"/>
    <x v="2"/>
  </r>
  <r>
    <x v="164"/>
    <x v="64"/>
    <x v="1"/>
    <d v="2007-11-03T00:00:00"/>
    <s v="B-"/>
    <x v="137"/>
    <x v="128"/>
    <x v="160"/>
    <x v="0"/>
    <x v="7"/>
    <s v="964748"/>
    <s v="9822114772"/>
    <s v="aditi.mukherjee631@gmail.com"/>
    <x v="2"/>
    <x v="0"/>
    <x v="0"/>
    <x v="2"/>
    <x v="2"/>
  </r>
  <r>
    <x v="165"/>
    <x v="126"/>
    <x v="1"/>
    <d v="2001-05-19T00:00:00"/>
    <s v="A-"/>
    <x v="138"/>
    <x v="129"/>
    <x v="161"/>
    <x v="1"/>
    <x v="3"/>
    <s v="357133"/>
    <s v="9598189440"/>
    <s v="diya.das140@gmail.com"/>
    <x v="1"/>
    <x v="0"/>
    <x v="0"/>
    <x v="1"/>
    <x v="1"/>
  </r>
  <r>
    <x v="166"/>
    <x v="127"/>
    <x v="1"/>
    <d v="1999-08-18T00:00:00"/>
    <s v="O+"/>
    <x v="139"/>
    <x v="126"/>
    <x v="162"/>
    <x v="9"/>
    <x v="1"/>
    <s v="267839"/>
    <s v="9209685358"/>
    <s v="riya.patel770@gmail.com"/>
    <x v="0"/>
    <x v="2"/>
    <x v="2"/>
    <x v="0"/>
    <x v="0"/>
  </r>
  <r>
    <x v="167"/>
    <x v="0"/>
    <x v="2"/>
    <d v="2004-07-28T00:00:00"/>
    <s v="A-"/>
    <x v="140"/>
    <x v="130"/>
    <x v="163"/>
    <x v="5"/>
    <x v="3"/>
    <s v="130205"/>
    <s v="9791348337"/>
    <s v="kunal.patel101@student.college.edu"/>
    <x v="2"/>
    <x v="7"/>
    <x v="7"/>
    <x v="2"/>
    <x v="2"/>
  </r>
  <r>
    <x v="168"/>
    <x v="128"/>
    <x v="1"/>
    <d v="2000-04-19T00:00:00"/>
    <s v="AB+"/>
    <x v="141"/>
    <x v="131"/>
    <x v="164"/>
    <x v="2"/>
    <x v="2"/>
    <s v="817707"/>
    <s v="9622257621"/>
    <s v="ira.mukherjee118@student.college.edu"/>
    <x v="2"/>
    <x v="3"/>
    <x v="3"/>
    <x v="2"/>
    <x v="2"/>
  </r>
  <r>
    <x v="169"/>
    <x v="46"/>
    <x v="1"/>
    <d v="2002-07-28T00:00:00"/>
    <s v="B+"/>
    <x v="39"/>
    <x v="14"/>
    <x v="165"/>
    <x v="8"/>
    <x v="0"/>
    <s v="385009"/>
    <s v="9030378664"/>
    <s v="nisha.iyer365@gmail.com"/>
    <x v="3"/>
    <x v="6"/>
    <x v="6"/>
    <x v="2"/>
    <x v="2"/>
  </r>
  <r>
    <x v="170"/>
    <x v="129"/>
    <x v="1"/>
    <d v="2000-06-23T00:00:00"/>
    <s v="O-"/>
    <x v="23"/>
    <x v="35"/>
    <x v="166"/>
    <x v="4"/>
    <x v="2"/>
    <s v="228693"/>
    <s v="9667840434"/>
    <s v="surya.kumar175@gmail.com"/>
    <x v="0"/>
    <x v="4"/>
    <x v="4"/>
    <x v="0"/>
    <x v="0"/>
  </r>
  <r>
    <x v="171"/>
    <x v="130"/>
    <x v="0"/>
    <d v="2007-01-04T00:00:00"/>
    <s v="A+"/>
    <x v="142"/>
    <x v="94"/>
    <x v="167"/>
    <x v="0"/>
    <x v="2"/>
    <s v="446593"/>
    <s v="9385747526"/>
    <s v="priya.verma80@gmail.com"/>
    <x v="1"/>
    <x v="0"/>
    <x v="0"/>
    <x v="1"/>
    <x v="1"/>
  </r>
  <r>
    <x v="172"/>
    <x v="131"/>
    <x v="0"/>
    <d v="2000-12-22T00:00:00"/>
    <s v="B-"/>
    <x v="143"/>
    <x v="132"/>
    <x v="168"/>
    <x v="2"/>
    <x v="2"/>
    <s v="602157"/>
    <s v="9876426428"/>
    <s v="nisha.verma307@gmail.com"/>
    <x v="0"/>
    <x v="6"/>
    <x v="6"/>
    <x v="0"/>
    <x v="0"/>
  </r>
  <r>
    <x v="173"/>
    <x v="84"/>
    <x v="1"/>
    <d v="2004-09-21T00:00:00"/>
    <s v="O-"/>
    <x v="144"/>
    <x v="133"/>
    <x v="169"/>
    <x v="9"/>
    <x v="1"/>
    <s v="059120"/>
    <s v="9456744211"/>
    <s v="shreya.sharma569@gmail.com"/>
    <x v="0"/>
    <x v="1"/>
    <x v="1"/>
    <x v="0"/>
    <x v="0"/>
  </r>
  <r>
    <x v="174"/>
    <x v="60"/>
    <x v="1"/>
    <d v="2000-05-29T00:00:00"/>
    <s v="O-"/>
    <x v="145"/>
    <x v="82"/>
    <x v="170"/>
    <x v="4"/>
    <x v="6"/>
    <s v="911888"/>
    <s v="9696448324"/>
    <s v="arjun.nair8@gmail.com"/>
    <x v="3"/>
    <x v="5"/>
    <x v="5"/>
    <x v="2"/>
    <x v="2"/>
  </r>
  <r>
    <x v="175"/>
    <x v="132"/>
    <x v="1"/>
    <d v="2003-02-12T00:00:00"/>
    <s v="AB+"/>
    <x v="146"/>
    <x v="134"/>
    <x v="171"/>
    <x v="1"/>
    <x v="2"/>
    <s v="907587"/>
    <s v="9255626666"/>
    <s v="meera.das553@gmail.com"/>
    <x v="2"/>
    <x v="0"/>
    <x v="0"/>
    <x v="2"/>
    <x v="2"/>
  </r>
  <r>
    <x v="176"/>
    <x v="133"/>
    <x v="0"/>
    <d v="2004-02-03T00:00:00"/>
    <s v="O-"/>
    <x v="47"/>
    <x v="78"/>
    <x v="172"/>
    <x v="2"/>
    <x v="3"/>
    <s v="209775"/>
    <s v="9041098620"/>
    <s v="nisha.sharma518@student.college.edu"/>
    <x v="0"/>
    <x v="5"/>
    <x v="5"/>
    <x v="0"/>
    <x v="0"/>
  </r>
  <r>
    <x v="177"/>
    <x v="44"/>
    <x v="0"/>
    <d v="2002-02-01T00:00:00"/>
    <s v="O+"/>
    <x v="147"/>
    <x v="135"/>
    <x v="173"/>
    <x v="3"/>
    <x v="5"/>
    <s v="631721"/>
    <s v="9509958874"/>
    <s v="arjun.rao393@student.college.edu"/>
    <x v="1"/>
    <x v="4"/>
    <x v="4"/>
    <x v="1"/>
    <x v="1"/>
  </r>
  <r>
    <x v="178"/>
    <x v="134"/>
    <x v="1"/>
    <d v="2002-11-14T00:00:00"/>
    <s v="A+"/>
    <x v="35"/>
    <x v="136"/>
    <x v="19"/>
    <x v="4"/>
    <x v="6"/>
    <s v="449926"/>
    <s v="9325427335"/>
    <s v="ishaan.rao979@student.college.edu"/>
    <x v="0"/>
    <x v="1"/>
    <x v="1"/>
    <x v="0"/>
    <x v="0"/>
  </r>
  <r>
    <x v="179"/>
    <x v="110"/>
    <x v="0"/>
    <d v="2002-10-04T00:00:00"/>
    <s v="A+"/>
    <x v="148"/>
    <x v="62"/>
    <x v="174"/>
    <x v="4"/>
    <x v="4"/>
    <s v="751361"/>
    <s v="9568001422"/>
    <s v="kavya.banerjee198@student.college.edu"/>
    <x v="2"/>
    <x v="2"/>
    <x v="2"/>
    <x v="2"/>
    <x v="2"/>
  </r>
  <r>
    <x v="180"/>
    <x v="110"/>
    <x v="2"/>
    <d v="2005-09-21T00:00:00"/>
    <s v="B+"/>
    <x v="54"/>
    <x v="137"/>
    <x v="175"/>
    <x v="6"/>
    <x v="5"/>
    <s v="862496"/>
    <s v="9924973107"/>
    <s v="kavya.banerjee392@gmail.com"/>
    <x v="2"/>
    <x v="5"/>
    <x v="5"/>
    <x v="2"/>
    <x v="2"/>
  </r>
  <r>
    <x v="181"/>
    <x v="120"/>
    <x v="2"/>
    <d v="2003-12-10T00:00:00"/>
    <s v="B+"/>
    <x v="149"/>
    <x v="109"/>
    <x v="176"/>
    <x v="8"/>
    <x v="2"/>
    <s v="154614"/>
    <s v="9200770460"/>
    <s v="sujith.nair39@gmail.com"/>
    <x v="3"/>
    <x v="0"/>
    <x v="0"/>
    <x v="2"/>
    <x v="2"/>
  </r>
  <r>
    <x v="182"/>
    <x v="97"/>
    <x v="1"/>
    <d v="1999-01-16T00:00:00"/>
    <s v="O-"/>
    <x v="150"/>
    <x v="125"/>
    <x v="177"/>
    <x v="6"/>
    <x v="0"/>
    <s v="509845"/>
    <s v="9936469059"/>
    <s v="amrita.patel83@gmail.com"/>
    <x v="0"/>
    <x v="3"/>
    <x v="3"/>
    <x v="0"/>
    <x v="0"/>
  </r>
  <r>
    <x v="183"/>
    <x v="45"/>
    <x v="2"/>
    <d v="2003-04-23T00:00:00"/>
    <s v="A+"/>
    <x v="151"/>
    <x v="70"/>
    <x v="178"/>
    <x v="2"/>
    <x v="2"/>
    <s v="067117"/>
    <s v="9540535849"/>
    <s v="sai.das38@gmail.com"/>
    <x v="0"/>
    <x v="2"/>
    <x v="2"/>
    <x v="0"/>
    <x v="0"/>
  </r>
  <r>
    <x v="184"/>
    <x v="69"/>
    <x v="2"/>
    <d v="2006-05-02T00:00:00"/>
    <s v="O-"/>
    <x v="152"/>
    <x v="138"/>
    <x v="179"/>
    <x v="3"/>
    <x v="4"/>
    <s v="901649"/>
    <s v="9071103741"/>
    <s v="ira.verma606@student.college.edu"/>
    <x v="2"/>
    <x v="6"/>
    <x v="6"/>
    <x v="2"/>
    <x v="2"/>
  </r>
  <r>
    <x v="185"/>
    <x v="135"/>
    <x v="1"/>
    <d v="2001-06-22T00:00:00"/>
    <s v="A+"/>
    <x v="153"/>
    <x v="139"/>
    <x v="180"/>
    <x v="2"/>
    <x v="0"/>
    <s v="951877"/>
    <s v="9531146549"/>
    <s v="saanvi.rao42@student.college.edu"/>
    <x v="1"/>
    <x v="4"/>
    <x v="4"/>
    <x v="1"/>
    <x v="1"/>
  </r>
  <r>
    <x v="186"/>
    <x v="3"/>
    <x v="2"/>
    <d v="1999-01-27T00:00:00"/>
    <s v="A+"/>
    <x v="83"/>
    <x v="140"/>
    <x v="181"/>
    <x v="6"/>
    <x v="2"/>
    <s v="626549"/>
    <s v="9601496730"/>
    <s v="aarav.kumar242@student.college.edu"/>
    <x v="2"/>
    <x v="0"/>
    <x v="0"/>
    <x v="2"/>
    <x v="2"/>
  </r>
  <r>
    <x v="187"/>
    <x v="86"/>
    <x v="1"/>
    <d v="2001-06-17T00:00:00"/>
    <s v="A-"/>
    <x v="154"/>
    <x v="141"/>
    <x v="182"/>
    <x v="5"/>
    <x v="0"/>
    <s v="769416"/>
    <s v="9062438707"/>
    <s v="leela.das948@student.college.edu"/>
    <x v="2"/>
    <x v="7"/>
    <x v="7"/>
    <x v="2"/>
    <x v="2"/>
  </r>
  <r>
    <x v="188"/>
    <x v="130"/>
    <x v="2"/>
    <d v="2001-08-21T00:00:00"/>
    <s v="O+"/>
    <x v="155"/>
    <x v="6"/>
    <x v="183"/>
    <x v="5"/>
    <x v="7"/>
    <s v="212241"/>
    <s v="9805042613"/>
    <s v="priya.verma469@student.college.edu"/>
    <x v="0"/>
    <x v="5"/>
    <x v="5"/>
    <x v="0"/>
    <x v="0"/>
  </r>
  <r>
    <x v="189"/>
    <x v="136"/>
    <x v="2"/>
    <d v="1999-05-12T00:00:00"/>
    <s v="B+"/>
    <x v="113"/>
    <x v="142"/>
    <x v="184"/>
    <x v="4"/>
    <x v="2"/>
    <s v="472217"/>
    <s v="9995524582"/>
    <s v="ishaan.iyer485@gmail.com"/>
    <x v="2"/>
    <x v="1"/>
    <x v="1"/>
    <x v="2"/>
    <x v="2"/>
  </r>
  <r>
    <x v="190"/>
    <x v="137"/>
    <x v="2"/>
    <d v="2002-09-02T00:00:00"/>
    <s v="B+"/>
    <x v="25"/>
    <x v="143"/>
    <x v="185"/>
    <x v="3"/>
    <x v="1"/>
    <s v="409754"/>
    <s v="9386040764"/>
    <s v="aditi.reddy224@student.college.edu"/>
    <x v="0"/>
    <x v="3"/>
    <x v="3"/>
    <x v="0"/>
    <x v="0"/>
  </r>
  <r>
    <x v="191"/>
    <x v="138"/>
    <x v="2"/>
    <d v="2004-05-19T00:00:00"/>
    <s v="O-"/>
    <x v="136"/>
    <x v="144"/>
    <x v="186"/>
    <x v="4"/>
    <x v="2"/>
    <s v="784734"/>
    <s v="9680830429"/>
    <s v="harsha.verma556@student.college.edu"/>
    <x v="2"/>
    <x v="0"/>
    <x v="0"/>
    <x v="2"/>
    <x v="2"/>
  </r>
  <r>
    <x v="192"/>
    <x v="139"/>
    <x v="1"/>
    <d v="2006-07-26T00:00:00"/>
    <s v="B+"/>
    <x v="156"/>
    <x v="91"/>
    <x v="187"/>
    <x v="3"/>
    <x v="1"/>
    <s v="315072"/>
    <s v="9921495927"/>
    <s v="aditi.sharma231@gmail.com"/>
    <x v="0"/>
    <x v="1"/>
    <x v="1"/>
    <x v="0"/>
    <x v="0"/>
  </r>
  <r>
    <x v="193"/>
    <x v="140"/>
    <x v="2"/>
    <d v="2003-03-08T00:00:00"/>
    <s v="A-"/>
    <x v="157"/>
    <x v="52"/>
    <x v="188"/>
    <x v="4"/>
    <x v="3"/>
    <s v="436698"/>
    <s v="9180319011"/>
    <s v="kunal.sharma152@gmail.com"/>
    <x v="3"/>
    <x v="2"/>
    <x v="2"/>
    <x v="2"/>
    <x v="2"/>
  </r>
  <r>
    <x v="194"/>
    <x v="39"/>
    <x v="1"/>
    <d v="2005-01-26T00:00:00"/>
    <s v="A-"/>
    <x v="53"/>
    <x v="145"/>
    <x v="189"/>
    <x v="7"/>
    <x v="3"/>
    <s v="108853"/>
    <s v="9567465545"/>
    <s v="rahul.patel920@gmail.com"/>
    <x v="0"/>
    <x v="3"/>
    <x v="3"/>
    <x v="0"/>
    <x v="0"/>
  </r>
  <r>
    <x v="195"/>
    <x v="61"/>
    <x v="0"/>
    <d v="2007-08-19T00:00:00"/>
    <s v="A-"/>
    <x v="158"/>
    <x v="123"/>
    <x v="190"/>
    <x v="8"/>
    <x v="5"/>
    <s v="729866"/>
    <s v="9120312150"/>
    <s v="saanvi.iyer325@gmail.com"/>
    <x v="0"/>
    <x v="7"/>
    <x v="7"/>
    <x v="0"/>
    <x v="0"/>
  </r>
  <r>
    <x v="196"/>
    <x v="141"/>
    <x v="1"/>
    <d v="2002-05-20T00:00:00"/>
    <s v="A+"/>
    <x v="33"/>
    <x v="146"/>
    <x v="191"/>
    <x v="4"/>
    <x v="7"/>
    <s v="195562"/>
    <s v="9897967793"/>
    <s v="nisha.gupta116@gmail.com"/>
    <x v="3"/>
    <x v="6"/>
    <x v="6"/>
    <x v="2"/>
    <x v="2"/>
  </r>
  <r>
    <x v="197"/>
    <x v="47"/>
    <x v="0"/>
    <d v="2005-12-04T00:00:00"/>
    <s v="A-"/>
    <x v="55"/>
    <x v="16"/>
    <x v="192"/>
    <x v="7"/>
    <x v="4"/>
    <s v="529205"/>
    <s v="9460513699"/>
    <s v="rahul.sharma370@gmail.com"/>
    <x v="1"/>
    <x v="0"/>
    <x v="0"/>
    <x v="1"/>
    <x v="1"/>
  </r>
  <r>
    <x v="198"/>
    <x v="142"/>
    <x v="2"/>
    <d v="2002-03-11T00:00:00"/>
    <s v="A+"/>
    <x v="159"/>
    <x v="112"/>
    <x v="193"/>
    <x v="5"/>
    <x v="2"/>
    <s v="744178"/>
    <s v="9748513953"/>
    <s v="ira.iyer956@gmail.com"/>
    <x v="2"/>
    <x v="1"/>
    <x v="1"/>
    <x v="2"/>
    <x v="2"/>
  </r>
  <r>
    <x v="199"/>
    <x v="62"/>
    <x v="0"/>
    <d v="2000-12-17T00:00:00"/>
    <s v="B-"/>
    <x v="160"/>
    <x v="147"/>
    <x v="194"/>
    <x v="5"/>
    <x v="5"/>
    <s v="824835"/>
    <s v="9472713661"/>
    <s v="harsha.nair682@gmail.com"/>
    <x v="3"/>
    <x v="7"/>
    <x v="7"/>
    <x v="2"/>
    <x v="2"/>
  </r>
  <r>
    <x v="200"/>
    <x v="143"/>
    <x v="1"/>
    <d v="2001-09-29T00:00:00"/>
    <s v="B+"/>
    <x v="63"/>
    <x v="148"/>
    <x v="195"/>
    <x v="3"/>
    <x v="7"/>
    <s v="558646"/>
    <s v="9155810381"/>
    <s v="surya.mukherjee168@student.college.edu"/>
    <x v="0"/>
    <x v="1"/>
    <x v="1"/>
    <x v="0"/>
    <x v="0"/>
  </r>
  <r>
    <x v="201"/>
    <x v="144"/>
    <x v="2"/>
    <d v="2002-04-02T00:00:00"/>
    <s v="A-"/>
    <x v="161"/>
    <x v="149"/>
    <x v="196"/>
    <x v="8"/>
    <x v="0"/>
    <s v="513387"/>
    <s v="9263531127"/>
    <s v="harsha.iyer422@gmail.com"/>
    <x v="2"/>
    <x v="3"/>
    <x v="3"/>
    <x v="2"/>
    <x v="2"/>
  </r>
  <r>
    <x v="202"/>
    <x v="51"/>
    <x v="2"/>
    <d v="2001-02-10T00:00:00"/>
    <s v="O+"/>
    <x v="104"/>
    <x v="68"/>
    <x v="197"/>
    <x v="6"/>
    <x v="2"/>
    <s v="911036"/>
    <s v="9149591371"/>
    <s v="arjun.das132@student.college.edu"/>
    <x v="3"/>
    <x v="5"/>
    <x v="5"/>
    <x v="2"/>
    <x v="2"/>
  </r>
  <r>
    <x v="203"/>
    <x v="145"/>
    <x v="2"/>
    <d v="1999-11-18T00:00:00"/>
    <s v="A+"/>
    <x v="118"/>
    <x v="150"/>
    <x v="198"/>
    <x v="4"/>
    <x v="6"/>
    <s v="017501"/>
    <s v="9206779291"/>
    <s v="arjun.reddy360@student.college.edu"/>
    <x v="3"/>
    <x v="5"/>
    <x v="5"/>
    <x v="2"/>
    <x v="2"/>
  </r>
  <r>
    <x v="204"/>
    <x v="146"/>
    <x v="0"/>
    <d v="2000-10-19T00:00:00"/>
    <s v="A-"/>
    <x v="162"/>
    <x v="151"/>
    <x v="199"/>
    <x v="9"/>
    <x v="0"/>
    <s v="050212"/>
    <s v="9959025735"/>
    <s v="shreya.iyer451@student.college.edu"/>
    <x v="0"/>
    <x v="1"/>
    <x v="1"/>
    <x v="0"/>
    <x v="0"/>
  </r>
  <r>
    <x v="205"/>
    <x v="147"/>
    <x v="1"/>
    <d v="2001-07-21T00:00:00"/>
    <s v="O-"/>
    <x v="163"/>
    <x v="111"/>
    <x v="200"/>
    <x v="1"/>
    <x v="5"/>
    <s v="432704"/>
    <s v="9347682494"/>
    <s v="meera.reddy878@student.college.edu"/>
    <x v="1"/>
    <x v="0"/>
    <x v="0"/>
    <x v="1"/>
    <x v="1"/>
  </r>
  <r>
    <x v="206"/>
    <x v="148"/>
    <x v="1"/>
    <d v="2004-07-06T00:00:00"/>
    <s v="O-"/>
    <x v="164"/>
    <x v="146"/>
    <x v="201"/>
    <x v="1"/>
    <x v="5"/>
    <s v="369781"/>
    <s v="9312842447"/>
    <s v="sai.sharma785@gmail.com"/>
    <x v="1"/>
    <x v="0"/>
    <x v="0"/>
    <x v="1"/>
    <x v="1"/>
  </r>
  <r>
    <x v="207"/>
    <x v="107"/>
    <x v="1"/>
    <d v="2003-07-15T00:00:00"/>
    <s v="O-"/>
    <x v="24"/>
    <x v="152"/>
    <x v="202"/>
    <x v="1"/>
    <x v="0"/>
    <s v="246100"/>
    <s v="9069361600"/>
    <s v="saanvi.banerjee770@gmail.com"/>
    <x v="1"/>
    <x v="3"/>
    <x v="3"/>
    <x v="1"/>
    <x v="1"/>
  </r>
  <r>
    <x v="208"/>
    <x v="24"/>
    <x v="0"/>
    <d v="2004-07-01T00:00:00"/>
    <s v="O+"/>
    <x v="165"/>
    <x v="51"/>
    <x v="203"/>
    <x v="7"/>
    <x v="6"/>
    <s v="814840"/>
    <s v="9167814337"/>
    <s v="rahul.banerjee583@gmail.com"/>
    <x v="1"/>
    <x v="7"/>
    <x v="7"/>
    <x v="1"/>
    <x v="1"/>
  </r>
  <r>
    <x v="209"/>
    <x v="141"/>
    <x v="1"/>
    <d v="1999-08-17T00:00:00"/>
    <s v="A-"/>
    <x v="166"/>
    <x v="153"/>
    <x v="204"/>
    <x v="3"/>
    <x v="7"/>
    <s v="720513"/>
    <s v="9857634940"/>
    <s v="nisha.gupta251@student.college.edu"/>
    <x v="0"/>
    <x v="6"/>
    <x v="6"/>
    <x v="0"/>
    <x v="0"/>
  </r>
  <r>
    <x v="210"/>
    <x v="143"/>
    <x v="2"/>
    <d v="2002-06-02T00:00:00"/>
    <s v="A-"/>
    <x v="72"/>
    <x v="154"/>
    <x v="205"/>
    <x v="7"/>
    <x v="2"/>
    <s v="645404"/>
    <s v="9035304624"/>
    <s v="surya.mukherjee831@gmail.com"/>
    <x v="0"/>
    <x v="0"/>
    <x v="0"/>
    <x v="0"/>
    <x v="0"/>
  </r>
  <r>
    <x v="211"/>
    <x v="147"/>
    <x v="0"/>
    <d v="2006-02-15T00:00:00"/>
    <s v="B-"/>
    <x v="167"/>
    <x v="155"/>
    <x v="206"/>
    <x v="0"/>
    <x v="1"/>
    <s v="258697"/>
    <s v="9552554308"/>
    <s v="meera.reddy517@gmail.com"/>
    <x v="0"/>
    <x v="3"/>
    <x v="3"/>
    <x v="0"/>
    <x v="0"/>
  </r>
  <r>
    <x v="212"/>
    <x v="149"/>
    <x v="0"/>
    <d v="2006-01-03T00:00:00"/>
    <s v="O-"/>
    <x v="47"/>
    <x v="156"/>
    <x v="86"/>
    <x v="9"/>
    <x v="5"/>
    <s v="529749"/>
    <s v="9567456531"/>
    <s v="meera.patel155@gmail.com"/>
    <x v="1"/>
    <x v="1"/>
    <x v="1"/>
    <x v="1"/>
    <x v="1"/>
  </r>
  <r>
    <x v="213"/>
    <x v="94"/>
    <x v="1"/>
    <d v="2001-04-13T00:00:00"/>
    <s v="O+"/>
    <x v="13"/>
    <x v="4"/>
    <x v="207"/>
    <x v="0"/>
    <x v="4"/>
    <s v="411284"/>
    <s v="9546011286"/>
    <s v="ananya.verma181@student.college.edu"/>
    <x v="1"/>
    <x v="2"/>
    <x v="2"/>
    <x v="1"/>
    <x v="1"/>
  </r>
  <r>
    <x v="214"/>
    <x v="58"/>
    <x v="0"/>
    <d v="2005-09-30T00:00:00"/>
    <s v="O-"/>
    <x v="122"/>
    <x v="157"/>
    <x v="208"/>
    <x v="1"/>
    <x v="6"/>
    <s v="971179"/>
    <s v="9589928218"/>
    <s v="vihaan.verma338@gmail.com"/>
    <x v="3"/>
    <x v="1"/>
    <x v="1"/>
    <x v="2"/>
    <x v="2"/>
  </r>
  <r>
    <x v="215"/>
    <x v="150"/>
    <x v="2"/>
    <d v="2000-12-18T00:00:00"/>
    <s v="O+"/>
    <x v="46"/>
    <x v="89"/>
    <x v="209"/>
    <x v="4"/>
    <x v="7"/>
    <s v="615422"/>
    <s v="9714336907"/>
    <s v="ishaan.gupta819@student.college.edu"/>
    <x v="3"/>
    <x v="5"/>
    <x v="5"/>
    <x v="2"/>
    <x v="2"/>
  </r>
  <r>
    <x v="216"/>
    <x v="151"/>
    <x v="0"/>
    <d v="2006-03-02T00:00:00"/>
    <s v="O-"/>
    <x v="78"/>
    <x v="100"/>
    <x v="210"/>
    <x v="4"/>
    <x v="6"/>
    <s v="099939"/>
    <s v="9728143867"/>
    <s v="nisha.patel281@student.college.edu"/>
    <x v="1"/>
    <x v="7"/>
    <x v="7"/>
    <x v="1"/>
    <x v="1"/>
  </r>
  <r>
    <x v="217"/>
    <x v="152"/>
    <x v="0"/>
    <d v="2007-01-17T00:00:00"/>
    <s v="AB+"/>
    <x v="163"/>
    <x v="24"/>
    <x v="211"/>
    <x v="9"/>
    <x v="0"/>
    <s v="368740"/>
    <s v="9066714630"/>
    <s v="aditi.patel162@student.college.edu"/>
    <x v="3"/>
    <x v="1"/>
    <x v="1"/>
    <x v="2"/>
    <x v="2"/>
  </r>
  <r>
    <x v="218"/>
    <x v="105"/>
    <x v="0"/>
    <d v="2004-05-13T00:00:00"/>
    <s v="AB+"/>
    <x v="44"/>
    <x v="158"/>
    <x v="85"/>
    <x v="0"/>
    <x v="4"/>
    <s v="033385"/>
    <s v="9005620428"/>
    <s v="pooja.iyer51@gmail.com"/>
    <x v="1"/>
    <x v="5"/>
    <x v="5"/>
    <x v="1"/>
    <x v="1"/>
  </r>
  <r>
    <x v="219"/>
    <x v="153"/>
    <x v="0"/>
    <d v="2000-11-27T00:00:00"/>
    <s v="B+"/>
    <x v="168"/>
    <x v="135"/>
    <x v="131"/>
    <x v="4"/>
    <x v="2"/>
    <s v="171872"/>
    <s v="9418692644"/>
    <s v="arjun.verma150@student.college.edu"/>
    <x v="0"/>
    <x v="3"/>
    <x v="3"/>
    <x v="0"/>
    <x v="0"/>
  </r>
  <r>
    <x v="220"/>
    <x v="106"/>
    <x v="2"/>
    <d v="2003-02-23T00:00:00"/>
    <s v="A+"/>
    <x v="169"/>
    <x v="9"/>
    <x v="212"/>
    <x v="4"/>
    <x v="5"/>
    <s v="893234"/>
    <s v="9505094366"/>
    <s v="kavya.kumar822@student.college.edu"/>
    <x v="0"/>
    <x v="1"/>
    <x v="1"/>
    <x v="0"/>
    <x v="0"/>
  </r>
  <r>
    <x v="221"/>
    <x v="39"/>
    <x v="1"/>
    <d v="2003-02-28T00:00:00"/>
    <s v="AB+"/>
    <x v="170"/>
    <x v="34"/>
    <x v="116"/>
    <x v="8"/>
    <x v="2"/>
    <s v="981351"/>
    <s v="9101887928"/>
    <s v="rahul.patel628@gmail.com"/>
    <x v="0"/>
    <x v="1"/>
    <x v="1"/>
    <x v="0"/>
    <x v="0"/>
  </r>
  <r>
    <x v="222"/>
    <x v="154"/>
    <x v="0"/>
    <d v="2007-04-07T00:00:00"/>
    <s v="A+"/>
    <x v="60"/>
    <x v="159"/>
    <x v="213"/>
    <x v="7"/>
    <x v="4"/>
    <s v="120274"/>
    <s v="9990374488"/>
    <s v="amrita.gupta127@gmail.com"/>
    <x v="3"/>
    <x v="5"/>
    <x v="5"/>
    <x v="2"/>
    <x v="2"/>
  </r>
  <r>
    <x v="223"/>
    <x v="13"/>
    <x v="1"/>
    <d v="2004-09-14T00:00:00"/>
    <s v="O-"/>
    <x v="171"/>
    <x v="160"/>
    <x v="214"/>
    <x v="3"/>
    <x v="1"/>
    <s v="554076"/>
    <s v="9806635981"/>
    <s v="sai.gupta84@gmail.com"/>
    <x v="1"/>
    <x v="7"/>
    <x v="7"/>
    <x v="1"/>
    <x v="1"/>
  </r>
  <r>
    <x v="224"/>
    <x v="62"/>
    <x v="1"/>
    <d v="2006-05-19T00:00:00"/>
    <s v="B+"/>
    <x v="172"/>
    <x v="161"/>
    <x v="215"/>
    <x v="2"/>
    <x v="5"/>
    <s v="206300"/>
    <s v="9933198081"/>
    <s v="harsha.nair799@gmail.com"/>
    <x v="3"/>
    <x v="6"/>
    <x v="6"/>
    <x v="2"/>
    <x v="2"/>
  </r>
  <r>
    <x v="225"/>
    <x v="15"/>
    <x v="0"/>
    <d v="2007-04-03T00:00:00"/>
    <s v="B-"/>
    <x v="27"/>
    <x v="100"/>
    <x v="216"/>
    <x v="2"/>
    <x v="0"/>
    <s v="854845"/>
    <s v="9478644034"/>
    <s v="rahul.kumar230@student.college.edu"/>
    <x v="2"/>
    <x v="5"/>
    <x v="5"/>
    <x v="2"/>
    <x v="2"/>
  </r>
  <r>
    <x v="226"/>
    <x v="127"/>
    <x v="2"/>
    <d v="2007-12-28T00:00:00"/>
    <s v="O-"/>
    <x v="58"/>
    <x v="162"/>
    <x v="60"/>
    <x v="5"/>
    <x v="6"/>
    <s v="200014"/>
    <s v="9065220516"/>
    <s v="riya.patel184@student.college.edu"/>
    <x v="1"/>
    <x v="2"/>
    <x v="2"/>
    <x v="1"/>
    <x v="1"/>
  </r>
  <r>
    <x v="227"/>
    <x v="16"/>
    <x v="1"/>
    <d v="2002-05-04T00:00:00"/>
    <s v="B+"/>
    <x v="20"/>
    <x v="163"/>
    <x v="217"/>
    <x v="3"/>
    <x v="3"/>
    <s v="398209"/>
    <s v="9264030644"/>
    <s v="aditya.patel674@gmail.com"/>
    <x v="0"/>
    <x v="1"/>
    <x v="1"/>
    <x v="0"/>
    <x v="0"/>
  </r>
  <r>
    <x v="228"/>
    <x v="155"/>
    <x v="2"/>
    <d v="2000-05-27T00:00:00"/>
    <s v="O-"/>
    <x v="145"/>
    <x v="164"/>
    <x v="218"/>
    <x v="5"/>
    <x v="1"/>
    <s v="266467"/>
    <s v="9134401179"/>
    <s v="pooja.nair483@student.college.edu"/>
    <x v="1"/>
    <x v="3"/>
    <x v="3"/>
    <x v="1"/>
    <x v="1"/>
  </r>
  <r>
    <x v="229"/>
    <x v="156"/>
    <x v="1"/>
    <d v="2003-05-24T00:00:00"/>
    <s v="O+"/>
    <x v="173"/>
    <x v="165"/>
    <x v="219"/>
    <x v="6"/>
    <x v="2"/>
    <s v="755244"/>
    <s v="9566847543"/>
    <s v="ishaan.nair66@gmail.com"/>
    <x v="1"/>
    <x v="7"/>
    <x v="7"/>
    <x v="1"/>
    <x v="1"/>
  </r>
  <r>
    <x v="230"/>
    <x v="75"/>
    <x v="1"/>
    <d v="2006-03-31T00:00:00"/>
    <s v="O-"/>
    <x v="157"/>
    <x v="59"/>
    <x v="220"/>
    <x v="0"/>
    <x v="4"/>
    <s v="445569"/>
    <s v="9874873496"/>
    <s v="kabir.kumar369@gmail.com"/>
    <x v="3"/>
    <x v="3"/>
    <x v="3"/>
    <x v="2"/>
    <x v="2"/>
  </r>
  <r>
    <x v="231"/>
    <x v="80"/>
    <x v="1"/>
    <d v="1999-12-20T00:00:00"/>
    <s v="A+"/>
    <x v="174"/>
    <x v="162"/>
    <x v="221"/>
    <x v="3"/>
    <x v="2"/>
    <s v="149320"/>
    <s v="9083188004"/>
    <s v="rahul.mukherjee633@student.college.edu"/>
    <x v="3"/>
    <x v="7"/>
    <x v="7"/>
    <x v="2"/>
    <x v="2"/>
  </r>
  <r>
    <x v="232"/>
    <x v="157"/>
    <x v="0"/>
    <d v="2007-08-18T00:00:00"/>
    <s v="O-"/>
    <x v="175"/>
    <x v="152"/>
    <x v="222"/>
    <x v="7"/>
    <x v="2"/>
    <s v="797976"/>
    <s v="9815511237"/>
    <s v="kunal.iyer726@gmail.com"/>
    <x v="1"/>
    <x v="6"/>
    <x v="6"/>
    <x v="1"/>
    <x v="1"/>
  </r>
  <r>
    <x v="233"/>
    <x v="57"/>
    <x v="0"/>
    <d v="2002-10-02T00:00:00"/>
    <s v="O-"/>
    <x v="176"/>
    <x v="166"/>
    <x v="223"/>
    <x v="7"/>
    <x v="4"/>
    <s v="842127"/>
    <s v="9462757149"/>
    <s v="arjun.banerjee920@gmail.com"/>
    <x v="0"/>
    <x v="2"/>
    <x v="2"/>
    <x v="0"/>
    <x v="0"/>
  </r>
  <r>
    <x v="234"/>
    <x v="158"/>
    <x v="2"/>
    <d v="2007-01-18T00:00:00"/>
    <s v="B+"/>
    <x v="104"/>
    <x v="167"/>
    <x v="224"/>
    <x v="6"/>
    <x v="5"/>
    <s v="430915"/>
    <s v="9997894878"/>
    <s v="riya.gupta739@gmail.com"/>
    <x v="2"/>
    <x v="5"/>
    <x v="5"/>
    <x v="2"/>
    <x v="2"/>
  </r>
  <r>
    <x v="235"/>
    <x v="159"/>
    <x v="1"/>
    <d v="2000-08-24T00:00:00"/>
    <s v="A-"/>
    <x v="177"/>
    <x v="138"/>
    <x v="225"/>
    <x v="2"/>
    <x v="6"/>
    <s v="780537"/>
    <s v="9855253360"/>
    <s v="amrita.das912@gmail.com"/>
    <x v="0"/>
    <x v="1"/>
    <x v="1"/>
    <x v="0"/>
    <x v="0"/>
  </r>
  <r>
    <x v="236"/>
    <x v="130"/>
    <x v="1"/>
    <d v="1999-09-03T00:00:00"/>
    <s v="O+"/>
    <x v="88"/>
    <x v="86"/>
    <x v="226"/>
    <x v="1"/>
    <x v="1"/>
    <s v="794503"/>
    <s v="9275796822"/>
    <s v="priya.verma683@student.college.edu"/>
    <x v="1"/>
    <x v="3"/>
    <x v="3"/>
    <x v="1"/>
    <x v="1"/>
  </r>
  <r>
    <x v="237"/>
    <x v="160"/>
    <x v="1"/>
    <d v="2005-07-13T00:00:00"/>
    <s v="O-"/>
    <x v="124"/>
    <x v="35"/>
    <x v="227"/>
    <x v="6"/>
    <x v="0"/>
    <s v="041206"/>
    <s v="9457856969"/>
    <s v="kabir.iyer750@gmail.com"/>
    <x v="3"/>
    <x v="4"/>
    <x v="4"/>
    <x v="2"/>
    <x v="2"/>
  </r>
  <r>
    <x v="238"/>
    <x v="161"/>
    <x v="0"/>
    <d v="2006-12-22T00:00:00"/>
    <s v="A-"/>
    <x v="178"/>
    <x v="168"/>
    <x v="228"/>
    <x v="5"/>
    <x v="2"/>
    <s v="479396"/>
    <s v="9415013934"/>
    <s v="priya.gupta811@student.college.edu"/>
    <x v="1"/>
    <x v="2"/>
    <x v="2"/>
    <x v="1"/>
    <x v="1"/>
  </r>
  <r>
    <x v="239"/>
    <x v="162"/>
    <x v="0"/>
    <d v="2001-06-02T00:00:00"/>
    <s v="B-"/>
    <x v="38"/>
    <x v="169"/>
    <x v="229"/>
    <x v="1"/>
    <x v="1"/>
    <s v="455974"/>
    <s v="9767544483"/>
    <s v="surya.nair820@gmail.com"/>
    <x v="3"/>
    <x v="1"/>
    <x v="1"/>
    <x v="2"/>
    <x v="2"/>
  </r>
  <r>
    <x v="240"/>
    <x v="163"/>
    <x v="2"/>
    <d v="2006-07-09T00:00:00"/>
    <s v="A+"/>
    <x v="179"/>
    <x v="170"/>
    <x v="230"/>
    <x v="8"/>
    <x v="1"/>
    <s v="577515"/>
    <s v="9165051481"/>
    <s v="ananya.das959@student.college.edu"/>
    <x v="0"/>
    <x v="3"/>
    <x v="3"/>
    <x v="0"/>
    <x v="0"/>
  </r>
  <r>
    <x v="241"/>
    <x v="164"/>
    <x v="1"/>
    <d v="2003-12-25T00:00:00"/>
    <s v="A-"/>
    <x v="28"/>
    <x v="171"/>
    <x v="231"/>
    <x v="4"/>
    <x v="1"/>
    <s v="310530"/>
    <s v="9952171960"/>
    <s v="rohan.mukherjee985@gmail.com"/>
    <x v="2"/>
    <x v="2"/>
    <x v="2"/>
    <x v="2"/>
    <x v="2"/>
  </r>
  <r>
    <x v="242"/>
    <x v="39"/>
    <x v="2"/>
    <d v="2002-08-03T00:00:00"/>
    <s v="A-"/>
    <x v="180"/>
    <x v="172"/>
    <x v="232"/>
    <x v="1"/>
    <x v="1"/>
    <s v="275473"/>
    <s v="9104444282"/>
    <s v="rahul.patel987@student.college.edu"/>
    <x v="3"/>
    <x v="5"/>
    <x v="5"/>
    <x v="2"/>
    <x v="2"/>
  </r>
  <r>
    <x v="243"/>
    <x v="11"/>
    <x v="0"/>
    <d v="1999-12-10T00:00:00"/>
    <s v="O-"/>
    <x v="92"/>
    <x v="21"/>
    <x v="233"/>
    <x v="2"/>
    <x v="5"/>
    <s v="754940"/>
    <s v="9482909458"/>
    <s v="shreya.patel390@gmail.com"/>
    <x v="3"/>
    <x v="5"/>
    <x v="5"/>
    <x v="2"/>
    <x v="2"/>
  </r>
  <r>
    <x v="244"/>
    <x v="165"/>
    <x v="1"/>
    <d v="2004-12-27T00:00:00"/>
    <s v="O+"/>
    <x v="168"/>
    <x v="173"/>
    <x v="234"/>
    <x v="8"/>
    <x v="3"/>
    <s v="825889"/>
    <s v="9697263293"/>
    <s v="vihaan.gupta936@student.college.edu"/>
    <x v="2"/>
    <x v="7"/>
    <x v="7"/>
    <x v="2"/>
    <x v="2"/>
  </r>
  <r>
    <x v="245"/>
    <x v="166"/>
    <x v="1"/>
    <d v="2000-12-11T00:00:00"/>
    <s v="A-"/>
    <x v="90"/>
    <x v="174"/>
    <x v="235"/>
    <x v="6"/>
    <x v="0"/>
    <s v="760086"/>
    <s v="9638831760"/>
    <s v="aarav.sharma474@gmail.com"/>
    <x v="1"/>
    <x v="2"/>
    <x v="2"/>
    <x v="1"/>
    <x v="1"/>
  </r>
  <r>
    <x v="246"/>
    <x v="164"/>
    <x v="2"/>
    <d v="2007-07-04T00:00:00"/>
    <s v="A+"/>
    <x v="181"/>
    <x v="175"/>
    <x v="236"/>
    <x v="1"/>
    <x v="3"/>
    <s v="829904"/>
    <s v="9760961251"/>
    <s v="rohan.mukherjee199@student.college.edu"/>
    <x v="3"/>
    <x v="6"/>
    <x v="6"/>
    <x v="2"/>
    <x v="2"/>
  </r>
  <r>
    <x v="247"/>
    <x v="60"/>
    <x v="1"/>
    <d v="2001-07-22T00:00:00"/>
    <s v="A+"/>
    <x v="182"/>
    <x v="170"/>
    <x v="237"/>
    <x v="9"/>
    <x v="3"/>
    <s v="680466"/>
    <s v="9838415450"/>
    <s v="arjun.nair739@student.college.edu"/>
    <x v="0"/>
    <x v="1"/>
    <x v="1"/>
    <x v="0"/>
    <x v="0"/>
  </r>
  <r>
    <x v="248"/>
    <x v="77"/>
    <x v="0"/>
    <d v="1999-01-22T00:00:00"/>
    <s v="O-"/>
    <x v="48"/>
    <x v="124"/>
    <x v="238"/>
    <x v="5"/>
    <x v="6"/>
    <s v="991306"/>
    <s v="9040798249"/>
    <s v="nisha.kumar853@student.college.edu"/>
    <x v="0"/>
    <x v="3"/>
    <x v="3"/>
    <x v="0"/>
    <x v="0"/>
  </r>
  <r>
    <x v="249"/>
    <x v="167"/>
    <x v="1"/>
    <d v="2003-12-02T00:00:00"/>
    <s v="A-"/>
    <x v="183"/>
    <x v="9"/>
    <x v="239"/>
    <x v="1"/>
    <x v="1"/>
    <s v="938670"/>
    <s v="9806410084"/>
    <s v="aditya.rao633@gmail.com"/>
    <x v="2"/>
    <x v="7"/>
    <x v="7"/>
    <x v="2"/>
    <x v="2"/>
  </r>
  <r>
    <x v="250"/>
    <x v="168"/>
    <x v="0"/>
    <d v="2005-12-15T00:00:00"/>
    <s v="AB+"/>
    <x v="184"/>
    <x v="176"/>
    <x v="240"/>
    <x v="4"/>
    <x v="7"/>
    <s v="510758"/>
    <s v="9915346110"/>
    <s v="ira.kumar131@gmail.com"/>
    <x v="1"/>
    <x v="0"/>
    <x v="0"/>
    <x v="1"/>
    <x v="1"/>
  </r>
  <r>
    <x v="251"/>
    <x v="169"/>
    <x v="1"/>
    <d v="2007-09-12T00:00:00"/>
    <s v="AB+"/>
    <x v="84"/>
    <x v="177"/>
    <x v="241"/>
    <x v="0"/>
    <x v="7"/>
    <s v="956128"/>
    <s v="9503962014"/>
    <s v="rahul.rao709@gmail.com"/>
    <x v="0"/>
    <x v="0"/>
    <x v="0"/>
    <x v="0"/>
    <x v="0"/>
  </r>
  <r>
    <x v="252"/>
    <x v="170"/>
    <x v="0"/>
    <d v="2002-09-08T00:00:00"/>
    <s v="O+"/>
    <x v="185"/>
    <x v="178"/>
    <x v="242"/>
    <x v="7"/>
    <x v="4"/>
    <s v="642478"/>
    <s v="9834800351"/>
    <s v="kavya.nair451@student.college.edu"/>
    <x v="0"/>
    <x v="2"/>
    <x v="2"/>
    <x v="0"/>
    <x v="0"/>
  </r>
  <r>
    <x v="253"/>
    <x v="171"/>
    <x v="2"/>
    <d v="2002-03-09T00:00:00"/>
    <s v="O+"/>
    <x v="186"/>
    <x v="179"/>
    <x v="243"/>
    <x v="2"/>
    <x v="4"/>
    <s v="108906"/>
    <s v="9371932869"/>
    <s v="aarav.reddy819@gmail.com"/>
    <x v="2"/>
    <x v="6"/>
    <x v="6"/>
    <x v="2"/>
    <x v="2"/>
  </r>
  <r>
    <x v="254"/>
    <x v="172"/>
    <x v="2"/>
    <d v="2001-02-24T00:00:00"/>
    <s v="A-"/>
    <x v="187"/>
    <x v="180"/>
    <x v="244"/>
    <x v="5"/>
    <x v="1"/>
    <s v="758212"/>
    <s v="9621554777"/>
    <s v="arjun.gupta630@student.college.edu"/>
    <x v="1"/>
    <x v="0"/>
    <x v="0"/>
    <x v="1"/>
    <x v="1"/>
  </r>
  <r>
    <x v="255"/>
    <x v="8"/>
    <x v="0"/>
    <d v="2001-01-03T00:00:00"/>
    <s v="B+"/>
    <x v="188"/>
    <x v="40"/>
    <x v="245"/>
    <x v="4"/>
    <x v="2"/>
    <s v="249502"/>
    <s v="9283385935"/>
    <s v="saanvi.das138@student.college.edu"/>
    <x v="1"/>
    <x v="0"/>
    <x v="0"/>
    <x v="1"/>
    <x v="1"/>
  </r>
  <r>
    <x v="256"/>
    <x v="173"/>
    <x v="2"/>
    <d v="2004-03-20T00:00:00"/>
    <s v="AB+"/>
    <x v="189"/>
    <x v="0"/>
    <x v="246"/>
    <x v="6"/>
    <x v="6"/>
    <s v="342042"/>
    <s v="9092550221"/>
    <s v="rohan.rao369@student.college.edu"/>
    <x v="3"/>
    <x v="0"/>
    <x v="0"/>
    <x v="2"/>
    <x v="2"/>
  </r>
  <r>
    <x v="257"/>
    <x v="174"/>
    <x v="0"/>
    <d v="2001-10-21T00:00:00"/>
    <s v="A-"/>
    <x v="190"/>
    <x v="87"/>
    <x v="247"/>
    <x v="5"/>
    <x v="5"/>
    <s v="977902"/>
    <s v="9874456457"/>
    <s v="ishaan.banerjee153@gmail.com"/>
    <x v="3"/>
    <x v="3"/>
    <x v="3"/>
    <x v="2"/>
    <x v="2"/>
  </r>
  <r>
    <x v="258"/>
    <x v="41"/>
    <x v="1"/>
    <d v="2005-08-01T00:00:00"/>
    <s v="O+"/>
    <x v="104"/>
    <x v="125"/>
    <x v="248"/>
    <x v="2"/>
    <x v="0"/>
    <s v="317624"/>
    <s v="9535190883"/>
    <s v="saanvi.reddy430@gmail.com"/>
    <x v="1"/>
    <x v="5"/>
    <x v="5"/>
    <x v="1"/>
    <x v="1"/>
  </r>
  <r>
    <x v="259"/>
    <x v="175"/>
    <x v="2"/>
    <d v="2005-05-13T00:00:00"/>
    <s v="A+"/>
    <x v="111"/>
    <x v="181"/>
    <x v="249"/>
    <x v="3"/>
    <x v="6"/>
    <s v="923511"/>
    <s v="9548015064"/>
    <s v="ananya.rao192@student.college.edu"/>
    <x v="1"/>
    <x v="5"/>
    <x v="5"/>
    <x v="1"/>
    <x v="1"/>
  </r>
  <r>
    <x v="260"/>
    <x v="81"/>
    <x v="0"/>
    <d v="2006-05-25T00:00:00"/>
    <s v="AB+"/>
    <x v="126"/>
    <x v="178"/>
    <x v="250"/>
    <x v="8"/>
    <x v="7"/>
    <s v="841154"/>
    <s v="9098124746"/>
    <s v="ishaan.reddy962@gmail.com"/>
    <x v="3"/>
    <x v="7"/>
    <x v="7"/>
    <x v="2"/>
    <x v="2"/>
  </r>
  <r>
    <x v="261"/>
    <x v="40"/>
    <x v="2"/>
    <d v="2000-08-07T00:00:00"/>
    <s v="B-"/>
    <x v="191"/>
    <x v="182"/>
    <x v="251"/>
    <x v="9"/>
    <x v="7"/>
    <s v="984572"/>
    <s v="9847726812"/>
    <s v="kunal.reddy922@gmail.com"/>
    <x v="1"/>
    <x v="4"/>
    <x v="4"/>
    <x v="1"/>
    <x v="1"/>
  </r>
  <r>
    <x v="262"/>
    <x v="56"/>
    <x v="2"/>
    <d v="2003-05-31T00:00:00"/>
    <s v="B+"/>
    <x v="192"/>
    <x v="65"/>
    <x v="252"/>
    <x v="1"/>
    <x v="4"/>
    <s v="947137"/>
    <s v="9574120066"/>
    <s v="varun.rao473@gmail.com"/>
    <x v="1"/>
    <x v="3"/>
    <x v="3"/>
    <x v="1"/>
    <x v="1"/>
  </r>
  <r>
    <x v="263"/>
    <x v="176"/>
    <x v="2"/>
    <d v="2001-10-23T00:00:00"/>
    <s v="A-"/>
    <x v="193"/>
    <x v="181"/>
    <x v="253"/>
    <x v="4"/>
    <x v="2"/>
    <s v="052918"/>
    <s v="9810125307"/>
    <s v="ira.sharma694@gmail.com"/>
    <x v="1"/>
    <x v="0"/>
    <x v="0"/>
    <x v="1"/>
    <x v="1"/>
  </r>
  <r>
    <x v="264"/>
    <x v="85"/>
    <x v="1"/>
    <d v="1999-05-22T00:00:00"/>
    <s v="O-"/>
    <x v="194"/>
    <x v="183"/>
    <x v="254"/>
    <x v="9"/>
    <x v="0"/>
    <s v="330077"/>
    <s v="9932049316"/>
    <s v="sai.reddy226@student.college.edu"/>
    <x v="3"/>
    <x v="4"/>
    <x v="4"/>
    <x v="2"/>
    <x v="2"/>
  </r>
  <r>
    <x v="265"/>
    <x v="43"/>
    <x v="1"/>
    <d v="2000-03-17T00:00:00"/>
    <s v="B-"/>
    <x v="88"/>
    <x v="94"/>
    <x v="255"/>
    <x v="3"/>
    <x v="4"/>
    <s v="934213"/>
    <s v="9060226260"/>
    <s v="vihaan.patel907@student.college.edu"/>
    <x v="0"/>
    <x v="7"/>
    <x v="7"/>
    <x v="0"/>
    <x v="0"/>
  </r>
  <r>
    <x v="266"/>
    <x v="177"/>
    <x v="1"/>
    <d v="2007-11-16T00:00:00"/>
    <s v="AB+"/>
    <x v="195"/>
    <x v="7"/>
    <x v="256"/>
    <x v="3"/>
    <x v="7"/>
    <s v="966963"/>
    <s v="9683843653"/>
    <s v="kabir.mukherjee656@student.college.edu"/>
    <x v="2"/>
    <x v="3"/>
    <x v="3"/>
    <x v="2"/>
    <x v="2"/>
  </r>
  <r>
    <x v="267"/>
    <x v="178"/>
    <x v="2"/>
    <d v="2002-06-19T00:00:00"/>
    <s v="O-"/>
    <x v="196"/>
    <x v="184"/>
    <x v="257"/>
    <x v="7"/>
    <x v="5"/>
    <s v="321209"/>
    <s v="9597326759"/>
    <s v="aarav.rao664@gmail.com"/>
    <x v="2"/>
    <x v="3"/>
    <x v="3"/>
    <x v="2"/>
    <x v="2"/>
  </r>
  <r>
    <x v="268"/>
    <x v="179"/>
    <x v="0"/>
    <d v="2002-11-04T00:00:00"/>
    <s v="B+"/>
    <x v="197"/>
    <x v="114"/>
    <x v="258"/>
    <x v="5"/>
    <x v="6"/>
    <s v="516049"/>
    <s v="9099115725"/>
    <s v="leela.mukherjee437@gmail.com"/>
    <x v="3"/>
    <x v="3"/>
    <x v="3"/>
    <x v="2"/>
    <x v="2"/>
  </r>
  <r>
    <x v="269"/>
    <x v="14"/>
    <x v="2"/>
    <d v="2005-10-17T00:00:00"/>
    <s v="AB+"/>
    <x v="198"/>
    <x v="126"/>
    <x v="259"/>
    <x v="0"/>
    <x v="2"/>
    <s v="093145"/>
    <s v="9778703879"/>
    <s v="rohan.patel610@student.college.edu"/>
    <x v="3"/>
    <x v="5"/>
    <x v="5"/>
    <x v="2"/>
    <x v="2"/>
  </r>
  <r>
    <x v="270"/>
    <x v="168"/>
    <x v="0"/>
    <d v="2004-02-01T00:00:00"/>
    <s v="A+"/>
    <x v="143"/>
    <x v="185"/>
    <x v="129"/>
    <x v="2"/>
    <x v="5"/>
    <s v="719087"/>
    <s v="9344373390"/>
    <s v="ira.kumar907@student.college.edu"/>
    <x v="1"/>
    <x v="4"/>
    <x v="4"/>
    <x v="1"/>
    <x v="1"/>
  </r>
  <r>
    <x v="271"/>
    <x v="101"/>
    <x v="0"/>
    <d v="2007-08-26T00:00:00"/>
    <s v="A+"/>
    <x v="76"/>
    <x v="40"/>
    <x v="260"/>
    <x v="2"/>
    <x v="1"/>
    <s v="697208"/>
    <s v="9666624626"/>
    <s v="ishaan.patel975@student.college.edu"/>
    <x v="2"/>
    <x v="6"/>
    <x v="6"/>
    <x v="2"/>
    <x v="2"/>
  </r>
  <r>
    <x v="272"/>
    <x v="180"/>
    <x v="0"/>
    <d v="2003-06-17T00:00:00"/>
    <s v="O+"/>
    <x v="113"/>
    <x v="186"/>
    <x v="261"/>
    <x v="6"/>
    <x v="5"/>
    <s v="823963"/>
    <s v="9348706731"/>
    <s v="harsha.mukherjee767@student.college.edu"/>
    <x v="1"/>
    <x v="5"/>
    <x v="5"/>
    <x v="1"/>
    <x v="1"/>
  </r>
  <r>
    <x v="273"/>
    <x v="181"/>
    <x v="0"/>
    <d v="1999-01-07T00:00:00"/>
    <s v="O-"/>
    <x v="199"/>
    <x v="151"/>
    <x v="262"/>
    <x v="0"/>
    <x v="6"/>
    <s v="137119"/>
    <s v="9481017294"/>
    <s v="aarav.gupta642@student.college.edu"/>
    <x v="3"/>
    <x v="6"/>
    <x v="6"/>
    <x v="2"/>
    <x v="2"/>
  </r>
  <r>
    <x v="274"/>
    <x v="30"/>
    <x v="0"/>
    <d v="2000-05-25T00:00:00"/>
    <s v="B+"/>
    <x v="200"/>
    <x v="187"/>
    <x v="214"/>
    <x v="4"/>
    <x v="2"/>
    <s v="610705"/>
    <s v="9905069794"/>
    <s v="rahul.verma346@gmail.com"/>
    <x v="0"/>
    <x v="0"/>
    <x v="0"/>
    <x v="0"/>
    <x v="0"/>
  </r>
  <r>
    <x v="275"/>
    <x v="49"/>
    <x v="0"/>
    <d v="2006-06-17T00:00:00"/>
    <s v="A+"/>
    <x v="201"/>
    <x v="188"/>
    <x v="263"/>
    <x v="2"/>
    <x v="0"/>
    <s v="084890"/>
    <s v="9159724685"/>
    <s v="ananya.reddy677@student.college.edu"/>
    <x v="0"/>
    <x v="2"/>
    <x v="2"/>
    <x v="0"/>
    <x v="0"/>
  </r>
  <r>
    <x v="276"/>
    <x v="144"/>
    <x v="2"/>
    <d v="2007-04-02T00:00:00"/>
    <s v="B+"/>
    <x v="12"/>
    <x v="189"/>
    <x v="264"/>
    <x v="6"/>
    <x v="0"/>
    <s v="399466"/>
    <s v="9136788770"/>
    <s v="harsha.iyer510@student.college.edu"/>
    <x v="1"/>
    <x v="4"/>
    <x v="4"/>
    <x v="1"/>
    <x v="1"/>
  </r>
  <r>
    <x v="277"/>
    <x v="182"/>
    <x v="2"/>
    <d v="2004-05-28T00:00:00"/>
    <s v="O-"/>
    <x v="152"/>
    <x v="190"/>
    <x v="265"/>
    <x v="1"/>
    <x v="0"/>
    <s v="471997"/>
    <s v="9224811570"/>
    <s v="amrita.kumar709@gmail.com"/>
    <x v="3"/>
    <x v="6"/>
    <x v="6"/>
    <x v="2"/>
    <x v="2"/>
  </r>
  <r>
    <x v="278"/>
    <x v="144"/>
    <x v="0"/>
    <d v="2007-01-17T00:00:00"/>
    <s v="B+"/>
    <x v="202"/>
    <x v="191"/>
    <x v="266"/>
    <x v="5"/>
    <x v="4"/>
    <s v="221351"/>
    <s v="9951337351"/>
    <s v="harsha.iyer398@gmail.com"/>
    <x v="0"/>
    <x v="4"/>
    <x v="4"/>
    <x v="0"/>
    <x v="0"/>
  </r>
  <r>
    <x v="279"/>
    <x v="183"/>
    <x v="1"/>
    <d v="2005-08-16T00:00:00"/>
    <s v="O+"/>
    <x v="203"/>
    <x v="192"/>
    <x v="267"/>
    <x v="2"/>
    <x v="5"/>
    <s v="822612"/>
    <s v="9788035628"/>
    <s v="priya.banerjee588@gmail.com"/>
    <x v="3"/>
    <x v="7"/>
    <x v="7"/>
    <x v="2"/>
    <x v="2"/>
  </r>
  <r>
    <x v="280"/>
    <x v="80"/>
    <x v="0"/>
    <d v="1999-08-29T00:00:00"/>
    <s v="O+"/>
    <x v="204"/>
    <x v="193"/>
    <x v="268"/>
    <x v="7"/>
    <x v="5"/>
    <s v="872891"/>
    <s v="9034433072"/>
    <s v="rahul.mukherjee946@student.college.edu"/>
    <x v="1"/>
    <x v="6"/>
    <x v="6"/>
    <x v="1"/>
    <x v="1"/>
  </r>
  <r>
    <x v="281"/>
    <x v="184"/>
    <x v="1"/>
    <d v="1999-08-10T00:00:00"/>
    <s v="A+"/>
    <x v="44"/>
    <x v="112"/>
    <x v="269"/>
    <x v="3"/>
    <x v="5"/>
    <s v="448281"/>
    <s v="9638178396"/>
    <s v="arjun.iyer173@student.college.edu"/>
    <x v="0"/>
    <x v="7"/>
    <x v="7"/>
    <x v="0"/>
    <x v="0"/>
  </r>
  <r>
    <x v="282"/>
    <x v="148"/>
    <x v="2"/>
    <d v="2004-10-12T00:00:00"/>
    <s v="A+"/>
    <x v="135"/>
    <x v="194"/>
    <x v="270"/>
    <x v="6"/>
    <x v="4"/>
    <s v="024696"/>
    <s v="9367678626"/>
    <s v="sai.sharma377@student.college.edu"/>
    <x v="2"/>
    <x v="6"/>
    <x v="6"/>
    <x v="2"/>
    <x v="2"/>
  </r>
  <r>
    <x v="283"/>
    <x v="75"/>
    <x v="1"/>
    <d v="2006-07-02T00:00:00"/>
    <s v="A+"/>
    <x v="205"/>
    <x v="195"/>
    <x v="271"/>
    <x v="0"/>
    <x v="0"/>
    <s v="714645"/>
    <s v="9009718055"/>
    <s v="kabir.kumar832@gmail.com"/>
    <x v="2"/>
    <x v="3"/>
    <x v="3"/>
    <x v="2"/>
    <x v="2"/>
  </r>
  <r>
    <x v="284"/>
    <x v="185"/>
    <x v="2"/>
    <d v="2005-09-19T00:00:00"/>
    <s v="O+"/>
    <x v="56"/>
    <x v="92"/>
    <x v="272"/>
    <x v="1"/>
    <x v="1"/>
    <s v="121580"/>
    <s v="9953549039"/>
    <s v="tanvi.verma532@gmail.com"/>
    <x v="1"/>
    <x v="4"/>
    <x v="4"/>
    <x v="1"/>
    <x v="1"/>
  </r>
  <r>
    <x v="285"/>
    <x v="186"/>
    <x v="1"/>
    <d v="2002-07-05T00:00:00"/>
    <s v="O+"/>
    <x v="81"/>
    <x v="196"/>
    <x v="66"/>
    <x v="1"/>
    <x v="1"/>
    <s v="212896"/>
    <s v="9231602394"/>
    <s v="shreya.kumar86@gmail.com"/>
    <x v="1"/>
    <x v="4"/>
    <x v="4"/>
    <x v="1"/>
    <x v="1"/>
  </r>
  <r>
    <x v="286"/>
    <x v="187"/>
    <x v="2"/>
    <d v="2006-01-22T00:00:00"/>
    <s v="B+"/>
    <x v="206"/>
    <x v="197"/>
    <x v="273"/>
    <x v="2"/>
    <x v="5"/>
    <s v="419406"/>
    <s v="9011506332"/>
    <s v="nisha.reddy890@student.college.edu"/>
    <x v="2"/>
    <x v="6"/>
    <x v="6"/>
    <x v="2"/>
    <x v="2"/>
  </r>
  <r>
    <x v="287"/>
    <x v="188"/>
    <x v="0"/>
    <d v="2000-03-06T00:00:00"/>
    <s v="AB+"/>
    <x v="142"/>
    <x v="198"/>
    <x v="274"/>
    <x v="3"/>
    <x v="2"/>
    <s v="035220"/>
    <s v="9037186758"/>
    <s v="ira.reddy413@gmail.com"/>
    <x v="3"/>
    <x v="5"/>
    <x v="5"/>
    <x v="2"/>
    <x v="2"/>
  </r>
  <r>
    <x v="288"/>
    <x v="189"/>
    <x v="1"/>
    <d v="2006-12-31T00:00:00"/>
    <s v="B-"/>
    <x v="112"/>
    <x v="162"/>
    <x v="275"/>
    <x v="7"/>
    <x v="7"/>
    <s v="726719"/>
    <s v="9752498838"/>
    <s v="aarav.banerjee971@gmail.com"/>
    <x v="0"/>
    <x v="6"/>
    <x v="6"/>
    <x v="0"/>
    <x v="0"/>
  </r>
  <r>
    <x v="289"/>
    <x v="138"/>
    <x v="2"/>
    <d v="2007-03-09T00:00:00"/>
    <s v="A-"/>
    <x v="203"/>
    <x v="8"/>
    <x v="276"/>
    <x v="0"/>
    <x v="2"/>
    <s v="809691"/>
    <s v="9466510180"/>
    <s v="harsha.verma436@gmail.com"/>
    <x v="2"/>
    <x v="7"/>
    <x v="7"/>
    <x v="2"/>
    <x v="2"/>
  </r>
  <r>
    <x v="290"/>
    <x v="190"/>
    <x v="1"/>
    <d v="2001-07-10T00:00:00"/>
    <s v="B-"/>
    <x v="185"/>
    <x v="199"/>
    <x v="277"/>
    <x v="7"/>
    <x v="6"/>
    <s v="419368"/>
    <s v="9882420639"/>
    <s v="sai.banerjee952@student.college.edu"/>
    <x v="1"/>
    <x v="2"/>
    <x v="2"/>
    <x v="1"/>
    <x v="1"/>
  </r>
  <r>
    <x v="291"/>
    <x v="191"/>
    <x v="1"/>
    <d v="2004-02-29T00:00:00"/>
    <s v="A+"/>
    <x v="61"/>
    <x v="20"/>
    <x v="278"/>
    <x v="8"/>
    <x v="6"/>
    <s v="314051"/>
    <s v="9141623241"/>
    <s v="diya.sharma832@gmail.com"/>
    <x v="1"/>
    <x v="7"/>
    <x v="7"/>
    <x v="1"/>
    <x v="1"/>
  </r>
  <r>
    <x v="292"/>
    <x v="13"/>
    <x v="0"/>
    <d v="2007-05-19T00:00:00"/>
    <s v="AB+"/>
    <x v="11"/>
    <x v="200"/>
    <x v="279"/>
    <x v="5"/>
    <x v="3"/>
    <s v="037911"/>
    <s v="9462457737"/>
    <s v="sai.gupta903@gmail.com"/>
    <x v="1"/>
    <x v="4"/>
    <x v="4"/>
    <x v="1"/>
    <x v="1"/>
  </r>
  <r>
    <x v="293"/>
    <x v="36"/>
    <x v="2"/>
    <d v="2000-05-31T00:00:00"/>
    <s v="B-"/>
    <x v="130"/>
    <x v="201"/>
    <x v="280"/>
    <x v="7"/>
    <x v="7"/>
    <s v="450420"/>
    <s v="9467121276"/>
    <s v="kabir.verma440@student.college.edu"/>
    <x v="2"/>
    <x v="4"/>
    <x v="4"/>
    <x v="2"/>
    <x v="2"/>
  </r>
  <r>
    <x v="294"/>
    <x v="134"/>
    <x v="1"/>
    <d v="2006-02-11T00:00:00"/>
    <s v="O+"/>
    <x v="207"/>
    <x v="202"/>
    <x v="231"/>
    <x v="0"/>
    <x v="4"/>
    <s v="946004"/>
    <s v="9362345632"/>
    <s v="ishaan.rao288@gmail.com"/>
    <x v="1"/>
    <x v="3"/>
    <x v="3"/>
    <x v="1"/>
    <x v="1"/>
  </r>
  <r>
    <x v="295"/>
    <x v="192"/>
    <x v="2"/>
    <d v="1999-06-17T00:00:00"/>
    <s v="A-"/>
    <x v="208"/>
    <x v="203"/>
    <x v="281"/>
    <x v="0"/>
    <x v="2"/>
    <s v="264243"/>
    <s v="9166713875"/>
    <s v="ananya.sharma620@gmail.com"/>
    <x v="0"/>
    <x v="3"/>
    <x v="3"/>
    <x v="0"/>
    <x v="0"/>
  </r>
  <r>
    <x v="296"/>
    <x v="11"/>
    <x v="2"/>
    <d v="2000-03-11T00:00:00"/>
    <s v="B+"/>
    <x v="112"/>
    <x v="204"/>
    <x v="282"/>
    <x v="3"/>
    <x v="4"/>
    <s v="140963"/>
    <s v="9475114787"/>
    <s v="shreya.patel867@gmail.com"/>
    <x v="1"/>
    <x v="6"/>
    <x v="6"/>
    <x v="1"/>
    <x v="1"/>
  </r>
  <r>
    <x v="297"/>
    <x v="98"/>
    <x v="2"/>
    <d v="2004-05-31T00:00:00"/>
    <s v="A-"/>
    <x v="90"/>
    <x v="205"/>
    <x v="283"/>
    <x v="8"/>
    <x v="3"/>
    <s v="610576"/>
    <s v="9736891737"/>
    <s v="surya.patel411@gmail.com"/>
    <x v="3"/>
    <x v="2"/>
    <x v="2"/>
    <x v="2"/>
    <x v="2"/>
  </r>
  <r>
    <x v="298"/>
    <x v="1"/>
    <x v="2"/>
    <d v="2005-08-22T00:00:00"/>
    <s v="O+"/>
    <x v="192"/>
    <x v="28"/>
    <x v="166"/>
    <x v="0"/>
    <x v="4"/>
    <s v="221252"/>
    <s v="9692180992"/>
    <s v="sai.rao119@student.college.edu"/>
    <x v="0"/>
    <x v="0"/>
    <x v="0"/>
    <x v="0"/>
    <x v="0"/>
  </r>
  <r>
    <x v="299"/>
    <x v="94"/>
    <x v="1"/>
    <d v="2005-02-27T00:00:00"/>
    <s v="O-"/>
    <x v="65"/>
    <x v="10"/>
    <x v="284"/>
    <x v="2"/>
    <x v="1"/>
    <s v="603722"/>
    <s v="9068957692"/>
    <s v="ananya.verma642@student.college.edu"/>
    <x v="1"/>
    <x v="3"/>
    <x v="3"/>
    <x v="1"/>
    <x v="1"/>
  </r>
  <r>
    <x v="300"/>
    <x v="193"/>
    <x v="2"/>
    <d v="2005-07-10T00:00:00"/>
    <s v="A-"/>
    <x v="209"/>
    <x v="101"/>
    <x v="144"/>
    <x v="2"/>
    <x v="5"/>
    <s v="901181"/>
    <s v="9476011360"/>
    <s v="ananya.nair74@gmail.com"/>
    <x v="1"/>
    <x v="1"/>
    <x v="1"/>
    <x v="1"/>
    <x v="1"/>
  </r>
  <r>
    <x v="301"/>
    <x v="177"/>
    <x v="1"/>
    <d v="2000-07-16T00:00:00"/>
    <s v="B-"/>
    <x v="34"/>
    <x v="206"/>
    <x v="285"/>
    <x v="7"/>
    <x v="0"/>
    <s v="876020"/>
    <s v="9160991737"/>
    <s v="kabir.mukherjee208@student.college.edu"/>
    <x v="1"/>
    <x v="4"/>
    <x v="4"/>
    <x v="1"/>
    <x v="1"/>
  </r>
  <r>
    <x v="302"/>
    <x v="194"/>
    <x v="0"/>
    <d v="2000-09-24T00:00:00"/>
    <s v="A-"/>
    <x v="210"/>
    <x v="207"/>
    <x v="286"/>
    <x v="7"/>
    <x v="1"/>
    <s v="125819"/>
    <s v="9041628388"/>
    <s v="rahul.iyer116@gmail.com"/>
    <x v="2"/>
    <x v="3"/>
    <x v="3"/>
    <x v="2"/>
    <x v="2"/>
  </r>
  <r>
    <x v="303"/>
    <x v="195"/>
    <x v="0"/>
    <d v="1999-11-09T00:00:00"/>
    <s v="O-"/>
    <x v="211"/>
    <x v="208"/>
    <x v="287"/>
    <x v="7"/>
    <x v="5"/>
    <s v="155616"/>
    <s v="9383196987"/>
    <s v="kabir.nair79@student.college.edu"/>
    <x v="3"/>
    <x v="4"/>
    <x v="4"/>
    <x v="2"/>
    <x v="2"/>
  </r>
  <r>
    <x v="304"/>
    <x v="82"/>
    <x v="0"/>
    <d v="2004-01-04T00:00:00"/>
    <s v="AB+"/>
    <x v="155"/>
    <x v="209"/>
    <x v="288"/>
    <x v="0"/>
    <x v="5"/>
    <s v="091334"/>
    <s v="9647386244"/>
    <s v="ananya.gupta547@gmail.com"/>
    <x v="3"/>
    <x v="1"/>
    <x v="1"/>
    <x v="2"/>
    <x v="2"/>
  </r>
  <r>
    <x v="305"/>
    <x v="167"/>
    <x v="1"/>
    <d v="2003-09-24T00:00:00"/>
    <s v="A-"/>
    <x v="189"/>
    <x v="151"/>
    <x v="289"/>
    <x v="1"/>
    <x v="4"/>
    <s v="328341"/>
    <s v="9193871485"/>
    <s v="aditya.rao954@gmail.com"/>
    <x v="3"/>
    <x v="3"/>
    <x v="3"/>
    <x v="2"/>
    <x v="2"/>
  </r>
  <r>
    <x v="306"/>
    <x v="196"/>
    <x v="2"/>
    <d v="2000-04-25T00:00:00"/>
    <s v="B-"/>
    <x v="212"/>
    <x v="10"/>
    <x v="290"/>
    <x v="6"/>
    <x v="7"/>
    <s v="015451"/>
    <s v="9112084741"/>
    <s v="vihaan.mukherjee541@gmail.com"/>
    <x v="1"/>
    <x v="0"/>
    <x v="0"/>
    <x v="1"/>
    <x v="1"/>
  </r>
  <r>
    <x v="307"/>
    <x v="96"/>
    <x v="1"/>
    <d v="1999-02-24T00:00:00"/>
    <s v="B-"/>
    <x v="122"/>
    <x v="110"/>
    <x v="291"/>
    <x v="3"/>
    <x v="5"/>
    <s v="508685"/>
    <s v="9895741959"/>
    <s v="riya.banerjee129@student.college.edu"/>
    <x v="2"/>
    <x v="3"/>
    <x v="3"/>
    <x v="2"/>
    <x v="2"/>
  </r>
  <r>
    <x v="308"/>
    <x v="197"/>
    <x v="1"/>
    <d v="2005-04-09T00:00:00"/>
    <s v="AB+"/>
    <x v="184"/>
    <x v="210"/>
    <x v="292"/>
    <x v="2"/>
    <x v="6"/>
    <s v="818611"/>
    <s v="9068025057"/>
    <s v="ira.gupta317@student.college.edu"/>
    <x v="3"/>
    <x v="2"/>
    <x v="2"/>
    <x v="2"/>
    <x v="2"/>
  </r>
  <r>
    <x v="309"/>
    <x v="55"/>
    <x v="2"/>
    <d v="2005-05-24T00:00:00"/>
    <s v="AB+"/>
    <x v="50"/>
    <x v="134"/>
    <x v="293"/>
    <x v="2"/>
    <x v="0"/>
    <s v="903231"/>
    <s v="9779704718"/>
    <s v="rohan.nair154@student.college.edu"/>
    <x v="1"/>
    <x v="7"/>
    <x v="7"/>
    <x v="1"/>
    <x v="1"/>
  </r>
  <r>
    <x v="310"/>
    <x v="84"/>
    <x v="0"/>
    <d v="2000-10-22T00:00:00"/>
    <s v="A-"/>
    <x v="112"/>
    <x v="35"/>
    <x v="294"/>
    <x v="5"/>
    <x v="4"/>
    <s v="867195"/>
    <s v="9769373384"/>
    <s v="shreya.sharma913@gmail.com"/>
    <x v="3"/>
    <x v="6"/>
    <x v="6"/>
    <x v="2"/>
    <x v="2"/>
  </r>
  <r>
    <x v="311"/>
    <x v="44"/>
    <x v="1"/>
    <d v="2004-07-30T00:00:00"/>
    <s v="A+"/>
    <x v="33"/>
    <x v="158"/>
    <x v="295"/>
    <x v="4"/>
    <x v="0"/>
    <s v="412053"/>
    <s v="9074997499"/>
    <s v="arjun.rao996@gmail.com"/>
    <x v="0"/>
    <x v="5"/>
    <x v="5"/>
    <x v="0"/>
    <x v="0"/>
  </r>
  <r>
    <x v="312"/>
    <x v="198"/>
    <x v="1"/>
    <d v="2006-08-19T00:00:00"/>
    <s v="B-"/>
    <x v="101"/>
    <x v="40"/>
    <x v="296"/>
    <x v="2"/>
    <x v="0"/>
    <s v="652866"/>
    <s v="9672808213"/>
    <s v="ira.patel75@student.college.edu"/>
    <x v="1"/>
    <x v="6"/>
    <x v="6"/>
    <x v="1"/>
    <x v="1"/>
  </r>
  <r>
    <x v="313"/>
    <x v="199"/>
    <x v="0"/>
    <d v="2006-03-16T00:00:00"/>
    <s v="O-"/>
    <x v="160"/>
    <x v="81"/>
    <x v="297"/>
    <x v="6"/>
    <x v="6"/>
    <s v="133947"/>
    <s v="9420146306"/>
    <s v="diya.kumar390@student.college.edu"/>
    <x v="0"/>
    <x v="1"/>
    <x v="1"/>
    <x v="0"/>
    <x v="0"/>
  </r>
  <r>
    <x v="314"/>
    <x v="41"/>
    <x v="2"/>
    <d v="2001-05-16T00:00:00"/>
    <s v="B-"/>
    <x v="158"/>
    <x v="117"/>
    <x v="298"/>
    <x v="0"/>
    <x v="5"/>
    <s v="004278"/>
    <s v="9562809371"/>
    <s v="saanvi.reddy358@gmail.com"/>
    <x v="1"/>
    <x v="4"/>
    <x v="4"/>
    <x v="1"/>
    <x v="1"/>
  </r>
  <r>
    <x v="315"/>
    <x v="200"/>
    <x v="0"/>
    <d v="2006-10-09T00:00:00"/>
    <s v="O+"/>
    <x v="213"/>
    <x v="211"/>
    <x v="299"/>
    <x v="1"/>
    <x v="5"/>
    <s v="399773"/>
    <s v="9141819450"/>
    <s v="varun.patel462@student.college.edu"/>
    <x v="1"/>
    <x v="6"/>
    <x v="6"/>
    <x v="1"/>
    <x v="1"/>
  </r>
  <r>
    <x v="316"/>
    <x v="9"/>
    <x v="1"/>
    <d v="2001-02-07T00:00:00"/>
    <s v="A+"/>
    <x v="118"/>
    <x v="212"/>
    <x v="300"/>
    <x v="5"/>
    <x v="7"/>
    <s v="216933"/>
    <s v="9338149438"/>
    <s v="vihaan.reddy437@gmail.com"/>
    <x v="3"/>
    <x v="7"/>
    <x v="7"/>
    <x v="2"/>
    <x v="2"/>
  </r>
  <r>
    <x v="317"/>
    <x v="21"/>
    <x v="2"/>
    <d v="2005-03-14T00:00:00"/>
    <s v="O+"/>
    <x v="214"/>
    <x v="213"/>
    <x v="301"/>
    <x v="6"/>
    <x v="3"/>
    <s v="799008"/>
    <s v="9009176565"/>
    <s v="meera.iyer826@student.college.edu"/>
    <x v="0"/>
    <x v="1"/>
    <x v="1"/>
    <x v="0"/>
    <x v="0"/>
  </r>
  <r>
    <x v="318"/>
    <x v="81"/>
    <x v="0"/>
    <d v="2005-03-09T00:00:00"/>
    <s v="A+"/>
    <x v="119"/>
    <x v="214"/>
    <x v="302"/>
    <x v="2"/>
    <x v="2"/>
    <s v="487703"/>
    <s v="9228287429"/>
    <s v="ishaan.reddy425@student.college.edu"/>
    <x v="2"/>
    <x v="4"/>
    <x v="4"/>
    <x v="2"/>
    <x v="2"/>
  </r>
  <r>
    <x v="319"/>
    <x v="105"/>
    <x v="1"/>
    <d v="2007-04-25T00:00:00"/>
    <s v="O-"/>
    <x v="211"/>
    <x v="41"/>
    <x v="303"/>
    <x v="5"/>
    <x v="6"/>
    <s v="168851"/>
    <s v="9691954085"/>
    <s v="pooja.iyer647@gmail.com"/>
    <x v="0"/>
    <x v="4"/>
    <x v="4"/>
    <x v="0"/>
    <x v="0"/>
  </r>
  <r>
    <x v="320"/>
    <x v="49"/>
    <x v="2"/>
    <d v="2000-01-18T00:00:00"/>
    <s v="A+"/>
    <x v="2"/>
    <x v="85"/>
    <x v="304"/>
    <x v="7"/>
    <x v="0"/>
    <s v="507967"/>
    <s v="9162187832"/>
    <s v="ananya.reddy53@gmail.com"/>
    <x v="3"/>
    <x v="2"/>
    <x v="2"/>
    <x v="2"/>
    <x v="2"/>
  </r>
  <r>
    <x v="321"/>
    <x v="201"/>
    <x v="2"/>
    <d v="2000-03-30T00:00:00"/>
    <s v="A+"/>
    <x v="115"/>
    <x v="81"/>
    <x v="305"/>
    <x v="0"/>
    <x v="5"/>
    <s v="043834"/>
    <s v="9009063398"/>
    <s v="harsha.rao185@gmail.com"/>
    <x v="3"/>
    <x v="2"/>
    <x v="2"/>
    <x v="2"/>
    <x v="2"/>
  </r>
  <r>
    <x v="322"/>
    <x v="160"/>
    <x v="0"/>
    <d v="2004-06-05T00:00:00"/>
    <s v="B-"/>
    <x v="215"/>
    <x v="114"/>
    <x v="306"/>
    <x v="1"/>
    <x v="4"/>
    <s v="655723"/>
    <s v="9801061210"/>
    <s v="kabir.iyer726@gmail.com"/>
    <x v="1"/>
    <x v="1"/>
    <x v="1"/>
    <x v="1"/>
    <x v="1"/>
  </r>
  <r>
    <x v="323"/>
    <x v="202"/>
    <x v="2"/>
    <d v="2001-10-21T00:00:00"/>
    <s v="AB+"/>
    <x v="186"/>
    <x v="203"/>
    <x v="307"/>
    <x v="1"/>
    <x v="3"/>
    <s v="127445"/>
    <s v="9231313884"/>
    <s v="priya.patel911@student.college.edu"/>
    <x v="0"/>
    <x v="1"/>
    <x v="1"/>
    <x v="0"/>
    <x v="0"/>
  </r>
  <r>
    <x v="324"/>
    <x v="169"/>
    <x v="1"/>
    <d v="2004-12-12T00:00:00"/>
    <s v="A+"/>
    <x v="216"/>
    <x v="165"/>
    <x v="308"/>
    <x v="6"/>
    <x v="5"/>
    <s v="306371"/>
    <s v="9303478536"/>
    <s v="rahul.rao540@student.college.edu"/>
    <x v="0"/>
    <x v="6"/>
    <x v="6"/>
    <x v="0"/>
    <x v="0"/>
  </r>
  <r>
    <x v="325"/>
    <x v="71"/>
    <x v="0"/>
    <d v="2006-08-26T00:00:00"/>
    <s v="AB+"/>
    <x v="123"/>
    <x v="215"/>
    <x v="309"/>
    <x v="7"/>
    <x v="2"/>
    <s v="494113"/>
    <s v="9352689928"/>
    <s v="shreya.banerjee413@student.college.edu"/>
    <x v="2"/>
    <x v="0"/>
    <x v="0"/>
    <x v="2"/>
    <x v="2"/>
  </r>
  <r>
    <x v="326"/>
    <x v="91"/>
    <x v="2"/>
    <d v="2004-04-08T00:00:00"/>
    <s v="A-"/>
    <x v="95"/>
    <x v="170"/>
    <x v="310"/>
    <x v="2"/>
    <x v="6"/>
    <s v="074029"/>
    <s v="9469891281"/>
    <s v="harsha.sharma331@gmail.com"/>
    <x v="3"/>
    <x v="6"/>
    <x v="6"/>
    <x v="2"/>
    <x v="2"/>
  </r>
  <r>
    <x v="327"/>
    <x v="203"/>
    <x v="0"/>
    <d v="2005-01-10T00:00:00"/>
    <s v="AB+"/>
    <x v="217"/>
    <x v="108"/>
    <x v="311"/>
    <x v="1"/>
    <x v="1"/>
    <s v="903682"/>
    <s v="9114187894"/>
    <s v="ishaan.mukherjee458@student.college.edu"/>
    <x v="3"/>
    <x v="7"/>
    <x v="7"/>
    <x v="2"/>
    <x v="2"/>
  </r>
  <r>
    <x v="328"/>
    <x v="22"/>
    <x v="0"/>
    <d v="2002-08-11T00:00:00"/>
    <s v="O-"/>
    <x v="218"/>
    <x v="216"/>
    <x v="312"/>
    <x v="0"/>
    <x v="0"/>
    <s v="382686"/>
    <s v="9042643438"/>
    <s v="tanvi.kumar780@gmail.com"/>
    <x v="0"/>
    <x v="7"/>
    <x v="7"/>
    <x v="0"/>
    <x v="0"/>
  </r>
  <r>
    <x v="329"/>
    <x v="7"/>
    <x v="1"/>
    <d v="2000-03-08T00:00:00"/>
    <s v="B+"/>
    <x v="53"/>
    <x v="217"/>
    <x v="313"/>
    <x v="3"/>
    <x v="4"/>
    <s v="712138"/>
    <s v="9618728106"/>
    <s v="harsha.gupta464@gmail.com"/>
    <x v="2"/>
    <x v="6"/>
    <x v="6"/>
    <x v="2"/>
    <x v="2"/>
  </r>
  <r>
    <x v="330"/>
    <x v="204"/>
    <x v="2"/>
    <d v="2000-09-08T00:00:00"/>
    <s v="AB+"/>
    <x v="32"/>
    <x v="218"/>
    <x v="314"/>
    <x v="4"/>
    <x v="3"/>
    <s v="303911"/>
    <s v="9126510211"/>
    <s v="diya.patel917@student.college.edu"/>
    <x v="0"/>
    <x v="3"/>
    <x v="3"/>
    <x v="0"/>
    <x v="0"/>
  </r>
  <r>
    <x v="331"/>
    <x v="2"/>
    <x v="2"/>
    <d v="2002-02-02T00:00:00"/>
    <s v="A-"/>
    <x v="117"/>
    <x v="93"/>
    <x v="315"/>
    <x v="6"/>
    <x v="0"/>
    <s v="286412"/>
    <s v="9672019678"/>
    <s v="aditya.das705@student.college.edu"/>
    <x v="0"/>
    <x v="6"/>
    <x v="6"/>
    <x v="0"/>
    <x v="0"/>
  </r>
  <r>
    <x v="332"/>
    <x v="13"/>
    <x v="0"/>
    <d v="2004-02-08T00:00:00"/>
    <s v="O-"/>
    <x v="145"/>
    <x v="19"/>
    <x v="316"/>
    <x v="7"/>
    <x v="5"/>
    <s v="981703"/>
    <s v="9408400622"/>
    <s v="sai.gupta516@student.college.edu"/>
    <x v="3"/>
    <x v="6"/>
    <x v="6"/>
    <x v="2"/>
    <x v="2"/>
  </r>
  <r>
    <x v="333"/>
    <x v="195"/>
    <x v="1"/>
    <d v="2002-10-06T00:00:00"/>
    <s v="B+"/>
    <x v="219"/>
    <x v="219"/>
    <x v="317"/>
    <x v="4"/>
    <x v="3"/>
    <s v="303787"/>
    <s v="9895167098"/>
    <s v="kabir.nair676@student.college.edu"/>
    <x v="1"/>
    <x v="2"/>
    <x v="2"/>
    <x v="1"/>
    <x v="1"/>
  </r>
  <r>
    <x v="334"/>
    <x v="173"/>
    <x v="1"/>
    <d v="2006-10-21T00:00:00"/>
    <s v="O-"/>
    <x v="220"/>
    <x v="129"/>
    <x v="318"/>
    <x v="6"/>
    <x v="0"/>
    <s v="986849"/>
    <s v="9526834930"/>
    <s v="rohan.rao533@gmail.com"/>
    <x v="2"/>
    <x v="1"/>
    <x v="1"/>
    <x v="2"/>
    <x v="2"/>
  </r>
  <r>
    <x v="335"/>
    <x v="205"/>
    <x v="1"/>
    <d v="2007-11-21T00:00:00"/>
    <s v="A+"/>
    <x v="204"/>
    <x v="173"/>
    <x v="319"/>
    <x v="4"/>
    <x v="5"/>
    <s v="419663"/>
    <s v="9270025034"/>
    <s v="pooja.kumar677@student.college.edu"/>
    <x v="0"/>
    <x v="4"/>
    <x v="4"/>
    <x v="0"/>
    <x v="0"/>
  </r>
  <r>
    <x v="336"/>
    <x v="206"/>
    <x v="1"/>
    <d v="2006-06-18T00:00:00"/>
    <s v="O-"/>
    <x v="221"/>
    <x v="15"/>
    <x v="320"/>
    <x v="8"/>
    <x v="4"/>
    <s v="492092"/>
    <s v="9633989514"/>
    <s v="diya.nair897@gmail.com"/>
    <x v="3"/>
    <x v="3"/>
    <x v="3"/>
    <x v="2"/>
    <x v="2"/>
  </r>
  <r>
    <x v="337"/>
    <x v="207"/>
    <x v="0"/>
    <d v="2005-03-20T00:00:00"/>
    <s v="O-"/>
    <x v="46"/>
    <x v="173"/>
    <x v="321"/>
    <x v="9"/>
    <x v="5"/>
    <s v="384143"/>
    <s v="9974444059"/>
    <s v="kunal.gupta432@student.college.edu"/>
    <x v="3"/>
    <x v="5"/>
    <x v="5"/>
    <x v="2"/>
    <x v="2"/>
  </r>
  <r>
    <x v="338"/>
    <x v="208"/>
    <x v="1"/>
    <d v="2004-09-28T00:00:00"/>
    <s v="O+"/>
    <x v="21"/>
    <x v="196"/>
    <x v="322"/>
    <x v="7"/>
    <x v="6"/>
    <s v="164758"/>
    <s v="9029158568"/>
    <s v="pooja.reddy125@student.college.edu"/>
    <x v="3"/>
    <x v="4"/>
    <x v="4"/>
    <x v="2"/>
    <x v="2"/>
  </r>
  <r>
    <x v="339"/>
    <x v="209"/>
    <x v="0"/>
    <d v="2000-07-12T00:00:00"/>
    <s v="O-"/>
    <x v="120"/>
    <x v="26"/>
    <x v="323"/>
    <x v="7"/>
    <x v="2"/>
    <s v="620185"/>
    <s v="9210539241"/>
    <s v="nisha.mukherjee241@gmail.com"/>
    <x v="1"/>
    <x v="6"/>
    <x v="6"/>
    <x v="1"/>
    <x v="1"/>
  </r>
  <r>
    <x v="340"/>
    <x v="210"/>
    <x v="1"/>
    <d v="1999-03-30T00:00:00"/>
    <s v="O+"/>
    <x v="222"/>
    <x v="210"/>
    <x v="324"/>
    <x v="8"/>
    <x v="4"/>
    <s v="426946"/>
    <s v="9361440450"/>
    <s v="meera.gupta311@student.college.edu"/>
    <x v="1"/>
    <x v="2"/>
    <x v="2"/>
    <x v="1"/>
    <x v="1"/>
  </r>
  <r>
    <x v="341"/>
    <x v="29"/>
    <x v="2"/>
    <d v="2004-03-31T00:00:00"/>
    <s v="B-"/>
    <x v="223"/>
    <x v="47"/>
    <x v="325"/>
    <x v="2"/>
    <x v="4"/>
    <s v="373063"/>
    <s v="9737727339"/>
    <s v="surya.iyer661@gmail.com"/>
    <x v="1"/>
    <x v="4"/>
    <x v="4"/>
    <x v="1"/>
    <x v="1"/>
  </r>
  <r>
    <x v="342"/>
    <x v="211"/>
    <x v="1"/>
    <d v="2007-09-12T00:00:00"/>
    <s v="O+"/>
    <x v="152"/>
    <x v="152"/>
    <x v="87"/>
    <x v="3"/>
    <x v="7"/>
    <s v="580072"/>
    <s v="9646327971"/>
    <s v="shreya.mukherjee902@student.college.edu"/>
    <x v="1"/>
    <x v="1"/>
    <x v="1"/>
    <x v="1"/>
    <x v="1"/>
  </r>
  <r>
    <x v="343"/>
    <x v="25"/>
    <x v="2"/>
    <d v="2005-11-11T00:00:00"/>
    <s v="O+"/>
    <x v="200"/>
    <x v="61"/>
    <x v="326"/>
    <x v="2"/>
    <x v="1"/>
    <s v="936395"/>
    <s v="9124221881"/>
    <s v="surya.verma597@student.college.edu"/>
    <x v="2"/>
    <x v="3"/>
    <x v="3"/>
    <x v="2"/>
    <x v="2"/>
  </r>
  <r>
    <x v="344"/>
    <x v="165"/>
    <x v="2"/>
    <d v="2003-01-12T00:00:00"/>
    <s v="A-"/>
    <x v="123"/>
    <x v="105"/>
    <x v="327"/>
    <x v="2"/>
    <x v="5"/>
    <s v="697512"/>
    <s v="9853888468"/>
    <s v="vihaan.gupta583@student.college.edu"/>
    <x v="0"/>
    <x v="6"/>
    <x v="6"/>
    <x v="0"/>
    <x v="0"/>
  </r>
  <r>
    <x v="345"/>
    <x v="75"/>
    <x v="2"/>
    <d v="1999-07-30T00:00:00"/>
    <s v="A+"/>
    <x v="94"/>
    <x v="187"/>
    <x v="328"/>
    <x v="0"/>
    <x v="6"/>
    <s v="708905"/>
    <s v="9895306149"/>
    <s v="kabir.kumar270@student.college.edu"/>
    <x v="0"/>
    <x v="1"/>
    <x v="1"/>
    <x v="0"/>
    <x v="0"/>
  </r>
  <r>
    <x v="346"/>
    <x v="40"/>
    <x v="0"/>
    <d v="2007-07-30T00:00:00"/>
    <s v="B-"/>
    <x v="224"/>
    <x v="220"/>
    <x v="329"/>
    <x v="7"/>
    <x v="4"/>
    <s v="485688"/>
    <s v="9304798417"/>
    <s v="kunal.reddy107@student.college.edu"/>
    <x v="3"/>
    <x v="0"/>
    <x v="0"/>
    <x v="2"/>
    <x v="2"/>
  </r>
  <r>
    <x v="347"/>
    <x v="10"/>
    <x v="0"/>
    <d v="2007-10-07T00:00:00"/>
    <s v="A-"/>
    <x v="225"/>
    <x v="74"/>
    <x v="330"/>
    <x v="9"/>
    <x v="6"/>
    <s v="675076"/>
    <s v="9441489314"/>
    <s v="meera.kumar60@student.college.edu"/>
    <x v="2"/>
    <x v="2"/>
    <x v="2"/>
    <x v="2"/>
    <x v="2"/>
  </r>
  <r>
    <x v="348"/>
    <x v="14"/>
    <x v="1"/>
    <d v="2007-06-10T00:00:00"/>
    <s v="O-"/>
    <x v="182"/>
    <x v="25"/>
    <x v="331"/>
    <x v="5"/>
    <x v="1"/>
    <s v="011036"/>
    <s v="9226410254"/>
    <s v="rohan.patel753@gmail.com"/>
    <x v="3"/>
    <x v="7"/>
    <x v="7"/>
    <x v="2"/>
    <x v="2"/>
  </r>
  <r>
    <x v="349"/>
    <x v="212"/>
    <x v="0"/>
    <d v="2007-10-01T00:00:00"/>
    <s v="O+"/>
    <x v="114"/>
    <x v="221"/>
    <x v="332"/>
    <x v="2"/>
    <x v="0"/>
    <s v="097622"/>
    <s v="9192723819"/>
    <s v="varun.nair716@gmail.com"/>
    <x v="1"/>
    <x v="6"/>
    <x v="6"/>
    <x v="1"/>
    <x v="1"/>
  </r>
  <r>
    <x v="350"/>
    <x v="3"/>
    <x v="2"/>
    <d v="2002-01-12T00:00:00"/>
    <s v="O-"/>
    <x v="226"/>
    <x v="76"/>
    <x v="333"/>
    <x v="7"/>
    <x v="3"/>
    <s v="830342"/>
    <s v="9365607997"/>
    <s v="aarav.kumar345@gmail.com"/>
    <x v="3"/>
    <x v="2"/>
    <x v="2"/>
    <x v="2"/>
    <x v="2"/>
  </r>
  <r>
    <x v="351"/>
    <x v="213"/>
    <x v="1"/>
    <d v="2003-11-13T00:00:00"/>
    <s v="A+"/>
    <x v="13"/>
    <x v="77"/>
    <x v="334"/>
    <x v="1"/>
    <x v="6"/>
    <s v="992954"/>
    <s v="9772949292"/>
    <s v="ananya.mukherjee699@gmail.com"/>
    <x v="3"/>
    <x v="5"/>
    <x v="5"/>
    <x v="2"/>
    <x v="2"/>
  </r>
  <r>
    <x v="352"/>
    <x v="175"/>
    <x v="0"/>
    <d v="1999-06-08T00:00:00"/>
    <s v="A+"/>
    <x v="227"/>
    <x v="3"/>
    <x v="335"/>
    <x v="3"/>
    <x v="1"/>
    <s v="153214"/>
    <s v="9449482092"/>
    <s v="ananya.rao625@gmail.com"/>
    <x v="1"/>
    <x v="4"/>
    <x v="4"/>
    <x v="1"/>
    <x v="1"/>
  </r>
  <r>
    <x v="353"/>
    <x v="214"/>
    <x v="0"/>
    <d v="2004-07-20T00:00:00"/>
    <s v="A+"/>
    <x v="207"/>
    <x v="26"/>
    <x v="336"/>
    <x v="5"/>
    <x v="0"/>
    <s v="615435"/>
    <s v="9299908850"/>
    <s v="kunal.nair241@gmail.com"/>
    <x v="2"/>
    <x v="7"/>
    <x v="7"/>
    <x v="2"/>
    <x v="2"/>
  </r>
  <r>
    <x v="354"/>
    <x v="215"/>
    <x v="2"/>
    <d v="2001-08-28T00:00:00"/>
    <s v="O-"/>
    <x v="124"/>
    <x v="222"/>
    <x v="337"/>
    <x v="1"/>
    <x v="6"/>
    <s v="813734"/>
    <s v="9649610990"/>
    <s v="kabir.das624@student.college.edu"/>
    <x v="0"/>
    <x v="0"/>
    <x v="0"/>
    <x v="0"/>
    <x v="0"/>
  </r>
  <r>
    <x v="355"/>
    <x v="101"/>
    <x v="1"/>
    <d v="1999-05-14T00:00:00"/>
    <s v="O-"/>
    <x v="228"/>
    <x v="10"/>
    <x v="338"/>
    <x v="1"/>
    <x v="4"/>
    <s v="596751"/>
    <s v="9876653159"/>
    <s v="ishaan.patel337@student.college.edu"/>
    <x v="0"/>
    <x v="3"/>
    <x v="3"/>
    <x v="0"/>
    <x v="0"/>
  </r>
  <r>
    <x v="356"/>
    <x v="216"/>
    <x v="1"/>
    <d v="2000-04-17T00:00:00"/>
    <s v="B+"/>
    <x v="89"/>
    <x v="73"/>
    <x v="339"/>
    <x v="2"/>
    <x v="0"/>
    <s v="359664"/>
    <s v="9458157451"/>
    <s v="riya.iyer267@gmail.com"/>
    <x v="0"/>
    <x v="6"/>
    <x v="6"/>
    <x v="0"/>
    <x v="0"/>
  </r>
  <r>
    <x v="357"/>
    <x v="16"/>
    <x v="0"/>
    <d v="2004-08-30T00:00:00"/>
    <s v="B-"/>
    <x v="229"/>
    <x v="223"/>
    <x v="340"/>
    <x v="8"/>
    <x v="2"/>
    <s v="012597"/>
    <s v="9104691899"/>
    <s v="aditya.patel363@student.college.edu"/>
    <x v="3"/>
    <x v="5"/>
    <x v="5"/>
    <x v="2"/>
    <x v="2"/>
  </r>
  <r>
    <x v="358"/>
    <x v="160"/>
    <x v="0"/>
    <d v="2005-08-19T00:00:00"/>
    <s v="B+"/>
    <x v="215"/>
    <x v="106"/>
    <x v="341"/>
    <x v="2"/>
    <x v="2"/>
    <s v="967477"/>
    <s v="9775851056"/>
    <s v="kabir.iyer465@gmail.com"/>
    <x v="1"/>
    <x v="4"/>
    <x v="4"/>
    <x v="1"/>
    <x v="1"/>
  </r>
  <r>
    <x v="359"/>
    <x v="217"/>
    <x v="1"/>
    <d v="2002-02-18T00:00:00"/>
    <s v="A-"/>
    <x v="183"/>
    <x v="224"/>
    <x v="342"/>
    <x v="7"/>
    <x v="6"/>
    <s v="237909"/>
    <s v="9874283312"/>
    <s v="priya.mukherjee499@gmail.com"/>
    <x v="3"/>
    <x v="5"/>
    <x v="5"/>
    <x v="2"/>
    <x v="2"/>
  </r>
  <r>
    <x v="360"/>
    <x v="162"/>
    <x v="1"/>
    <d v="2007-06-14T00:00:00"/>
    <s v="B-"/>
    <x v="230"/>
    <x v="22"/>
    <x v="343"/>
    <x v="5"/>
    <x v="5"/>
    <s v="099570"/>
    <s v="9802957582"/>
    <s v="surya.nair113@student.college.edu"/>
    <x v="1"/>
    <x v="7"/>
    <x v="7"/>
    <x v="1"/>
    <x v="1"/>
  </r>
  <r>
    <x v="361"/>
    <x v="218"/>
    <x v="2"/>
    <d v="2002-02-14T00:00:00"/>
    <s v="O+"/>
    <x v="116"/>
    <x v="208"/>
    <x v="344"/>
    <x v="5"/>
    <x v="0"/>
    <s v="352657"/>
    <s v="9739497386"/>
    <s v="kunal.verma899@student.college.edu"/>
    <x v="2"/>
    <x v="3"/>
    <x v="3"/>
    <x v="2"/>
    <x v="2"/>
  </r>
  <r>
    <x v="362"/>
    <x v="44"/>
    <x v="0"/>
    <d v="2001-06-20T00:00:00"/>
    <s v="B-"/>
    <x v="151"/>
    <x v="225"/>
    <x v="345"/>
    <x v="8"/>
    <x v="2"/>
    <s v="218987"/>
    <s v="9005214235"/>
    <s v="arjun.rao654@gmail.com"/>
    <x v="3"/>
    <x v="5"/>
    <x v="5"/>
    <x v="2"/>
    <x v="2"/>
  </r>
  <r>
    <x v="363"/>
    <x v="219"/>
    <x v="0"/>
    <d v="2006-06-29T00:00:00"/>
    <s v="O-"/>
    <x v="231"/>
    <x v="226"/>
    <x v="346"/>
    <x v="9"/>
    <x v="2"/>
    <s v="229874"/>
    <s v="9424196331"/>
    <s v="sujith.reddy904@gmail.com"/>
    <x v="1"/>
    <x v="1"/>
    <x v="1"/>
    <x v="1"/>
    <x v="1"/>
  </r>
  <r>
    <x v="364"/>
    <x v="88"/>
    <x v="2"/>
    <d v="2002-04-06T00:00:00"/>
    <s v="A-"/>
    <x v="75"/>
    <x v="227"/>
    <x v="169"/>
    <x v="0"/>
    <x v="7"/>
    <s v="484204"/>
    <s v="9260428571"/>
    <s v="tanvi.reddy992@gmail.com"/>
    <x v="2"/>
    <x v="2"/>
    <x v="2"/>
    <x v="2"/>
    <x v="2"/>
  </r>
  <r>
    <x v="365"/>
    <x v="220"/>
    <x v="2"/>
    <d v="2007-10-02T00:00:00"/>
    <s v="O-"/>
    <x v="78"/>
    <x v="119"/>
    <x v="347"/>
    <x v="7"/>
    <x v="4"/>
    <s v="311582"/>
    <s v="9893279009"/>
    <s v="pooja.patel105@gmail.com"/>
    <x v="1"/>
    <x v="2"/>
    <x v="2"/>
    <x v="1"/>
    <x v="1"/>
  </r>
  <r>
    <x v="366"/>
    <x v="221"/>
    <x v="0"/>
    <d v="1999-04-10T00:00:00"/>
    <s v="A-"/>
    <x v="120"/>
    <x v="151"/>
    <x v="348"/>
    <x v="0"/>
    <x v="0"/>
    <s v="834888"/>
    <s v="9057707590"/>
    <s v="sai.nair603@gmail.com"/>
    <x v="0"/>
    <x v="0"/>
    <x v="0"/>
    <x v="0"/>
    <x v="0"/>
  </r>
  <r>
    <x v="367"/>
    <x v="132"/>
    <x v="1"/>
    <d v="1999-04-06T00:00:00"/>
    <s v="B-"/>
    <x v="36"/>
    <x v="189"/>
    <x v="349"/>
    <x v="3"/>
    <x v="2"/>
    <s v="342422"/>
    <s v="9753979774"/>
    <s v="meera.das592@student.college.edu"/>
    <x v="3"/>
    <x v="7"/>
    <x v="7"/>
    <x v="2"/>
    <x v="2"/>
  </r>
  <r>
    <x v="368"/>
    <x v="199"/>
    <x v="1"/>
    <d v="2000-03-22T00:00:00"/>
    <s v="O-"/>
    <x v="232"/>
    <x v="41"/>
    <x v="350"/>
    <x v="1"/>
    <x v="5"/>
    <s v="295048"/>
    <s v="9587044780"/>
    <s v="diya.kumar706@gmail.com"/>
    <x v="2"/>
    <x v="5"/>
    <x v="5"/>
    <x v="2"/>
    <x v="2"/>
  </r>
  <r>
    <x v="369"/>
    <x v="222"/>
    <x v="1"/>
    <d v="2007-11-30T00:00:00"/>
    <s v="A-"/>
    <x v="24"/>
    <x v="145"/>
    <x v="351"/>
    <x v="2"/>
    <x v="2"/>
    <s v="758901"/>
    <s v="9637171490"/>
    <s v="varun.reddy435@gmail.com"/>
    <x v="1"/>
    <x v="4"/>
    <x v="4"/>
    <x v="1"/>
    <x v="1"/>
  </r>
  <r>
    <x v="370"/>
    <x v="4"/>
    <x v="0"/>
    <d v="2003-06-24T00:00:00"/>
    <s v="AB+"/>
    <x v="141"/>
    <x v="91"/>
    <x v="352"/>
    <x v="9"/>
    <x v="7"/>
    <s v="636152"/>
    <s v="9675249978"/>
    <s v="aditi.das139@student.college.edu"/>
    <x v="1"/>
    <x v="2"/>
    <x v="2"/>
    <x v="1"/>
    <x v="1"/>
  </r>
  <r>
    <x v="371"/>
    <x v="223"/>
    <x v="2"/>
    <d v="2000-09-07T00:00:00"/>
    <s v="B+"/>
    <x v="74"/>
    <x v="228"/>
    <x v="353"/>
    <x v="5"/>
    <x v="0"/>
    <s v="530413"/>
    <s v="9526928853"/>
    <s v="ananya.patel640@gmail.com"/>
    <x v="3"/>
    <x v="6"/>
    <x v="6"/>
    <x v="2"/>
    <x v="2"/>
  </r>
  <r>
    <x v="372"/>
    <x v="224"/>
    <x v="2"/>
    <d v="2007-03-12T00:00:00"/>
    <s v="B+"/>
    <x v="46"/>
    <x v="7"/>
    <x v="354"/>
    <x v="8"/>
    <x v="6"/>
    <s v="375288"/>
    <s v="9641790811"/>
    <s v="shreya.gupta896@student.college.edu"/>
    <x v="2"/>
    <x v="2"/>
    <x v="2"/>
    <x v="2"/>
    <x v="2"/>
  </r>
  <r>
    <x v="373"/>
    <x v="51"/>
    <x v="0"/>
    <d v="2003-10-09T00:00:00"/>
    <s v="O+"/>
    <x v="174"/>
    <x v="45"/>
    <x v="355"/>
    <x v="5"/>
    <x v="6"/>
    <s v="334355"/>
    <s v="9889987854"/>
    <s v="arjun.das808@gmail.com"/>
    <x v="2"/>
    <x v="1"/>
    <x v="1"/>
    <x v="2"/>
    <x v="2"/>
  </r>
  <r>
    <x v="374"/>
    <x v="144"/>
    <x v="2"/>
    <d v="1999-04-14T00:00:00"/>
    <s v="A+"/>
    <x v="127"/>
    <x v="229"/>
    <x v="356"/>
    <x v="6"/>
    <x v="4"/>
    <s v="689139"/>
    <s v="9913153995"/>
    <s v="harsha.iyer14@gmail.com"/>
    <x v="0"/>
    <x v="7"/>
    <x v="7"/>
    <x v="0"/>
    <x v="0"/>
  </r>
  <r>
    <x v="375"/>
    <x v="176"/>
    <x v="1"/>
    <d v="2006-11-24T00:00:00"/>
    <s v="B+"/>
    <x v="148"/>
    <x v="121"/>
    <x v="18"/>
    <x v="4"/>
    <x v="2"/>
    <s v="448780"/>
    <s v="9081781480"/>
    <s v="ira.sharma653@student.college.edu"/>
    <x v="2"/>
    <x v="5"/>
    <x v="5"/>
    <x v="2"/>
    <x v="2"/>
  </r>
  <r>
    <x v="376"/>
    <x v="225"/>
    <x v="1"/>
    <d v="2005-11-19T00:00:00"/>
    <s v="B+"/>
    <x v="34"/>
    <x v="176"/>
    <x v="160"/>
    <x v="8"/>
    <x v="7"/>
    <s v="594860"/>
    <s v="9857042151"/>
    <s v="leela.reddy765@student.college.edu"/>
    <x v="0"/>
    <x v="0"/>
    <x v="0"/>
    <x v="0"/>
    <x v="0"/>
  </r>
  <r>
    <x v="377"/>
    <x v="160"/>
    <x v="0"/>
    <d v="2005-05-16T00:00:00"/>
    <s v="O+"/>
    <x v="233"/>
    <x v="132"/>
    <x v="357"/>
    <x v="1"/>
    <x v="0"/>
    <s v="910360"/>
    <s v="9106489369"/>
    <s v="kabir.iyer886@student.college.edu"/>
    <x v="3"/>
    <x v="5"/>
    <x v="5"/>
    <x v="2"/>
    <x v="2"/>
  </r>
  <r>
    <x v="378"/>
    <x v="43"/>
    <x v="1"/>
    <d v="2002-03-21T00:00:00"/>
    <s v="O+"/>
    <x v="234"/>
    <x v="230"/>
    <x v="358"/>
    <x v="5"/>
    <x v="4"/>
    <s v="219240"/>
    <s v="9337586195"/>
    <s v="vihaan.patel160@student.college.edu"/>
    <x v="1"/>
    <x v="0"/>
    <x v="0"/>
    <x v="1"/>
    <x v="1"/>
  </r>
  <r>
    <x v="379"/>
    <x v="226"/>
    <x v="0"/>
    <d v="2001-04-29T00:00:00"/>
    <s v="B-"/>
    <x v="188"/>
    <x v="231"/>
    <x v="163"/>
    <x v="1"/>
    <x v="4"/>
    <s v="240161"/>
    <s v="9153350768"/>
    <s v="harsha.banerjee9@student.college.edu"/>
    <x v="1"/>
    <x v="0"/>
    <x v="0"/>
    <x v="1"/>
    <x v="1"/>
  </r>
  <r>
    <x v="380"/>
    <x v="227"/>
    <x v="2"/>
    <d v="2001-02-05T00:00:00"/>
    <s v="B-"/>
    <x v="235"/>
    <x v="232"/>
    <x v="359"/>
    <x v="7"/>
    <x v="2"/>
    <s v="845438"/>
    <s v="9233639879"/>
    <s v="ananya.banerjee520@student.college.edu"/>
    <x v="1"/>
    <x v="5"/>
    <x v="5"/>
    <x v="1"/>
    <x v="1"/>
  </r>
  <r>
    <x v="381"/>
    <x v="11"/>
    <x v="1"/>
    <d v="1999-04-27T00:00:00"/>
    <s v="A+"/>
    <x v="106"/>
    <x v="7"/>
    <x v="360"/>
    <x v="3"/>
    <x v="5"/>
    <s v="139937"/>
    <s v="9841018302"/>
    <s v="shreya.patel209@gmail.com"/>
    <x v="3"/>
    <x v="4"/>
    <x v="4"/>
    <x v="2"/>
    <x v="2"/>
  </r>
  <r>
    <x v="382"/>
    <x v="228"/>
    <x v="0"/>
    <d v="1999-01-21T00:00:00"/>
    <s v="A-"/>
    <x v="60"/>
    <x v="20"/>
    <x v="361"/>
    <x v="5"/>
    <x v="2"/>
    <s v="687701"/>
    <s v="9717887430"/>
    <s v="tanvi.das501@student.college.edu"/>
    <x v="3"/>
    <x v="3"/>
    <x v="3"/>
    <x v="2"/>
    <x v="2"/>
  </r>
  <r>
    <x v="383"/>
    <x v="122"/>
    <x v="0"/>
    <d v="2004-08-15T00:00:00"/>
    <s v="B-"/>
    <x v="236"/>
    <x v="233"/>
    <x v="362"/>
    <x v="1"/>
    <x v="4"/>
    <s v="112436"/>
    <s v="9423809416"/>
    <s v="diya.iyer855@student.college.edu"/>
    <x v="2"/>
    <x v="0"/>
    <x v="0"/>
    <x v="2"/>
    <x v="2"/>
  </r>
  <r>
    <x v="384"/>
    <x v="229"/>
    <x v="2"/>
    <d v="2006-05-10T00:00:00"/>
    <s v="A+"/>
    <x v="13"/>
    <x v="234"/>
    <x v="363"/>
    <x v="8"/>
    <x v="6"/>
    <s v="606640"/>
    <s v="9471895778"/>
    <s v="tanvi.mukherjee996@gmail.com"/>
    <x v="3"/>
    <x v="1"/>
    <x v="1"/>
    <x v="2"/>
    <x v="2"/>
  </r>
  <r>
    <x v="385"/>
    <x v="151"/>
    <x v="1"/>
    <d v="1999-11-24T00:00:00"/>
    <s v="B+"/>
    <x v="145"/>
    <x v="11"/>
    <x v="364"/>
    <x v="5"/>
    <x v="2"/>
    <s v="440840"/>
    <s v="9534670224"/>
    <s v="nisha.patel458@gmail.com"/>
    <x v="2"/>
    <x v="6"/>
    <x v="6"/>
    <x v="2"/>
    <x v="2"/>
  </r>
  <r>
    <x v="386"/>
    <x v="92"/>
    <x v="2"/>
    <d v="2004-12-16T00:00:00"/>
    <s v="B-"/>
    <x v="237"/>
    <x v="65"/>
    <x v="82"/>
    <x v="8"/>
    <x v="5"/>
    <s v="642962"/>
    <s v="9887540319"/>
    <s v="diya.mukherjee654@student.college.edu"/>
    <x v="2"/>
    <x v="0"/>
    <x v="0"/>
    <x v="2"/>
    <x v="2"/>
  </r>
  <r>
    <x v="387"/>
    <x v="89"/>
    <x v="1"/>
    <d v="2002-05-21T00:00:00"/>
    <s v="AB+"/>
    <x v="238"/>
    <x v="235"/>
    <x v="365"/>
    <x v="1"/>
    <x v="6"/>
    <s v="975965"/>
    <s v="9760529261"/>
    <s v="surya.banerjee514@student.college.edu"/>
    <x v="1"/>
    <x v="4"/>
    <x v="4"/>
    <x v="1"/>
    <x v="1"/>
  </r>
  <r>
    <x v="388"/>
    <x v="230"/>
    <x v="0"/>
    <d v="1999-01-21T00:00:00"/>
    <s v="B+"/>
    <x v="239"/>
    <x v="236"/>
    <x v="366"/>
    <x v="0"/>
    <x v="3"/>
    <s v="476027"/>
    <s v="9267644554"/>
    <s v="tanvi.nair572@student.college.edu"/>
    <x v="0"/>
    <x v="0"/>
    <x v="0"/>
    <x v="0"/>
    <x v="0"/>
  </r>
  <r>
    <x v="389"/>
    <x v="199"/>
    <x v="2"/>
    <d v="2004-03-07T00:00:00"/>
    <s v="AB+"/>
    <x v="44"/>
    <x v="216"/>
    <x v="367"/>
    <x v="6"/>
    <x v="3"/>
    <s v="465049"/>
    <s v="9075374415"/>
    <s v="diya.kumar640@gmail.com"/>
    <x v="1"/>
    <x v="1"/>
    <x v="1"/>
    <x v="1"/>
    <x v="1"/>
  </r>
  <r>
    <x v="390"/>
    <x v="72"/>
    <x v="0"/>
    <d v="2005-03-29T00:00:00"/>
    <s v="AB+"/>
    <x v="155"/>
    <x v="31"/>
    <x v="368"/>
    <x v="6"/>
    <x v="0"/>
    <s v="029511"/>
    <s v="9774474533"/>
    <s v="neeraj.sharma109@gmail.com"/>
    <x v="1"/>
    <x v="3"/>
    <x v="3"/>
    <x v="1"/>
    <x v="1"/>
  </r>
  <r>
    <x v="391"/>
    <x v="52"/>
    <x v="0"/>
    <d v="2007-06-27T00:00:00"/>
    <s v="A+"/>
    <x v="31"/>
    <x v="2"/>
    <x v="369"/>
    <x v="6"/>
    <x v="3"/>
    <s v="087660"/>
    <s v="9544102650"/>
    <s v="leela.patel585@gmail.com"/>
    <x v="0"/>
    <x v="3"/>
    <x v="3"/>
    <x v="0"/>
    <x v="0"/>
  </r>
  <r>
    <x v="392"/>
    <x v="1"/>
    <x v="1"/>
    <d v="2004-04-16T00:00:00"/>
    <s v="B-"/>
    <x v="164"/>
    <x v="237"/>
    <x v="370"/>
    <x v="9"/>
    <x v="4"/>
    <s v="813819"/>
    <s v="9932824269"/>
    <s v="sai.rao816@student.college.edu"/>
    <x v="2"/>
    <x v="0"/>
    <x v="0"/>
    <x v="2"/>
    <x v="2"/>
  </r>
  <r>
    <x v="393"/>
    <x v="103"/>
    <x v="2"/>
    <d v="2004-03-08T00:00:00"/>
    <s v="B+"/>
    <x v="85"/>
    <x v="135"/>
    <x v="371"/>
    <x v="9"/>
    <x v="2"/>
    <s v="804271"/>
    <s v="9765047238"/>
    <s v="leela.gupta788@student.college.edu"/>
    <x v="1"/>
    <x v="7"/>
    <x v="7"/>
    <x v="1"/>
    <x v="1"/>
  </r>
  <r>
    <x v="394"/>
    <x v="231"/>
    <x v="2"/>
    <d v="2000-08-20T00:00:00"/>
    <s v="AB+"/>
    <x v="147"/>
    <x v="238"/>
    <x v="372"/>
    <x v="8"/>
    <x v="7"/>
    <s v="439720"/>
    <s v="9608422247"/>
    <s v="meera.verma717@gmail.com"/>
    <x v="0"/>
    <x v="2"/>
    <x v="2"/>
    <x v="0"/>
    <x v="0"/>
  </r>
  <r>
    <x v="395"/>
    <x v="232"/>
    <x v="2"/>
    <d v="2004-11-07T00:00:00"/>
    <s v="B+"/>
    <x v="240"/>
    <x v="217"/>
    <x v="373"/>
    <x v="0"/>
    <x v="3"/>
    <s v="916442"/>
    <s v="9761236023"/>
    <s v="neeraj.gupta599@student.college.edu"/>
    <x v="0"/>
    <x v="1"/>
    <x v="1"/>
    <x v="0"/>
    <x v="0"/>
  </r>
  <r>
    <x v="396"/>
    <x v="135"/>
    <x v="2"/>
    <d v="2002-11-10T00:00:00"/>
    <s v="O-"/>
    <x v="241"/>
    <x v="105"/>
    <x v="374"/>
    <x v="6"/>
    <x v="2"/>
    <s v="684436"/>
    <s v="9022167114"/>
    <s v="saanvi.rao584@student.college.edu"/>
    <x v="3"/>
    <x v="3"/>
    <x v="3"/>
    <x v="2"/>
    <x v="2"/>
  </r>
  <r>
    <x v="397"/>
    <x v="31"/>
    <x v="2"/>
    <d v="2003-06-21T00:00:00"/>
    <s v="A-"/>
    <x v="54"/>
    <x v="94"/>
    <x v="375"/>
    <x v="9"/>
    <x v="0"/>
    <s v="905227"/>
    <s v="9662640650"/>
    <s v="diya.banerjee195@student.college.edu"/>
    <x v="0"/>
    <x v="2"/>
    <x v="2"/>
    <x v="0"/>
    <x v="0"/>
  </r>
  <r>
    <x v="398"/>
    <x v="81"/>
    <x v="2"/>
    <d v="2005-07-26T00:00:00"/>
    <s v="A+"/>
    <x v="242"/>
    <x v="103"/>
    <x v="376"/>
    <x v="2"/>
    <x v="0"/>
    <s v="110152"/>
    <s v="9455818718"/>
    <s v="ishaan.reddy630@gmail.com"/>
    <x v="0"/>
    <x v="1"/>
    <x v="1"/>
    <x v="0"/>
    <x v="0"/>
  </r>
  <r>
    <x v="399"/>
    <x v="170"/>
    <x v="0"/>
    <d v="2006-01-29T00:00:00"/>
    <s v="O-"/>
    <x v="66"/>
    <x v="239"/>
    <x v="377"/>
    <x v="0"/>
    <x v="3"/>
    <s v="822534"/>
    <s v="9994394104"/>
    <s v="kavya.nair312@student.college.edu"/>
    <x v="1"/>
    <x v="0"/>
    <x v="0"/>
    <x v="1"/>
    <x v="1"/>
  </r>
  <r>
    <x v="400"/>
    <x v="226"/>
    <x v="1"/>
    <d v="2001-01-18T00:00:00"/>
    <s v="O-"/>
    <x v="243"/>
    <x v="240"/>
    <x v="206"/>
    <x v="9"/>
    <x v="3"/>
    <s v="351365"/>
    <s v="9117786199"/>
    <s v="harsha.banerjee670@gmail.com"/>
    <x v="0"/>
    <x v="3"/>
    <x v="3"/>
    <x v="0"/>
    <x v="0"/>
  </r>
  <r>
    <x v="401"/>
    <x v="162"/>
    <x v="0"/>
    <d v="2002-05-28T00:00:00"/>
    <s v="A+"/>
    <x v="21"/>
    <x v="241"/>
    <x v="378"/>
    <x v="2"/>
    <x v="2"/>
    <s v="357090"/>
    <s v="9461428262"/>
    <s v="surya.nair853@gmail.com"/>
    <x v="0"/>
    <x v="1"/>
    <x v="1"/>
    <x v="0"/>
    <x v="0"/>
  </r>
  <r>
    <x v="402"/>
    <x v="220"/>
    <x v="0"/>
    <d v="2005-04-04T00:00:00"/>
    <s v="B+"/>
    <x v="30"/>
    <x v="242"/>
    <x v="138"/>
    <x v="0"/>
    <x v="0"/>
    <s v="017959"/>
    <s v="9973972950"/>
    <s v="pooja.patel58@gmail.com"/>
    <x v="0"/>
    <x v="7"/>
    <x v="7"/>
    <x v="0"/>
    <x v="0"/>
  </r>
  <r>
    <x v="403"/>
    <x v="162"/>
    <x v="2"/>
    <d v="2004-04-16T00:00:00"/>
    <s v="O-"/>
    <x v="244"/>
    <x v="67"/>
    <x v="379"/>
    <x v="8"/>
    <x v="5"/>
    <s v="555435"/>
    <s v="9658617867"/>
    <s v="surya.nair981@gmail.com"/>
    <x v="1"/>
    <x v="3"/>
    <x v="3"/>
    <x v="1"/>
    <x v="1"/>
  </r>
  <r>
    <x v="404"/>
    <x v="233"/>
    <x v="0"/>
    <d v="2001-07-21T00:00:00"/>
    <s v="O+"/>
    <x v="0"/>
    <x v="243"/>
    <x v="380"/>
    <x v="0"/>
    <x v="1"/>
    <s v="164878"/>
    <s v="9093599835"/>
    <s v="sai.iyer290@gmail.com"/>
    <x v="2"/>
    <x v="6"/>
    <x v="6"/>
    <x v="2"/>
    <x v="2"/>
  </r>
  <r>
    <x v="405"/>
    <x v="234"/>
    <x v="1"/>
    <d v="2007-10-03T00:00:00"/>
    <s v="A+"/>
    <x v="79"/>
    <x v="198"/>
    <x v="381"/>
    <x v="3"/>
    <x v="2"/>
    <s v="697742"/>
    <s v="9487606356"/>
    <s v="shreya.verma840@gmail.com"/>
    <x v="1"/>
    <x v="5"/>
    <x v="5"/>
    <x v="1"/>
    <x v="1"/>
  </r>
  <r>
    <x v="406"/>
    <x v="178"/>
    <x v="0"/>
    <d v="1999-03-19T00:00:00"/>
    <s v="A+"/>
    <x v="245"/>
    <x v="0"/>
    <x v="382"/>
    <x v="5"/>
    <x v="7"/>
    <s v="562898"/>
    <s v="9751131590"/>
    <s v="aarav.rao131@gmail.com"/>
    <x v="0"/>
    <x v="0"/>
    <x v="0"/>
    <x v="0"/>
    <x v="0"/>
  </r>
  <r>
    <x v="407"/>
    <x v="235"/>
    <x v="1"/>
    <d v="2001-05-05T00:00:00"/>
    <s v="AB+"/>
    <x v="46"/>
    <x v="244"/>
    <x v="383"/>
    <x v="5"/>
    <x v="7"/>
    <s v="089190"/>
    <s v="9882041751"/>
    <s v="surya.reddy993@student.college.edu"/>
    <x v="2"/>
    <x v="4"/>
    <x v="4"/>
    <x v="2"/>
    <x v="2"/>
  </r>
  <r>
    <x v="408"/>
    <x v="236"/>
    <x v="2"/>
    <d v="2004-06-26T00:00:00"/>
    <s v="O+"/>
    <x v="246"/>
    <x v="200"/>
    <x v="244"/>
    <x v="5"/>
    <x v="4"/>
    <s v="973214"/>
    <s v="9084839848"/>
    <s v="neeraj.reddy308@student.college.edu"/>
    <x v="2"/>
    <x v="1"/>
    <x v="1"/>
    <x v="2"/>
    <x v="2"/>
  </r>
  <r>
    <x v="409"/>
    <x v="182"/>
    <x v="2"/>
    <d v="2002-01-30T00:00:00"/>
    <s v="B+"/>
    <x v="116"/>
    <x v="172"/>
    <x v="384"/>
    <x v="5"/>
    <x v="5"/>
    <s v="511670"/>
    <s v="9886341199"/>
    <s v="amrita.kumar760@student.college.edu"/>
    <x v="2"/>
    <x v="4"/>
    <x v="4"/>
    <x v="2"/>
    <x v="2"/>
  </r>
  <r>
    <x v="410"/>
    <x v="3"/>
    <x v="2"/>
    <d v="2002-06-07T00:00:00"/>
    <s v="B-"/>
    <x v="107"/>
    <x v="3"/>
    <x v="385"/>
    <x v="7"/>
    <x v="1"/>
    <s v="380890"/>
    <s v="9355108091"/>
    <s v="aarav.kumar488@gmail.com"/>
    <x v="1"/>
    <x v="4"/>
    <x v="4"/>
    <x v="1"/>
    <x v="1"/>
  </r>
  <r>
    <x v="411"/>
    <x v="237"/>
    <x v="1"/>
    <d v="1999-01-03T00:00:00"/>
    <s v="B+"/>
    <x v="40"/>
    <x v="177"/>
    <x v="386"/>
    <x v="9"/>
    <x v="7"/>
    <s v="960485"/>
    <s v="9158167726"/>
    <s v="leela.rao256@student.college.edu"/>
    <x v="3"/>
    <x v="5"/>
    <x v="5"/>
    <x v="2"/>
    <x v="2"/>
  </r>
  <r>
    <x v="412"/>
    <x v="213"/>
    <x v="0"/>
    <d v="2006-06-30T00:00:00"/>
    <s v="B-"/>
    <x v="247"/>
    <x v="245"/>
    <x v="387"/>
    <x v="8"/>
    <x v="7"/>
    <s v="465909"/>
    <s v="9301110713"/>
    <s v="ananya.mukherjee586@gmail.com"/>
    <x v="0"/>
    <x v="3"/>
    <x v="3"/>
    <x v="0"/>
    <x v="0"/>
  </r>
  <r>
    <x v="413"/>
    <x v="201"/>
    <x v="0"/>
    <d v="2004-01-26T00:00:00"/>
    <s v="A+"/>
    <x v="248"/>
    <x v="246"/>
    <x v="388"/>
    <x v="1"/>
    <x v="3"/>
    <s v="653913"/>
    <s v="9874087274"/>
    <s v="harsha.rao27@student.college.edu"/>
    <x v="3"/>
    <x v="7"/>
    <x v="7"/>
    <x v="2"/>
    <x v="2"/>
  </r>
  <r>
    <x v="414"/>
    <x v="238"/>
    <x v="2"/>
    <d v="2005-03-04T00:00:00"/>
    <s v="AB+"/>
    <x v="137"/>
    <x v="123"/>
    <x v="389"/>
    <x v="6"/>
    <x v="0"/>
    <s v="991885"/>
    <s v="9167175755"/>
    <s v="sujith.verma49@gmail.com"/>
    <x v="3"/>
    <x v="4"/>
    <x v="4"/>
    <x v="2"/>
    <x v="2"/>
  </r>
  <r>
    <x v="415"/>
    <x v="239"/>
    <x v="2"/>
    <d v="2006-08-18T00:00:00"/>
    <s v="A+"/>
    <x v="249"/>
    <x v="18"/>
    <x v="390"/>
    <x v="9"/>
    <x v="6"/>
    <s v="829929"/>
    <s v="9984190253"/>
    <s v="diya.gupta946@student.college.edu"/>
    <x v="1"/>
    <x v="4"/>
    <x v="4"/>
    <x v="1"/>
    <x v="1"/>
  </r>
  <r>
    <x v="416"/>
    <x v="240"/>
    <x v="2"/>
    <d v="2007-07-29T00:00:00"/>
    <s v="O-"/>
    <x v="250"/>
    <x v="27"/>
    <x v="391"/>
    <x v="6"/>
    <x v="4"/>
    <s v="232914"/>
    <s v="9756212365"/>
    <s v="arjun.kumar537@student.college.edu"/>
    <x v="1"/>
    <x v="3"/>
    <x v="3"/>
    <x v="1"/>
    <x v="1"/>
  </r>
  <r>
    <x v="417"/>
    <x v="22"/>
    <x v="0"/>
    <d v="2000-05-26T00:00:00"/>
    <s v="A-"/>
    <x v="30"/>
    <x v="127"/>
    <x v="392"/>
    <x v="2"/>
    <x v="3"/>
    <s v="908264"/>
    <s v="9178425079"/>
    <s v="tanvi.kumar886@gmail.com"/>
    <x v="1"/>
    <x v="1"/>
    <x v="1"/>
    <x v="1"/>
    <x v="1"/>
  </r>
  <r>
    <x v="418"/>
    <x v="241"/>
    <x v="1"/>
    <d v="2000-03-06T00:00:00"/>
    <s v="A+"/>
    <x v="147"/>
    <x v="210"/>
    <x v="393"/>
    <x v="0"/>
    <x v="7"/>
    <s v="489018"/>
    <s v="9245617758"/>
    <s v="meera.sharma385@gmail.com"/>
    <x v="2"/>
    <x v="6"/>
    <x v="6"/>
    <x v="2"/>
    <x v="2"/>
  </r>
  <r>
    <x v="419"/>
    <x v="234"/>
    <x v="2"/>
    <d v="2007-07-27T00:00:00"/>
    <s v="O-"/>
    <x v="251"/>
    <x v="160"/>
    <x v="394"/>
    <x v="6"/>
    <x v="1"/>
    <s v="378559"/>
    <s v="9867605090"/>
    <s v="shreya.verma943@gmail.com"/>
    <x v="2"/>
    <x v="7"/>
    <x v="7"/>
    <x v="2"/>
    <x v="2"/>
  </r>
  <r>
    <x v="420"/>
    <x v="68"/>
    <x v="0"/>
    <d v="2006-08-29T00:00:00"/>
    <s v="B+"/>
    <x v="159"/>
    <x v="224"/>
    <x v="395"/>
    <x v="2"/>
    <x v="2"/>
    <s v="667158"/>
    <s v="9677714035"/>
    <s v="leela.nair825@student.college.edu"/>
    <x v="0"/>
    <x v="6"/>
    <x v="6"/>
    <x v="0"/>
    <x v="0"/>
  </r>
  <r>
    <x v="421"/>
    <x v="143"/>
    <x v="2"/>
    <d v="2006-03-04T00:00:00"/>
    <s v="A-"/>
    <x v="252"/>
    <x v="127"/>
    <x v="396"/>
    <x v="6"/>
    <x v="4"/>
    <s v="273887"/>
    <s v="9931597575"/>
    <s v="surya.mukherjee408@student.college.edu"/>
    <x v="2"/>
    <x v="6"/>
    <x v="6"/>
    <x v="2"/>
    <x v="2"/>
  </r>
  <r>
    <x v="422"/>
    <x v="56"/>
    <x v="1"/>
    <d v="2003-07-16T00:00:00"/>
    <s v="A-"/>
    <x v="147"/>
    <x v="193"/>
    <x v="397"/>
    <x v="6"/>
    <x v="5"/>
    <s v="919882"/>
    <s v="9509405624"/>
    <s v="varun.rao854@student.college.edu"/>
    <x v="3"/>
    <x v="7"/>
    <x v="7"/>
    <x v="2"/>
    <x v="2"/>
  </r>
  <r>
    <x v="423"/>
    <x v="242"/>
    <x v="2"/>
    <d v="1999-02-20T00:00:00"/>
    <s v="O+"/>
    <x v="253"/>
    <x v="69"/>
    <x v="398"/>
    <x v="6"/>
    <x v="4"/>
    <s v="485689"/>
    <s v="9779823993"/>
    <s v="harsha.reddy366@student.college.edu"/>
    <x v="3"/>
    <x v="0"/>
    <x v="0"/>
    <x v="2"/>
    <x v="2"/>
  </r>
  <r>
    <x v="424"/>
    <x v="179"/>
    <x v="2"/>
    <d v="2007-12-03T00:00:00"/>
    <s v="AB+"/>
    <x v="73"/>
    <x v="15"/>
    <x v="399"/>
    <x v="9"/>
    <x v="7"/>
    <s v="182379"/>
    <s v="9822844509"/>
    <s v="leela.mukherjee23@gmail.com"/>
    <x v="2"/>
    <x v="0"/>
    <x v="0"/>
    <x v="2"/>
    <x v="2"/>
  </r>
  <r>
    <x v="425"/>
    <x v="243"/>
    <x v="2"/>
    <d v="1999-09-19T00:00:00"/>
    <s v="AB+"/>
    <x v="97"/>
    <x v="38"/>
    <x v="400"/>
    <x v="7"/>
    <x v="2"/>
    <s v="471363"/>
    <s v="9632754795"/>
    <s v="saanvi.mukherjee884@student.college.edu"/>
    <x v="2"/>
    <x v="0"/>
    <x v="0"/>
    <x v="2"/>
    <x v="2"/>
  </r>
  <r>
    <x v="426"/>
    <x v="234"/>
    <x v="2"/>
    <d v="2005-11-19T00:00:00"/>
    <s v="B+"/>
    <x v="28"/>
    <x v="90"/>
    <x v="401"/>
    <x v="5"/>
    <x v="5"/>
    <s v="809730"/>
    <s v="9476834813"/>
    <s v="shreya.verma182@gmail.com"/>
    <x v="1"/>
    <x v="6"/>
    <x v="6"/>
    <x v="1"/>
    <x v="1"/>
  </r>
  <r>
    <x v="427"/>
    <x v="221"/>
    <x v="0"/>
    <d v="2001-04-01T00:00:00"/>
    <s v="A-"/>
    <x v="251"/>
    <x v="50"/>
    <x v="402"/>
    <x v="4"/>
    <x v="0"/>
    <s v="506903"/>
    <s v="9195030958"/>
    <s v="sai.nair979@student.college.edu"/>
    <x v="1"/>
    <x v="4"/>
    <x v="4"/>
    <x v="1"/>
    <x v="1"/>
  </r>
  <r>
    <x v="428"/>
    <x v="187"/>
    <x v="0"/>
    <d v="2000-02-02T00:00:00"/>
    <s v="A+"/>
    <x v="92"/>
    <x v="181"/>
    <x v="403"/>
    <x v="3"/>
    <x v="5"/>
    <s v="878118"/>
    <s v="9005998323"/>
    <s v="nisha.reddy185@student.college.edu"/>
    <x v="1"/>
    <x v="3"/>
    <x v="3"/>
    <x v="1"/>
    <x v="1"/>
  </r>
  <r>
    <x v="429"/>
    <x v="244"/>
    <x v="1"/>
    <d v="2002-10-13T00:00:00"/>
    <s v="AB+"/>
    <x v="154"/>
    <x v="213"/>
    <x v="404"/>
    <x v="1"/>
    <x v="0"/>
    <s v="332814"/>
    <s v="9399897805"/>
    <s v="kavya.gupta680@gmail.com"/>
    <x v="1"/>
    <x v="3"/>
    <x v="3"/>
    <x v="1"/>
    <x v="1"/>
  </r>
  <r>
    <x v="430"/>
    <x v="194"/>
    <x v="2"/>
    <d v="2004-01-09T00:00:00"/>
    <s v="O+"/>
    <x v="77"/>
    <x v="247"/>
    <x v="405"/>
    <x v="6"/>
    <x v="6"/>
    <s v="001563"/>
    <s v="9977650935"/>
    <s v="rahul.iyer922@student.college.edu"/>
    <x v="0"/>
    <x v="2"/>
    <x v="2"/>
    <x v="0"/>
    <x v="0"/>
  </r>
  <r>
    <x v="431"/>
    <x v="133"/>
    <x v="2"/>
    <d v="2002-05-25T00:00:00"/>
    <s v="A+"/>
    <x v="48"/>
    <x v="40"/>
    <x v="406"/>
    <x v="9"/>
    <x v="5"/>
    <s v="560241"/>
    <s v="9237456039"/>
    <s v="nisha.sharma120@gmail.com"/>
    <x v="3"/>
    <x v="0"/>
    <x v="0"/>
    <x v="2"/>
    <x v="2"/>
  </r>
  <r>
    <x v="432"/>
    <x v="245"/>
    <x v="2"/>
    <d v="2003-03-03T00:00:00"/>
    <s v="AB+"/>
    <x v="254"/>
    <x v="107"/>
    <x v="407"/>
    <x v="3"/>
    <x v="3"/>
    <s v="845862"/>
    <s v="9872644298"/>
    <s v="sai.patel500@gmail.com"/>
    <x v="2"/>
    <x v="1"/>
    <x v="1"/>
    <x v="2"/>
    <x v="2"/>
  </r>
  <r>
    <x v="433"/>
    <x v="196"/>
    <x v="0"/>
    <d v="2000-06-11T00:00:00"/>
    <s v="A+"/>
    <x v="228"/>
    <x v="248"/>
    <x v="408"/>
    <x v="1"/>
    <x v="5"/>
    <s v="941392"/>
    <s v="9693525118"/>
    <s v="vihaan.mukherjee906@student.college.edu"/>
    <x v="1"/>
    <x v="3"/>
    <x v="3"/>
    <x v="1"/>
    <x v="1"/>
  </r>
  <r>
    <x v="434"/>
    <x v="51"/>
    <x v="2"/>
    <d v="2004-04-04T00:00:00"/>
    <s v="A-"/>
    <x v="74"/>
    <x v="166"/>
    <x v="409"/>
    <x v="8"/>
    <x v="0"/>
    <s v="782641"/>
    <s v="9509712359"/>
    <s v="arjun.das350@gmail.com"/>
    <x v="0"/>
    <x v="7"/>
    <x v="7"/>
    <x v="0"/>
    <x v="0"/>
  </r>
  <r>
    <x v="435"/>
    <x v="174"/>
    <x v="2"/>
    <d v="2003-05-22T00:00:00"/>
    <s v="B+"/>
    <x v="144"/>
    <x v="249"/>
    <x v="410"/>
    <x v="8"/>
    <x v="4"/>
    <s v="370486"/>
    <s v="9215310507"/>
    <s v="ishaan.banerjee742@gmail.com"/>
    <x v="2"/>
    <x v="4"/>
    <x v="4"/>
    <x v="2"/>
    <x v="2"/>
  </r>
  <r>
    <x v="436"/>
    <x v="246"/>
    <x v="1"/>
    <d v="2001-08-15T00:00:00"/>
    <s v="B-"/>
    <x v="2"/>
    <x v="69"/>
    <x v="411"/>
    <x v="3"/>
    <x v="0"/>
    <s v="870508"/>
    <s v="9453639242"/>
    <s v="amrita.verma652@gmail.com"/>
    <x v="3"/>
    <x v="7"/>
    <x v="7"/>
    <x v="2"/>
    <x v="2"/>
  </r>
  <r>
    <x v="437"/>
    <x v="46"/>
    <x v="2"/>
    <d v="2000-08-14T00:00:00"/>
    <s v="B-"/>
    <x v="255"/>
    <x v="250"/>
    <x v="412"/>
    <x v="0"/>
    <x v="5"/>
    <s v="308147"/>
    <s v="9524839447"/>
    <s v="nisha.iyer455@gmail.com"/>
    <x v="0"/>
    <x v="0"/>
    <x v="0"/>
    <x v="0"/>
    <x v="0"/>
  </r>
  <r>
    <x v="438"/>
    <x v="227"/>
    <x v="0"/>
    <d v="2000-06-29T00:00:00"/>
    <s v="A+"/>
    <x v="256"/>
    <x v="242"/>
    <x v="413"/>
    <x v="3"/>
    <x v="4"/>
    <s v="977348"/>
    <s v="9733345499"/>
    <s v="ananya.banerjee891@gmail.com"/>
    <x v="3"/>
    <x v="3"/>
    <x v="3"/>
    <x v="2"/>
    <x v="2"/>
  </r>
  <r>
    <x v="439"/>
    <x v="163"/>
    <x v="2"/>
    <d v="2006-05-25T00:00:00"/>
    <s v="O+"/>
    <x v="32"/>
    <x v="251"/>
    <x v="414"/>
    <x v="7"/>
    <x v="4"/>
    <s v="362751"/>
    <s v="9471448193"/>
    <s v="ananya.das956@student.college.edu"/>
    <x v="2"/>
    <x v="6"/>
    <x v="6"/>
    <x v="2"/>
    <x v="2"/>
  </r>
  <r>
    <x v="440"/>
    <x v="247"/>
    <x v="2"/>
    <d v="1999-08-05T00:00:00"/>
    <s v="O+"/>
    <x v="257"/>
    <x v="215"/>
    <x v="415"/>
    <x v="5"/>
    <x v="3"/>
    <s v="839584"/>
    <s v="9721591456"/>
    <s v="aditya.sharma163@gmail.com"/>
    <x v="0"/>
    <x v="3"/>
    <x v="3"/>
    <x v="0"/>
    <x v="0"/>
  </r>
  <r>
    <x v="441"/>
    <x v="95"/>
    <x v="2"/>
    <d v="2003-12-28T00:00:00"/>
    <s v="O+"/>
    <x v="33"/>
    <x v="10"/>
    <x v="11"/>
    <x v="4"/>
    <x v="5"/>
    <s v="759345"/>
    <s v="9404633031"/>
    <s v="kabir.banerjee640@gmail.com"/>
    <x v="1"/>
    <x v="4"/>
    <x v="4"/>
    <x v="1"/>
    <x v="1"/>
  </r>
  <r>
    <x v="442"/>
    <x v="95"/>
    <x v="2"/>
    <d v="2006-02-10T00:00:00"/>
    <s v="O+"/>
    <x v="61"/>
    <x v="137"/>
    <x v="416"/>
    <x v="7"/>
    <x v="6"/>
    <s v="932599"/>
    <s v="9031672932"/>
    <s v="kabir.banerjee778@gmail.com"/>
    <x v="2"/>
    <x v="0"/>
    <x v="0"/>
    <x v="2"/>
    <x v="2"/>
  </r>
  <r>
    <x v="443"/>
    <x v="133"/>
    <x v="2"/>
    <d v="2005-12-31T00:00:00"/>
    <s v="O+"/>
    <x v="217"/>
    <x v="25"/>
    <x v="417"/>
    <x v="5"/>
    <x v="2"/>
    <s v="306638"/>
    <s v="9874397542"/>
    <s v="nisha.sharma936@gmail.com"/>
    <x v="2"/>
    <x v="0"/>
    <x v="0"/>
    <x v="2"/>
    <x v="2"/>
  </r>
  <r>
    <x v="444"/>
    <x v="86"/>
    <x v="2"/>
    <d v="1999-04-05T00:00:00"/>
    <s v="AB+"/>
    <x v="258"/>
    <x v="62"/>
    <x v="418"/>
    <x v="8"/>
    <x v="7"/>
    <s v="052007"/>
    <s v="9739059963"/>
    <s v="leela.das681@student.college.edu"/>
    <x v="2"/>
    <x v="2"/>
    <x v="2"/>
    <x v="2"/>
    <x v="2"/>
  </r>
  <r>
    <x v="445"/>
    <x v="79"/>
    <x v="2"/>
    <d v="2007-05-14T00:00:00"/>
    <s v="A+"/>
    <x v="259"/>
    <x v="252"/>
    <x v="419"/>
    <x v="7"/>
    <x v="6"/>
    <s v="720035"/>
    <s v="9419612680"/>
    <s v="varun.gupta190@student.college.edu"/>
    <x v="3"/>
    <x v="3"/>
    <x v="3"/>
    <x v="2"/>
    <x v="2"/>
  </r>
  <r>
    <x v="446"/>
    <x v="207"/>
    <x v="1"/>
    <d v="2005-06-14T00:00:00"/>
    <s v="A+"/>
    <x v="260"/>
    <x v="106"/>
    <x v="420"/>
    <x v="5"/>
    <x v="5"/>
    <s v="872382"/>
    <s v="9462232086"/>
    <s v="kunal.gupta289@student.college.edu"/>
    <x v="2"/>
    <x v="6"/>
    <x v="6"/>
    <x v="2"/>
    <x v="2"/>
  </r>
  <r>
    <x v="447"/>
    <x v="61"/>
    <x v="1"/>
    <d v="1999-09-05T00:00:00"/>
    <s v="A-"/>
    <x v="43"/>
    <x v="82"/>
    <x v="421"/>
    <x v="7"/>
    <x v="0"/>
    <s v="379669"/>
    <s v="9573383345"/>
    <s v="saanvi.iyer763@student.college.edu"/>
    <x v="3"/>
    <x v="2"/>
    <x v="2"/>
    <x v="2"/>
    <x v="2"/>
  </r>
  <r>
    <x v="448"/>
    <x v="248"/>
    <x v="0"/>
    <d v="2004-03-19T00:00:00"/>
    <s v="B-"/>
    <x v="179"/>
    <x v="0"/>
    <x v="422"/>
    <x v="4"/>
    <x v="5"/>
    <s v="174013"/>
    <s v="9963076151"/>
    <s v="varun.iyer98@student.college.edu"/>
    <x v="1"/>
    <x v="4"/>
    <x v="4"/>
    <x v="1"/>
    <x v="1"/>
  </r>
  <r>
    <x v="449"/>
    <x v="157"/>
    <x v="2"/>
    <d v="1999-03-30T00:00:00"/>
    <s v="A+"/>
    <x v="261"/>
    <x v="7"/>
    <x v="163"/>
    <x v="5"/>
    <x v="4"/>
    <s v="474919"/>
    <s v="9090342298"/>
    <s v="kunal.iyer427@gmail.com"/>
    <x v="0"/>
    <x v="4"/>
    <x v="4"/>
    <x v="0"/>
    <x v="0"/>
  </r>
  <r>
    <x v="450"/>
    <x v="227"/>
    <x v="0"/>
    <d v="2006-09-02T00:00:00"/>
    <s v="AB+"/>
    <x v="43"/>
    <x v="206"/>
    <x v="423"/>
    <x v="9"/>
    <x v="3"/>
    <s v="336154"/>
    <s v="9032969969"/>
    <s v="ananya.banerjee488@gmail.com"/>
    <x v="0"/>
    <x v="0"/>
    <x v="0"/>
    <x v="0"/>
    <x v="0"/>
  </r>
  <r>
    <x v="451"/>
    <x v="222"/>
    <x v="2"/>
    <d v="2002-08-11T00:00:00"/>
    <s v="O+"/>
    <x v="102"/>
    <x v="253"/>
    <x v="424"/>
    <x v="5"/>
    <x v="2"/>
    <s v="583831"/>
    <s v="9354997031"/>
    <s v="varun.reddy789@gmail.com"/>
    <x v="3"/>
    <x v="0"/>
    <x v="0"/>
    <x v="2"/>
    <x v="2"/>
  </r>
  <r>
    <x v="452"/>
    <x v="114"/>
    <x v="0"/>
    <d v="2001-10-07T00:00:00"/>
    <s v="B-"/>
    <x v="120"/>
    <x v="254"/>
    <x v="425"/>
    <x v="9"/>
    <x v="5"/>
    <s v="794382"/>
    <s v="9819620855"/>
    <s v="leela.sharma255@gmail.com"/>
    <x v="2"/>
    <x v="5"/>
    <x v="5"/>
    <x v="2"/>
    <x v="2"/>
  </r>
  <r>
    <x v="453"/>
    <x v="40"/>
    <x v="2"/>
    <d v="2002-04-27T00:00:00"/>
    <s v="O-"/>
    <x v="208"/>
    <x v="50"/>
    <x v="426"/>
    <x v="1"/>
    <x v="7"/>
    <s v="491655"/>
    <s v="9712274119"/>
    <s v="kunal.reddy127@student.college.edu"/>
    <x v="0"/>
    <x v="7"/>
    <x v="7"/>
    <x v="0"/>
    <x v="0"/>
  </r>
  <r>
    <x v="454"/>
    <x v="239"/>
    <x v="0"/>
    <d v="2007-01-30T00:00:00"/>
    <s v="O-"/>
    <x v="32"/>
    <x v="85"/>
    <x v="427"/>
    <x v="6"/>
    <x v="5"/>
    <s v="380255"/>
    <s v="9807100159"/>
    <s v="diya.gupta241@student.college.edu"/>
    <x v="0"/>
    <x v="0"/>
    <x v="0"/>
    <x v="0"/>
    <x v="0"/>
  </r>
  <r>
    <x v="455"/>
    <x v="94"/>
    <x v="0"/>
    <d v="2002-11-08T00:00:00"/>
    <s v="A-"/>
    <x v="183"/>
    <x v="255"/>
    <x v="428"/>
    <x v="9"/>
    <x v="6"/>
    <s v="631884"/>
    <s v="9192265082"/>
    <s v="ananya.verma44@student.college.edu"/>
    <x v="3"/>
    <x v="4"/>
    <x v="4"/>
    <x v="2"/>
    <x v="2"/>
  </r>
  <r>
    <x v="456"/>
    <x v="103"/>
    <x v="1"/>
    <d v="2002-08-01T00:00:00"/>
    <s v="O+"/>
    <x v="262"/>
    <x v="117"/>
    <x v="429"/>
    <x v="7"/>
    <x v="3"/>
    <s v="466505"/>
    <s v="9250753812"/>
    <s v="leela.gupta550@student.college.edu"/>
    <x v="0"/>
    <x v="5"/>
    <x v="5"/>
    <x v="0"/>
    <x v="0"/>
  </r>
  <r>
    <x v="457"/>
    <x v="46"/>
    <x v="1"/>
    <d v="2003-05-10T00:00:00"/>
    <s v="O-"/>
    <x v="186"/>
    <x v="238"/>
    <x v="430"/>
    <x v="5"/>
    <x v="7"/>
    <s v="836449"/>
    <s v="9672131927"/>
    <s v="nisha.iyer754@gmail.com"/>
    <x v="3"/>
    <x v="5"/>
    <x v="5"/>
    <x v="2"/>
    <x v="2"/>
  </r>
  <r>
    <x v="458"/>
    <x v="199"/>
    <x v="2"/>
    <d v="2006-04-07T00:00:00"/>
    <s v="A+"/>
    <x v="263"/>
    <x v="256"/>
    <x v="431"/>
    <x v="0"/>
    <x v="1"/>
    <s v="213477"/>
    <s v="9437945769"/>
    <s v="diya.kumar80@student.college.edu"/>
    <x v="2"/>
    <x v="2"/>
    <x v="2"/>
    <x v="2"/>
    <x v="2"/>
  </r>
  <r>
    <x v="459"/>
    <x v="114"/>
    <x v="0"/>
    <d v="1999-01-01T00:00:00"/>
    <s v="B-"/>
    <x v="40"/>
    <x v="23"/>
    <x v="432"/>
    <x v="1"/>
    <x v="1"/>
    <s v="369732"/>
    <s v="9620114999"/>
    <s v="leela.sharma124@student.college.edu"/>
    <x v="3"/>
    <x v="2"/>
    <x v="2"/>
    <x v="2"/>
    <x v="2"/>
  </r>
  <r>
    <x v="460"/>
    <x v="36"/>
    <x v="1"/>
    <d v="2001-08-19T00:00:00"/>
    <s v="A-"/>
    <x v="115"/>
    <x v="168"/>
    <x v="433"/>
    <x v="7"/>
    <x v="2"/>
    <s v="062330"/>
    <s v="9441086987"/>
    <s v="kabir.verma737@gmail.com"/>
    <x v="0"/>
    <x v="2"/>
    <x v="2"/>
    <x v="0"/>
    <x v="0"/>
  </r>
  <r>
    <x v="461"/>
    <x v="230"/>
    <x v="2"/>
    <d v="2001-08-19T00:00:00"/>
    <s v="B-"/>
    <x v="4"/>
    <x v="234"/>
    <x v="434"/>
    <x v="3"/>
    <x v="6"/>
    <s v="577772"/>
    <s v="9038539753"/>
    <s v="tanvi.nair655@gmail.com"/>
    <x v="3"/>
    <x v="1"/>
    <x v="1"/>
    <x v="2"/>
    <x v="2"/>
  </r>
  <r>
    <x v="462"/>
    <x v="199"/>
    <x v="0"/>
    <d v="2007-08-09T00:00:00"/>
    <s v="O-"/>
    <x v="91"/>
    <x v="87"/>
    <x v="435"/>
    <x v="9"/>
    <x v="6"/>
    <s v="346833"/>
    <s v="9478105865"/>
    <s v="diya.kumar554@student.college.edu"/>
    <x v="3"/>
    <x v="3"/>
    <x v="3"/>
    <x v="2"/>
    <x v="2"/>
  </r>
  <r>
    <x v="463"/>
    <x v="76"/>
    <x v="0"/>
    <d v="1999-12-01T00:00:00"/>
    <s v="O+"/>
    <x v="264"/>
    <x v="186"/>
    <x v="436"/>
    <x v="9"/>
    <x v="0"/>
    <s v="525976"/>
    <s v="9743839582"/>
    <s v="sujith.mukherjee360@gmail.com"/>
    <x v="2"/>
    <x v="3"/>
    <x v="3"/>
    <x v="2"/>
    <x v="2"/>
  </r>
  <r>
    <x v="464"/>
    <x v="226"/>
    <x v="0"/>
    <d v="2000-09-29T00:00:00"/>
    <s v="B-"/>
    <x v="233"/>
    <x v="95"/>
    <x v="437"/>
    <x v="9"/>
    <x v="0"/>
    <s v="496373"/>
    <s v="9269102286"/>
    <s v="harsha.banerjee69@gmail.com"/>
    <x v="2"/>
    <x v="1"/>
    <x v="1"/>
    <x v="2"/>
    <x v="2"/>
  </r>
  <r>
    <x v="465"/>
    <x v="31"/>
    <x v="0"/>
    <d v="1999-02-13T00:00:00"/>
    <s v="O+"/>
    <x v="113"/>
    <x v="241"/>
    <x v="438"/>
    <x v="5"/>
    <x v="3"/>
    <s v="454604"/>
    <s v="9030783506"/>
    <s v="diya.banerjee636@gmail.com"/>
    <x v="1"/>
    <x v="2"/>
    <x v="2"/>
    <x v="1"/>
    <x v="1"/>
  </r>
  <r>
    <x v="466"/>
    <x v="176"/>
    <x v="0"/>
    <d v="2007-07-07T00:00:00"/>
    <s v="AB+"/>
    <x v="265"/>
    <x v="177"/>
    <x v="439"/>
    <x v="1"/>
    <x v="4"/>
    <s v="779472"/>
    <s v="9903782401"/>
    <s v="ira.sharma884@student.college.edu"/>
    <x v="1"/>
    <x v="6"/>
    <x v="6"/>
    <x v="1"/>
    <x v="1"/>
  </r>
  <r>
    <x v="467"/>
    <x v="161"/>
    <x v="0"/>
    <d v="2002-01-30T00:00:00"/>
    <s v="O-"/>
    <x v="113"/>
    <x v="88"/>
    <x v="440"/>
    <x v="0"/>
    <x v="0"/>
    <s v="649212"/>
    <s v="9311814078"/>
    <s v="priya.gupta928@student.college.edu"/>
    <x v="1"/>
    <x v="2"/>
    <x v="2"/>
    <x v="1"/>
    <x v="1"/>
  </r>
  <r>
    <x v="468"/>
    <x v="249"/>
    <x v="2"/>
    <d v="2002-10-24T00:00:00"/>
    <s v="A+"/>
    <x v="92"/>
    <x v="134"/>
    <x v="127"/>
    <x v="1"/>
    <x v="0"/>
    <s v="119604"/>
    <s v="9747835404"/>
    <s v="rahul.gupta719@gmail.com"/>
    <x v="2"/>
    <x v="6"/>
    <x v="6"/>
    <x v="2"/>
    <x v="2"/>
  </r>
  <r>
    <x v="469"/>
    <x v="66"/>
    <x v="0"/>
    <d v="2004-04-28T00:00:00"/>
    <s v="A+"/>
    <x v="32"/>
    <x v="109"/>
    <x v="441"/>
    <x v="1"/>
    <x v="1"/>
    <s v="156493"/>
    <s v="9207145211"/>
    <s v="kunal.banerjee719@gmail.com"/>
    <x v="0"/>
    <x v="2"/>
    <x v="2"/>
    <x v="0"/>
    <x v="0"/>
  </r>
  <r>
    <x v="470"/>
    <x v="250"/>
    <x v="2"/>
    <d v="2004-11-18T00:00:00"/>
    <s v="AB+"/>
    <x v="136"/>
    <x v="105"/>
    <x v="442"/>
    <x v="8"/>
    <x v="7"/>
    <s v="988144"/>
    <s v="9036581158"/>
    <s v="priya.sharma70@gmail.com"/>
    <x v="2"/>
    <x v="4"/>
    <x v="4"/>
    <x v="2"/>
    <x v="2"/>
  </r>
  <r>
    <x v="471"/>
    <x v="37"/>
    <x v="0"/>
    <d v="2006-01-06T00:00:00"/>
    <s v="AB+"/>
    <x v="103"/>
    <x v="257"/>
    <x v="443"/>
    <x v="6"/>
    <x v="1"/>
    <s v="870693"/>
    <s v="9687167867"/>
    <s v="rohan.banerjee162@student.college.edu"/>
    <x v="0"/>
    <x v="7"/>
    <x v="7"/>
    <x v="0"/>
    <x v="0"/>
  </r>
  <r>
    <x v="472"/>
    <x v="251"/>
    <x v="0"/>
    <d v="2005-09-22T00:00:00"/>
    <s v="B-"/>
    <x v="2"/>
    <x v="115"/>
    <x v="444"/>
    <x v="7"/>
    <x v="7"/>
    <s v="226938"/>
    <s v="9698447855"/>
    <s v="neeraj.verma699@student.college.edu"/>
    <x v="0"/>
    <x v="6"/>
    <x v="6"/>
    <x v="0"/>
    <x v="0"/>
  </r>
  <r>
    <x v="473"/>
    <x v="20"/>
    <x v="0"/>
    <d v="2004-12-22T00:00:00"/>
    <s v="O-"/>
    <x v="189"/>
    <x v="149"/>
    <x v="445"/>
    <x v="0"/>
    <x v="3"/>
    <s v="529321"/>
    <s v="9913625616"/>
    <s v="varun.kumar806@student.college.edu"/>
    <x v="0"/>
    <x v="3"/>
    <x v="3"/>
    <x v="0"/>
    <x v="0"/>
  </r>
  <r>
    <x v="474"/>
    <x v="252"/>
    <x v="0"/>
    <d v="2006-12-28T00:00:00"/>
    <s v="B+"/>
    <x v="266"/>
    <x v="243"/>
    <x v="446"/>
    <x v="3"/>
    <x v="5"/>
    <s v="172256"/>
    <s v="9388337943"/>
    <s v="tanvi.banerjee261@student.college.edu"/>
    <x v="2"/>
    <x v="1"/>
    <x v="1"/>
    <x v="2"/>
    <x v="2"/>
  </r>
  <r>
    <x v="475"/>
    <x v="35"/>
    <x v="0"/>
    <d v="1999-01-14T00:00:00"/>
    <s v="A-"/>
    <x v="153"/>
    <x v="258"/>
    <x v="447"/>
    <x v="4"/>
    <x v="3"/>
    <s v="542964"/>
    <s v="9143117900"/>
    <s v="sujith.das111@gmail.com"/>
    <x v="2"/>
    <x v="1"/>
    <x v="1"/>
    <x v="2"/>
    <x v="2"/>
  </r>
  <r>
    <x v="476"/>
    <x v="108"/>
    <x v="1"/>
    <d v="2005-05-09T00:00:00"/>
    <s v="AB+"/>
    <x v="146"/>
    <x v="208"/>
    <x v="448"/>
    <x v="0"/>
    <x v="6"/>
    <s v="226793"/>
    <s v="9205719350"/>
    <s v="ishaan.sharma165@student.college.edu"/>
    <x v="0"/>
    <x v="7"/>
    <x v="7"/>
    <x v="0"/>
    <x v="0"/>
  </r>
  <r>
    <x v="477"/>
    <x v="36"/>
    <x v="2"/>
    <d v="2003-07-23T00:00:00"/>
    <s v="A-"/>
    <x v="197"/>
    <x v="33"/>
    <x v="449"/>
    <x v="5"/>
    <x v="3"/>
    <s v="123553"/>
    <s v="9210747363"/>
    <s v="kabir.verma555@gmail.com"/>
    <x v="1"/>
    <x v="1"/>
    <x v="1"/>
    <x v="1"/>
    <x v="1"/>
  </r>
  <r>
    <x v="478"/>
    <x v="253"/>
    <x v="0"/>
    <d v="2002-08-12T00:00:00"/>
    <s v="O+"/>
    <x v="267"/>
    <x v="245"/>
    <x v="450"/>
    <x v="3"/>
    <x v="4"/>
    <s v="376637"/>
    <s v="9234222640"/>
    <s v="pooja.das958@student.college.edu"/>
    <x v="2"/>
    <x v="7"/>
    <x v="7"/>
    <x v="2"/>
    <x v="2"/>
  </r>
  <r>
    <x v="479"/>
    <x v="254"/>
    <x v="0"/>
    <d v="2005-05-30T00:00:00"/>
    <s v="A+"/>
    <x v="159"/>
    <x v="192"/>
    <x v="451"/>
    <x v="4"/>
    <x v="6"/>
    <s v="022394"/>
    <s v="9186588937"/>
    <s v="varun.sharma93@student.college.edu"/>
    <x v="2"/>
    <x v="5"/>
    <x v="5"/>
    <x v="2"/>
    <x v="2"/>
  </r>
  <r>
    <x v="480"/>
    <x v="2"/>
    <x v="0"/>
    <d v="2004-01-30T00:00:00"/>
    <s v="A+"/>
    <x v="268"/>
    <x v="10"/>
    <x v="452"/>
    <x v="5"/>
    <x v="6"/>
    <s v="352006"/>
    <s v="9799159828"/>
    <s v="aditya.das201@student.college.edu"/>
    <x v="2"/>
    <x v="5"/>
    <x v="5"/>
    <x v="2"/>
    <x v="2"/>
  </r>
  <r>
    <x v="481"/>
    <x v="255"/>
    <x v="1"/>
    <d v="2000-05-23T00:00:00"/>
    <s v="A-"/>
    <x v="269"/>
    <x v="51"/>
    <x v="453"/>
    <x v="8"/>
    <x v="5"/>
    <s v="208750"/>
    <s v="9501011885"/>
    <s v="sujith.gupta286@gmail.com"/>
    <x v="1"/>
    <x v="4"/>
    <x v="4"/>
    <x v="1"/>
    <x v="1"/>
  </r>
  <r>
    <x v="482"/>
    <x v="256"/>
    <x v="1"/>
    <d v="2001-10-13T00:00:00"/>
    <s v="A-"/>
    <x v="249"/>
    <x v="188"/>
    <x v="454"/>
    <x v="8"/>
    <x v="1"/>
    <s v="254757"/>
    <s v="9846575842"/>
    <s v="varun.verma960@gmail.com"/>
    <x v="1"/>
    <x v="4"/>
    <x v="4"/>
    <x v="1"/>
    <x v="1"/>
  </r>
  <r>
    <x v="483"/>
    <x v="257"/>
    <x v="2"/>
    <d v="1999-10-28T00:00:00"/>
    <s v="B+"/>
    <x v="211"/>
    <x v="257"/>
    <x v="455"/>
    <x v="6"/>
    <x v="6"/>
    <s v="204727"/>
    <s v="9745717319"/>
    <s v="pooja.sharma926@gmail.com"/>
    <x v="1"/>
    <x v="1"/>
    <x v="1"/>
    <x v="1"/>
    <x v="1"/>
  </r>
  <r>
    <x v="484"/>
    <x v="258"/>
    <x v="0"/>
    <d v="2003-03-02T00:00:00"/>
    <s v="A-"/>
    <x v="140"/>
    <x v="259"/>
    <x v="456"/>
    <x v="5"/>
    <x v="5"/>
    <s v="892043"/>
    <s v="9645354984"/>
    <s v="riya.mukherjee361@gmail.com"/>
    <x v="0"/>
    <x v="4"/>
    <x v="4"/>
    <x v="0"/>
    <x v="0"/>
  </r>
  <r>
    <x v="485"/>
    <x v="259"/>
    <x v="2"/>
    <d v="2007-05-07T00:00:00"/>
    <s v="A-"/>
    <x v="49"/>
    <x v="260"/>
    <x v="457"/>
    <x v="9"/>
    <x v="7"/>
    <s v="047462"/>
    <s v="9051447077"/>
    <s v="aarav.verma580@student.college.edu"/>
    <x v="1"/>
    <x v="0"/>
    <x v="0"/>
    <x v="1"/>
    <x v="1"/>
  </r>
  <r>
    <x v="486"/>
    <x v="229"/>
    <x v="0"/>
    <d v="2007-03-16T00:00:00"/>
    <s v="O+"/>
    <x v="116"/>
    <x v="152"/>
    <x v="407"/>
    <x v="1"/>
    <x v="6"/>
    <s v="220014"/>
    <s v="9178459291"/>
    <s v="tanvi.mukherjee39@gmail.com"/>
    <x v="1"/>
    <x v="6"/>
    <x v="6"/>
    <x v="1"/>
    <x v="1"/>
  </r>
  <r>
    <x v="487"/>
    <x v="260"/>
    <x v="2"/>
    <d v="2006-07-18T00:00:00"/>
    <s v="O-"/>
    <x v="74"/>
    <x v="82"/>
    <x v="458"/>
    <x v="3"/>
    <x v="7"/>
    <s v="892588"/>
    <s v="9365685687"/>
    <s v="rohan.kumar252@student.college.edu"/>
    <x v="2"/>
    <x v="1"/>
    <x v="1"/>
    <x v="2"/>
    <x v="2"/>
  </r>
  <r>
    <x v="488"/>
    <x v="261"/>
    <x v="0"/>
    <d v="2004-09-15T00:00:00"/>
    <s v="O-"/>
    <x v="40"/>
    <x v="191"/>
    <x v="459"/>
    <x v="0"/>
    <x v="0"/>
    <s v="858294"/>
    <s v="9105374301"/>
    <s v="saanvi.nair493@student.college.edu"/>
    <x v="0"/>
    <x v="2"/>
    <x v="2"/>
    <x v="0"/>
    <x v="0"/>
  </r>
  <r>
    <x v="489"/>
    <x v="149"/>
    <x v="0"/>
    <d v="2000-09-22T00:00:00"/>
    <s v="A-"/>
    <x v="270"/>
    <x v="254"/>
    <x v="460"/>
    <x v="1"/>
    <x v="3"/>
    <s v="284954"/>
    <s v="9826113300"/>
    <s v="meera.patel816@student.college.edu"/>
    <x v="1"/>
    <x v="7"/>
    <x v="7"/>
    <x v="1"/>
    <x v="1"/>
  </r>
  <r>
    <x v="490"/>
    <x v="246"/>
    <x v="1"/>
    <d v="2006-04-08T00:00:00"/>
    <s v="O-"/>
    <x v="145"/>
    <x v="98"/>
    <x v="461"/>
    <x v="8"/>
    <x v="3"/>
    <s v="936835"/>
    <s v="9083059681"/>
    <s v="amrita.verma175@gmail.com"/>
    <x v="1"/>
    <x v="6"/>
    <x v="6"/>
    <x v="1"/>
    <x v="1"/>
  </r>
  <r>
    <x v="491"/>
    <x v="262"/>
    <x v="0"/>
    <d v="2005-11-25T00:00:00"/>
    <s v="B-"/>
    <x v="139"/>
    <x v="132"/>
    <x v="462"/>
    <x v="1"/>
    <x v="2"/>
    <s v="626606"/>
    <s v="9608668352"/>
    <s v="kunal.rao723@gmail.com"/>
    <x v="3"/>
    <x v="5"/>
    <x v="5"/>
    <x v="2"/>
    <x v="2"/>
  </r>
  <r>
    <x v="492"/>
    <x v="263"/>
    <x v="2"/>
    <d v="2001-09-12T00:00:00"/>
    <s v="B-"/>
    <x v="178"/>
    <x v="63"/>
    <x v="463"/>
    <x v="7"/>
    <x v="0"/>
    <s v="191723"/>
    <s v="9324496673"/>
    <s v="tanvi.iyer727@student.college.edu"/>
    <x v="2"/>
    <x v="0"/>
    <x v="0"/>
    <x v="2"/>
    <x v="2"/>
  </r>
  <r>
    <x v="493"/>
    <x v="245"/>
    <x v="2"/>
    <d v="2002-11-14T00:00:00"/>
    <s v="B-"/>
    <x v="7"/>
    <x v="142"/>
    <x v="464"/>
    <x v="4"/>
    <x v="2"/>
    <s v="637313"/>
    <s v="9943956079"/>
    <s v="sai.patel426@student.college.edu"/>
    <x v="0"/>
    <x v="4"/>
    <x v="4"/>
    <x v="0"/>
    <x v="0"/>
  </r>
  <r>
    <x v="494"/>
    <x v="165"/>
    <x v="2"/>
    <d v="2004-10-01T00:00:00"/>
    <s v="B-"/>
    <x v="9"/>
    <x v="60"/>
    <x v="465"/>
    <x v="6"/>
    <x v="1"/>
    <s v="767830"/>
    <s v="9485236755"/>
    <s v="vihaan.gupta911@student.college.edu"/>
    <x v="2"/>
    <x v="7"/>
    <x v="7"/>
    <x v="2"/>
    <x v="2"/>
  </r>
  <r>
    <x v="495"/>
    <x v="50"/>
    <x v="1"/>
    <d v="2002-04-03T00:00:00"/>
    <s v="AB+"/>
    <x v="160"/>
    <x v="142"/>
    <x v="314"/>
    <x v="6"/>
    <x v="0"/>
    <s v="489962"/>
    <s v="9354360292"/>
    <s v="aditi.rao272@student.college.edu"/>
    <x v="3"/>
    <x v="2"/>
    <x v="2"/>
    <x v="2"/>
    <x v="2"/>
  </r>
  <r>
    <x v="496"/>
    <x v="260"/>
    <x v="2"/>
    <d v="2003-06-15T00:00:00"/>
    <s v="A-"/>
    <x v="2"/>
    <x v="55"/>
    <x v="466"/>
    <x v="9"/>
    <x v="6"/>
    <s v="087777"/>
    <s v="9645557893"/>
    <s v="rohan.kumar744@gmail.com"/>
    <x v="3"/>
    <x v="2"/>
    <x v="2"/>
    <x v="2"/>
    <x v="2"/>
  </r>
  <r>
    <x v="497"/>
    <x v="264"/>
    <x v="2"/>
    <d v="2002-09-08T00:00:00"/>
    <s v="A+"/>
    <x v="263"/>
    <x v="169"/>
    <x v="467"/>
    <x v="0"/>
    <x v="5"/>
    <s v="664921"/>
    <s v="9093550988"/>
    <s v="tanvi.patel4@student.college.edu"/>
    <x v="0"/>
    <x v="4"/>
    <x v="4"/>
    <x v="0"/>
    <x v="0"/>
  </r>
  <r>
    <x v="498"/>
    <x v="75"/>
    <x v="0"/>
    <d v="2000-05-12T00:00:00"/>
    <s v="B-"/>
    <x v="128"/>
    <x v="113"/>
    <x v="468"/>
    <x v="3"/>
    <x v="3"/>
    <s v="730185"/>
    <s v="9209870011"/>
    <s v="kabir.kumar835@student.college.edu"/>
    <x v="0"/>
    <x v="2"/>
    <x v="2"/>
    <x v="0"/>
    <x v="0"/>
  </r>
  <r>
    <x v="499"/>
    <x v="223"/>
    <x v="0"/>
    <d v="2000-02-29T00:00:00"/>
    <s v="O+"/>
    <x v="104"/>
    <x v="29"/>
    <x v="265"/>
    <x v="5"/>
    <x v="2"/>
    <s v="770926"/>
    <s v="9947361040"/>
    <s v="ananya.patel364@student.college.edu"/>
    <x v="0"/>
    <x v="0"/>
    <x v="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EVT001"/>
    <s v="Student Association 2025 - North Zone"/>
    <x v="0"/>
    <x v="0"/>
    <s v="College Committee"/>
    <d v="2024-12-20T00:00:00"/>
    <d v="2024-12-22T00:00:00"/>
    <s v="City Hospital"/>
    <x v="0"/>
    <n v="97212"/>
  </r>
  <r>
    <s v="EVT002"/>
    <s v="Eye Camp 2025 - Inter-College"/>
    <x v="1"/>
    <x v="0"/>
    <s v="College Committee"/>
    <d v="2025-03-24T00:00:00"/>
    <d v="2025-03-25T00:00:00"/>
    <s v="Seminar Hall A"/>
    <x v="1"/>
    <n v="49676"/>
  </r>
  <r>
    <s v="EVT003"/>
    <s v="Student Association 2024 - Annual"/>
    <x v="0"/>
    <x v="1"/>
    <s v="Apollo Hospitals"/>
    <d v="2024-08-14T00:00:00"/>
    <d v="2024-08-14T00:00:00"/>
    <s v="Main Auditorium"/>
    <x v="0"/>
    <n v="97767"/>
  </r>
  <r>
    <s v="EVT004"/>
    <s v="Sports Meet 2025 - Annual"/>
    <x v="2"/>
    <x v="1"/>
    <s v="Lions Club"/>
    <d v="2025-03-22T00:00:00"/>
    <d v="2025-03-24T00:00:00"/>
    <s v="Community Center"/>
    <x v="1"/>
    <n v="120995"/>
  </r>
  <r>
    <s v="EVT005"/>
    <s v="Student Association 2024 - Annual"/>
    <x v="0"/>
    <x v="0"/>
    <s v="College Committee"/>
    <d v="2024-07-24T00:00:00"/>
    <d v="2024-07-24T00:00:00"/>
    <s v="City Hospital"/>
    <x v="0"/>
    <n v="78398"/>
  </r>
  <r>
    <s v="EVT006"/>
    <s v="Medical Camp 2024 - North Zone"/>
    <x v="3"/>
    <x v="0"/>
    <s v="College Committee"/>
    <d v="2025-08-15T00:00:00"/>
    <d v="2025-08-16T00:00:00"/>
    <s v="Main Auditorium"/>
    <x v="0"/>
    <n v="82774"/>
  </r>
  <r>
    <s v="EVT007"/>
    <s v="Sports Meet 2025 - Annual"/>
    <x v="2"/>
    <x v="1"/>
    <s v="Infosys CSR"/>
    <d v="2024-10-25T00:00:00"/>
    <d v="2024-10-26T00:00:00"/>
    <s v="Seminar Hall A"/>
    <x v="0"/>
    <n v="64129"/>
  </r>
  <r>
    <s v="EVT008"/>
    <s v="Guest Lecture 2024 - North Zone"/>
    <x v="4"/>
    <x v="0"/>
    <s v="College Committee"/>
    <d v="2024-10-04T00:00:00"/>
    <d v="2024-10-04T00:00:00"/>
    <s v="Main Auditorium"/>
    <x v="0"/>
    <n v="59553"/>
  </r>
  <r>
    <s v="EVT009"/>
    <s v="Student Association 2025 - North Zone"/>
    <x v="0"/>
    <x v="1"/>
    <s v="Apollo Hospitals"/>
    <d v="2024-08-15T00:00:00"/>
    <d v="2024-08-17T00:00:00"/>
    <s v="Grounds"/>
    <x v="0"/>
    <n v="94261"/>
  </r>
  <r>
    <s v="EVT010"/>
    <s v="Culturals 2024 - Inter-College"/>
    <x v="5"/>
    <x v="0"/>
    <s v="College Committee"/>
    <d v="2024-07-25T00:00:00"/>
    <d v="2024-07-25T00:00:00"/>
    <s v="Main Auditorium"/>
    <x v="0"/>
    <n v="46743"/>
  </r>
  <r>
    <s v="EVT011"/>
    <s v="Guest Lecture 2025 - Awareness"/>
    <x v="4"/>
    <x v="1"/>
    <s v="Aravind Eye Care"/>
    <d v="2024-09-06T00:00:00"/>
    <d v="2024-09-06T00:00:00"/>
    <s v="City Hospital"/>
    <x v="0"/>
    <n v="64221"/>
  </r>
  <r>
    <s v="EVT012"/>
    <s v="Guest Lecture 2025 - North Zone"/>
    <x v="4"/>
    <x v="0"/>
    <s v="College Committee"/>
    <d v="2025-03-21T00:00:00"/>
    <d v="2025-03-23T00:00:00"/>
    <s v="Grounds"/>
    <x v="1"/>
    <n v="143782"/>
  </r>
  <r>
    <s v="EVT013"/>
    <s v="Safety Day 2025 - Inter-College"/>
    <x v="6"/>
    <x v="1"/>
    <s v="TCS Maitree"/>
    <d v="2024-09-05T00:00:00"/>
    <d v="2024-09-05T00:00:00"/>
    <s v="Community Center"/>
    <x v="0"/>
    <n v="62894"/>
  </r>
  <r>
    <s v="EVT014"/>
    <s v="Tech Fest 2024 - North Zone"/>
    <x v="7"/>
    <x v="1"/>
    <s v="Lions Club"/>
    <d v="2024-09-23T00:00:00"/>
    <d v="2024-09-25T00:00:00"/>
    <s v="City Hospital"/>
    <x v="0"/>
    <n v="68625"/>
  </r>
  <r>
    <s v="EVT015"/>
    <s v="Culturals 2025 - Annual"/>
    <x v="5"/>
    <x v="0"/>
    <s v="College Committee"/>
    <d v="2024-09-06T00:00:00"/>
    <d v="2024-09-07T00:00:00"/>
    <s v="Grounds"/>
    <x v="0"/>
    <n v="142262"/>
  </r>
  <r>
    <s v="EVT016"/>
    <s v="Medical Camp 2024 - Annual"/>
    <x v="3"/>
    <x v="0"/>
    <s v="College Committee"/>
    <d v="2024-11-06T00:00:00"/>
    <d v="2024-11-07T00:00:00"/>
    <s v="Seminar Hall A"/>
    <x v="0"/>
    <n v="44000"/>
  </r>
  <r>
    <s v="EVT017"/>
    <s v="Student Association 2024 - North Zone"/>
    <x v="0"/>
    <x v="1"/>
    <s v="Lions Club"/>
    <d v="2024-11-02T00:00:00"/>
    <d v="2024-11-02T00:00:00"/>
    <s v="Community Center"/>
    <x v="0"/>
    <n v="79082"/>
  </r>
  <r>
    <s v="EVT018"/>
    <s v="Tech Fest 2024 - North Zone"/>
    <x v="7"/>
    <x v="1"/>
    <s v="Infosys CSR"/>
    <d v="2025-03-10T00:00:00"/>
    <d v="2025-03-10T00:00:00"/>
    <s v="Community Center"/>
    <x v="1"/>
    <n v="112778"/>
  </r>
  <r>
    <s v="EVT019"/>
    <s v="Medical Camp 2024 - Annual"/>
    <x v="3"/>
    <x v="1"/>
    <s v="Aravind Eye Care"/>
    <d v="2025-07-18T00:00:00"/>
    <d v="2025-07-18T00:00:00"/>
    <s v="Community Center"/>
    <x v="0"/>
    <n v="106856"/>
  </r>
  <r>
    <s v="EVT020"/>
    <s v="Guest Lecture 2024 - Awareness"/>
    <x v="4"/>
    <x v="1"/>
    <s v="Apollo Hospitals"/>
    <d v="2024-10-13T00:00:00"/>
    <d v="2024-10-13T00:00:00"/>
    <s v="Main Auditorium"/>
    <x v="0"/>
    <n v="59596"/>
  </r>
  <r>
    <s v="EVT021"/>
    <s v="Eye Camp 2024 - Annual"/>
    <x v="1"/>
    <x v="1"/>
    <s v="Rotary Club"/>
    <d v="2025-03-02T00:00:00"/>
    <d v="2025-03-02T00:00:00"/>
    <s v="Main Auditorium"/>
    <x v="1"/>
    <n v="41413"/>
  </r>
  <r>
    <s v="EVT022"/>
    <s v="Medical Camp 2025 - Inter-College"/>
    <x v="3"/>
    <x v="1"/>
    <s v="Aravind Eye Care"/>
    <d v="2024-09-01T00:00:00"/>
    <d v="2024-09-02T00:00:00"/>
    <s v="Seminar Hall A"/>
    <x v="0"/>
    <n v="115660"/>
  </r>
  <r>
    <s v="EVT023"/>
    <s v="Medical Camp 2024 - Annual"/>
    <x v="3"/>
    <x v="0"/>
    <s v="College Committee"/>
    <d v="2025-02-22T00:00:00"/>
    <d v="2025-02-22T00:00:00"/>
    <s v="City Hospital"/>
    <x v="1"/>
    <n v="123967"/>
  </r>
  <r>
    <s v="EVT024"/>
    <s v="Eye Camp 2024 - North Zone"/>
    <x v="1"/>
    <x v="0"/>
    <s v="College Committee"/>
    <d v="2024-08-08T00:00:00"/>
    <d v="2024-08-08T00:00:00"/>
    <s v="Seminar Hall B"/>
    <x v="0"/>
    <n v="95185"/>
  </r>
  <r>
    <s v="EVT025"/>
    <s v="Safety Day 2024 - North Zone"/>
    <x v="6"/>
    <x v="0"/>
    <s v="College Committee"/>
    <d v="2024-09-26T00:00:00"/>
    <d v="2024-09-26T00:00:00"/>
    <s v="Grounds"/>
    <x v="0"/>
    <n v="45856"/>
  </r>
  <r>
    <s v="EVT026"/>
    <s v="Student Association 2025 - North Zone"/>
    <x v="0"/>
    <x v="1"/>
    <s v="Aravind Eye Care"/>
    <d v="2025-06-11T00:00:00"/>
    <d v="2025-06-11T00:00:00"/>
    <s v="Community Center"/>
    <x v="0"/>
    <n v="138083"/>
  </r>
  <r>
    <s v="EVT027"/>
    <s v="Tech Fest 2024 - Awareness"/>
    <x v="7"/>
    <x v="1"/>
    <s v="Apollo Hospitals"/>
    <d v="2025-08-13T00:00:00"/>
    <d v="2025-08-14T00:00:00"/>
    <s v="Grounds"/>
    <x v="0"/>
    <n v="121699"/>
  </r>
  <r>
    <s v="EVT028"/>
    <s v="Guest Lecture 2024 - North Zone"/>
    <x v="4"/>
    <x v="1"/>
    <s v="Apollo Hospitals"/>
    <d v="2024-08-28T00:00:00"/>
    <d v="2024-08-28T00:00:00"/>
    <s v="Community Center"/>
    <x v="0"/>
    <n v="68522"/>
  </r>
  <r>
    <s v="EVT029"/>
    <s v="Eye Camp 2024 - Annual"/>
    <x v="1"/>
    <x v="0"/>
    <s v="College Committee"/>
    <d v="2024-09-27T00:00:00"/>
    <d v="2024-09-29T00:00:00"/>
    <s v="City Hospital"/>
    <x v="0"/>
    <n v="120870"/>
  </r>
  <r>
    <s v="EVT030"/>
    <s v="Student Association 2024 - North Zone"/>
    <x v="0"/>
    <x v="1"/>
    <s v="Lions Club"/>
    <d v="2024-09-19T00:00:00"/>
    <d v="2024-09-19T00:00:00"/>
    <s v="Community Center"/>
    <x v="0"/>
    <n v="140310"/>
  </r>
  <r>
    <s v="EVT031"/>
    <s v="Medical Camp 2024 - Inter-College"/>
    <x v="3"/>
    <x v="0"/>
    <s v="College Committee"/>
    <d v="2025-01-21T00:00:00"/>
    <d v="2025-01-21T00:00:00"/>
    <s v="City Hospital"/>
    <x v="1"/>
    <n v="126102"/>
  </r>
  <r>
    <s v="EVT032"/>
    <s v="Culturals 2025 - Annual"/>
    <x v="5"/>
    <x v="0"/>
    <s v="College Committee"/>
    <d v="2024-08-23T00:00:00"/>
    <d v="2024-08-23T00:00:00"/>
    <s v="Seminar Hall A"/>
    <x v="0"/>
    <n v="26831"/>
  </r>
  <r>
    <s v="EVT033"/>
    <s v="Sports Meet 2025 - Awareness"/>
    <x v="2"/>
    <x v="0"/>
    <s v="College Committee"/>
    <d v="2025-07-31T00:00:00"/>
    <d v="2025-07-31T00:00:00"/>
    <s v="Community Center"/>
    <x v="0"/>
    <n v="135749"/>
  </r>
  <r>
    <s v="EVT034"/>
    <s v="Guest Lecture 2025 - Awareness"/>
    <x v="4"/>
    <x v="0"/>
    <s v="College Committee"/>
    <d v="2024-11-12T00:00:00"/>
    <d v="2024-11-12T00:00:00"/>
    <s v="Seminar Hall B"/>
    <x v="0"/>
    <n v="33876"/>
  </r>
  <r>
    <s v="EVT035"/>
    <s v="Medical Camp 2025 - Inter-College"/>
    <x v="3"/>
    <x v="1"/>
    <s v="Rotary Club"/>
    <d v="2025-04-24T00:00:00"/>
    <d v="2025-04-26T00:00:00"/>
    <s v="Grounds"/>
    <x v="1"/>
    <n v="90362"/>
  </r>
  <r>
    <s v="EVT036"/>
    <s v="Guest Lecture 2025 - Annual"/>
    <x v="4"/>
    <x v="0"/>
    <s v="College Committee"/>
    <d v="2024-11-21T00:00:00"/>
    <d v="2024-11-23T00:00:00"/>
    <s v="Main Auditorium"/>
    <x v="0"/>
    <n v="43577"/>
  </r>
  <r>
    <s v="EVT037"/>
    <s v="Medical Camp 2024 - Inter-College"/>
    <x v="3"/>
    <x v="1"/>
    <s v="Infosys CSR"/>
    <d v="2024-12-15T00:00:00"/>
    <d v="2024-12-16T00:00:00"/>
    <s v="City Hospital"/>
    <x v="0"/>
    <n v="56929"/>
  </r>
  <r>
    <s v="EVT038"/>
    <s v="Student Association 2024 - Awareness"/>
    <x v="0"/>
    <x v="0"/>
    <s v="College Committee"/>
    <d v="2024-10-06T00:00:00"/>
    <d v="2024-10-06T00:00:00"/>
    <s v="Seminar Hall B"/>
    <x v="0"/>
    <n v="95157"/>
  </r>
  <r>
    <s v="EVT039"/>
    <s v="Safety Day 2024 - Annual"/>
    <x v="6"/>
    <x v="0"/>
    <s v="College Committee"/>
    <d v="2024-07-14T00:00:00"/>
    <d v="2024-07-14T00:00:00"/>
    <s v="Main Auditorium"/>
    <x v="0"/>
    <n v="35627"/>
  </r>
  <r>
    <s v="EVT040"/>
    <s v="Guest Lecture 2024 - Inter-College"/>
    <x v="4"/>
    <x v="0"/>
    <s v="College Committee"/>
    <d v="2025-05-19T00:00:00"/>
    <d v="2025-05-21T00:00:00"/>
    <s v="Seminar Hall B"/>
    <x v="1"/>
    <n v="12581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STU0001"/>
    <s v="Kunal Patel"/>
    <x v="0"/>
    <d v="2001-05-16T00:00:00"/>
    <s v="B-"/>
    <s v="Riya Iyer"/>
    <s v="Ananya Patel"/>
    <s v="143, Charminar Rd"/>
    <x v="0"/>
    <x v="0"/>
    <s v="470920"/>
    <s v="9900286241"/>
    <s v="kunal.patel971@student.college.edu"/>
    <x v="0"/>
    <s v="CRS06"/>
    <x v="0"/>
    <x v="0"/>
    <n v="6"/>
    <x v="0"/>
  </r>
  <r>
    <s v="STU0002"/>
    <s v="Sai Rao"/>
    <x v="1"/>
    <d v="2007-05-22T00:00:00"/>
    <s v="AB+"/>
    <s v="Varun Verma"/>
    <s v="Neeraj Gupta"/>
    <s v="494, Anna Salai"/>
    <x v="1"/>
    <x v="1"/>
    <s v="959391"/>
    <s v="9582636875"/>
    <s v="sai.rao43@gmail.com"/>
    <x v="1"/>
    <s v="CRS06"/>
    <x v="0"/>
    <x v="1"/>
    <n v="4"/>
    <x v="0"/>
  </r>
  <r>
    <s v="STU0003"/>
    <s v="Aditya Das"/>
    <x v="1"/>
    <d v="2002-10-29T00:00:00"/>
    <s v="AB+"/>
    <s v="Aarav Patel"/>
    <s v="Sujith Kumar"/>
    <s v="55, Charminar Rd"/>
    <x v="2"/>
    <x v="2"/>
    <s v="747928"/>
    <s v="9544728808"/>
    <s v="aditya.das250@gmail.com"/>
    <x v="1"/>
    <s v="CRS06"/>
    <x v="0"/>
    <x v="1"/>
    <n v="4"/>
    <x v="0"/>
  </r>
  <r>
    <s v="STU0004"/>
    <s v="Aarav Kumar"/>
    <x v="0"/>
    <d v="2001-01-14T00:00:00"/>
    <s v="AB+"/>
    <s v="Saanvi Reddy"/>
    <s v="Diya Nair"/>
    <s v="175, Anna Salai"/>
    <x v="3"/>
    <x v="3"/>
    <s v="551245"/>
    <s v="9247402426"/>
    <s v="aarav.kumar378@gmail.com"/>
    <x v="0"/>
    <s v="CRS07"/>
    <x v="1"/>
    <x v="0"/>
    <n v="6"/>
    <x v="1"/>
  </r>
  <r>
    <s v="STU0005"/>
    <s v="Aditi Das"/>
    <x v="0"/>
    <d v="2002-12-12T00:00:00"/>
    <s v="B+"/>
    <s v="Varun Kumar"/>
    <s v="Kunal Nair"/>
    <s v="129, Ring Road"/>
    <x v="4"/>
    <x v="4"/>
    <s v="379617"/>
    <s v="9257598233"/>
    <s v="aditi.das726@student.college.edu"/>
    <x v="2"/>
    <s v="CRS01"/>
    <x v="2"/>
    <x v="2"/>
    <n v="2"/>
    <x v="2"/>
  </r>
  <r>
    <s v="STU0006"/>
    <s v="Nisha Nair"/>
    <x v="0"/>
    <d v="2000-06-01T00:00:00"/>
    <s v="AB+"/>
    <s v="Harsha Kumar"/>
    <s v="Kabir Sharma"/>
    <s v="294, Anna Salai"/>
    <x v="2"/>
    <x v="2"/>
    <s v="410948"/>
    <s v="9406015391"/>
    <s v="nisha.nair783@gmail.com"/>
    <x v="3"/>
    <s v="CRS07"/>
    <x v="1"/>
    <x v="2"/>
    <n v="2"/>
    <x v="1"/>
  </r>
  <r>
    <s v="STU0007"/>
    <s v="Riya Kumar"/>
    <x v="0"/>
    <d v="2005-08-07T00:00:00"/>
    <s v="B-"/>
    <s v="Meera Nair"/>
    <s v="Shreya Rao"/>
    <s v="31, Brigade Road"/>
    <x v="4"/>
    <x v="4"/>
    <s v="202514"/>
    <s v="9640228022"/>
    <s v="riya.kumar811@student.college.edu"/>
    <x v="2"/>
    <s v="CRS04"/>
    <x v="3"/>
    <x v="2"/>
    <n v="2"/>
    <x v="3"/>
  </r>
  <r>
    <s v="STU0008"/>
    <s v="Harsha Gupta"/>
    <x v="0"/>
    <d v="2000-08-05T00:00:00"/>
    <s v="AB+"/>
    <s v="Aditya Sharma"/>
    <s v="Sai Nair"/>
    <s v="305, Anna Salai"/>
    <x v="0"/>
    <x v="0"/>
    <s v="434254"/>
    <s v="9587602685"/>
    <s v="harsha.gupta22@gmail.com"/>
    <x v="2"/>
    <s v="CRS03"/>
    <x v="4"/>
    <x v="2"/>
    <n v="2"/>
    <x v="4"/>
  </r>
  <r>
    <s v="STU0009"/>
    <s v="Saanvi Das"/>
    <x v="0"/>
    <d v="2003-12-17T00:00:00"/>
    <s v="O+"/>
    <s v="Surya Nair"/>
    <s v="Sai Rao"/>
    <s v="224, LBS Marg"/>
    <x v="2"/>
    <x v="2"/>
    <s v="336836"/>
    <s v="9298543394"/>
    <s v="saanvi.das527@student.college.edu"/>
    <x v="1"/>
    <s v="CRS07"/>
    <x v="1"/>
    <x v="1"/>
    <n v="4"/>
    <x v="1"/>
  </r>
  <r>
    <s v="STU0010"/>
    <s v="Vihaan Reddy"/>
    <x v="1"/>
    <d v="2003-01-21T00:00:00"/>
    <s v="B-"/>
    <s v="Kavya Kumar"/>
    <s v="Harsha Kumar"/>
    <s v="390, MG Road"/>
    <x v="3"/>
    <x v="3"/>
    <s v="594619"/>
    <s v="9621550994"/>
    <s v="vihaan.reddy121@student.college.edu"/>
    <x v="0"/>
    <s v="CRS05"/>
    <x v="5"/>
    <x v="0"/>
    <n v="6"/>
    <x v="5"/>
  </r>
  <r>
    <s v="STU0011"/>
    <s v="Meera Kumar"/>
    <x v="0"/>
    <d v="2001-09-25T00:00:00"/>
    <s v="B+"/>
    <s v="Riya Das"/>
    <s v="Arjun Patel"/>
    <s v="98, Park Street"/>
    <x v="3"/>
    <x v="3"/>
    <s v="783720"/>
    <s v="9785684437"/>
    <s v="meera.kumar387@gmail.com"/>
    <x v="3"/>
    <s v="CRS04"/>
    <x v="3"/>
    <x v="2"/>
    <n v="2"/>
    <x v="3"/>
  </r>
  <r>
    <s v="STU0012"/>
    <s v="Shreya Patel"/>
    <x v="1"/>
    <d v="2007-09-12T00:00:00"/>
    <s v="O+"/>
    <s v="Meera Sharma"/>
    <s v="Ananya Mukherjee"/>
    <s v="243, Charminar Rd"/>
    <x v="5"/>
    <x v="5"/>
    <s v="405588"/>
    <s v="9454746149"/>
    <s v="shreya.patel347@gmail.com"/>
    <x v="2"/>
    <s v="CRS06"/>
    <x v="0"/>
    <x v="2"/>
    <n v="2"/>
    <x v="0"/>
  </r>
  <r>
    <s v="STU0013"/>
    <s v="Leela Banerjee"/>
    <x v="0"/>
    <d v="2003-04-06T00:00:00"/>
    <s v="A-"/>
    <s v="Ananya Banerjee"/>
    <s v="Varun Kumar"/>
    <s v="447, MG Road"/>
    <x v="0"/>
    <x v="0"/>
    <s v="262209"/>
    <s v="9771120303"/>
    <s v="leela.banerjee442@student.college.edu"/>
    <x v="1"/>
    <s v="CRS03"/>
    <x v="4"/>
    <x v="1"/>
    <n v="4"/>
    <x v="4"/>
  </r>
  <r>
    <s v="STU0014"/>
    <s v="Sai Gupta"/>
    <x v="1"/>
    <d v="2005-11-01T00:00:00"/>
    <s v="B-"/>
    <s v="Leela Patel"/>
    <s v="Kavya Banerjee"/>
    <s v="124, LBS Marg"/>
    <x v="5"/>
    <x v="5"/>
    <s v="264684"/>
    <s v="9250992964"/>
    <s v="sai.gupta310@student.college.edu"/>
    <x v="1"/>
    <s v="CRS02"/>
    <x v="6"/>
    <x v="1"/>
    <n v="4"/>
    <x v="6"/>
  </r>
  <r>
    <s v="STU0015"/>
    <s v="Rohan Patel"/>
    <x v="1"/>
    <d v="2003-01-10T00:00:00"/>
    <s v="O+"/>
    <s v="Shreya Nair"/>
    <s v="Varun Nair"/>
    <s v="12, Charminar Rd"/>
    <x v="1"/>
    <x v="1"/>
    <s v="567064"/>
    <s v="9927636667"/>
    <s v="rohan.patel676@student.college.edu"/>
    <x v="2"/>
    <s v="CRS01"/>
    <x v="2"/>
    <x v="2"/>
    <n v="2"/>
    <x v="2"/>
  </r>
  <r>
    <s v="STU0016"/>
    <s v="Rahul Kumar"/>
    <x v="1"/>
    <d v="2005-07-01T00:00:00"/>
    <s v="O-"/>
    <s v="Diya Mukherjee"/>
    <s v="Arjun Verma"/>
    <s v="466, Anna Salai"/>
    <x v="6"/>
    <x v="6"/>
    <s v="115959"/>
    <s v="9828487319"/>
    <s v="rahul.kumar145@student.college.edu"/>
    <x v="1"/>
    <s v="CRS06"/>
    <x v="0"/>
    <x v="1"/>
    <n v="4"/>
    <x v="0"/>
  </r>
  <r>
    <s v="STU0017"/>
    <s v="Aditya Patel"/>
    <x v="1"/>
    <d v="2001-12-19T00:00:00"/>
    <s v="B+"/>
    <s v="Nisha Verma"/>
    <s v="Riya Iyer"/>
    <s v="345, Anna Salai"/>
    <x v="6"/>
    <x v="6"/>
    <s v="891208"/>
    <s v="9592089341"/>
    <s v="aditya.patel969@student.college.edu"/>
    <x v="1"/>
    <s v="CRS02"/>
    <x v="6"/>
    <x v="1"/>
    <n v="4"/>
    <x v="6"/>
  </r>
  <r>
    <s v="STU0018"/>
    <s v="Kabir Reddy"/>
    <x v="1"/>
    <d v="2000-07-09T00:00:00"/>
    <s v="B+"/>
    <s v="Ira Kumar"/>
    <s v="Diya Banerjee"/>
    <s v="487, Charminar Rd"/>
    <x v="5"/>
    <x v="5"/>
    <s v="868692"/>
    <s v="9624239396"/>
    <s v="kabir.reddy63@gmail.com"/>
    <x v="3"/>
    <s v="CRS02"/>
    <x v="6"/>
    <x v="2"/>
    <n v="2"/>
    <x v="6"/>
  </r>
  <r>
    <s v="STU0019"/>
    <s v="Leela Kumar"/>
    <x v="1"/>
    <d v="2006-06-07T00:00:00"/>
    <s v="A+"/>
    <s v="Ishaan Banerjee"/>
    <s v="Harsha Rao"/>
    <s v="498, MG Road"/>
    <x v="7"/>
    <x v="7"/>
    <s v="215072"/>
    <s v="9283190811"/>
    <s v="leela.kumar257@student.college.edu"/>
    <x v="2"/>
    <s v="CRS03"/>
    <x v="4"/>
    <x v="2"/>
    <n v="2"/>
    <x v="4"/>
  </r>
  <r>
    <s v="STU0020"/>
    <s v="Aarav Iyer"/>
    <x v="1"/>
    <d v="2005-08-08T00:00:00"/>
    <s v="O+"/>
    <s v="Ananya Sharma"/>
    <s v="Sai Nair"/>
    <s v="27, Park Street"/>
    <x v="0"/>
    <x v="0"/>
    <s v="747515"/>
    <s v="9907854904"/>
    <s v="aarav.iyer412@gmail.com"/>
    <x v="2"/>
    <s v="CRS08"/>
    <x v="7"/>
    <x v="2"/>
    <n v="2"/>
    <x v="7"/>
  </r>
  <r>
    <s v="STU0021"/>
    <s v="Varun Kumar"/>
    <x v="1"/>
    <d v="1999-11-27T00:00:00"/>
    <s v="O+"/>
    <s v="Ananya Rao"/>
    <s v="Arjun Verma"/>
    <s v="65, Anna Salai"/>
    <x v="7"/>
    <x v="7"/>
    <s v="352547"/>
    <s v="9168584848"/>
    <s v="varun.kumar409@gmail.com"/>
    <x v="2"/>
    <s v="CRS06"/>
    <x v="0"/>
    <x v="2"/>
    <n v="2"/>
    <x v="0"/>
  </r>
  <r>
    <s v="STU0022"/>
    <s v="Meera Iyer"/>
    <x v="0"/>
    <d v="2001-11-10T00:00:00"/>
    <s v="A+"/>
    <s v="Diya Gupta"/>
    <s v="Tanvi Kumar"/>
    <s v="35, Brigade Road"/>
    <x v="0"/>
    <x v="0"/>
    <s v="473109"/>
    <s v="9564894902"/>
    <s v="meera.iyer320@gmail.com"/>
    <x v="3"/>
    <s v="CRS03"/>
    <x v="4"/>
    <x v="2"/>
    <n v="2"/>
    <x v="4"/>
  </r>
  <r>
    <s v="STU0023"/>
    <s v="Tanvi Kumar"/>
    <x v="1"/>
    <d v="2000-03-19T00:00:00"/>
    <s v="AB+"/>
    <s v="Diya Das"/>
    <s v="Diya Verma"/>
    <s v="391, Anna Salai"/>
    <x v="4"/>
    <x v="4"/>
    <s v="889866"/>
    <s v="9098217330"/>
    <s v="tanvi.kumar891@student.college.edu"/>
    <x v="1"/>
    <s v="CRS02"/>
    <x v="6"/>
    <x v="1"/>
    <n v="4"/>
    <x v="6"/>
  </r>
  <r>
    <s v="STU0024"/>
    <s v="Arjun Mukherjee"/>
    <x v="1"/>
    <d v="1999-05-06T00:00:00"/>
    <s v="B+"/>
    <s v="Aditya Mukherjee"/>
    <s v="Priya Reddy"/>
    <s v="193, Charminar Rd"/>
    <x v="7"/>
    <x v="7"/>
    <s v="133958"/>
    <s v="9170044642"/>
    <s v="arjun.mukherjee525@student.college.edu"/>
    <x v="1"/>
    <s v="CRS02"/>
    <x v="6"/>
    <x v="1"/>
    <n v="4"/>
    <x v="6"/>
  </r>
  <r>
    <s v="STU0025"/>
    <s v="Rahul Banerjee"/>
    <x v="1"/>
    <d v="2005-08-26T00:00:00"/>
    <s v="B-"/>
    <s v="Saanvi Das"/>
    <s v="Tanvi Nair"/>
    <s v="24, Ring Road"/>
    <x v="1"/>
    <x v="1"/>
    <s v="032123"/>
    <s v="9071375880"/>
    <s v="rahul.banerjee883@student.college.edu"/>
    <x v="2"/>
    <s v="CRS08"/>
    <x v="7"/>
    <x v="2"/>
    <n v="2"/>
    <x v="7"/>
  </r>
  <r>
    <s v="STU0026"/>
    <s v="Surya Verma"/>
    <x v="0"/>
    <d v="2005-06-16T00:00:00"/>
    <s v="A+"/>
    <s v="Meera Rao"/>
    <s v="Ira Mukherjee"/>
    <s v="328, Charminar Rd"/>
    <x v="0"/>
    <x v="0"/>
    <s v="491946"/>
    <s v="9341440872"/>
    <s v="surya.verma798@student.college.edu"/>
    <x v="2"/>
    <s v="CRS04"/>
    <x v="3"/>
    <x v="2"/>
    <n v="2"/>
    <x v="3"/>
  </r>
  <r>
    <s v="STU0027"/>
    <s v="Amrita Iyer"/>
    <x v="0"/>
    <d v="2007-02-27T00:00:00"/>
    <s v="A-"/>
    <s v="Sujith Banerjee"/>
    <s v="Sujith Gupta"/>
    <s v="121, Brigade Road"/>
    <x v="3"/>
    <x v="3"/>
    <s v="167617"/>
    <s v="9477495668"/>
    <s v="amrita.iyer643@gmail.com"/>
    <x v="1"/>
    <s v="CRS02"/>
    <x v="6"/>
    <x v="1"/>
    <n v="4"/>
    <x v="6"/>
  </r>
  <r>
    <s v="STU0028"/>
    <s v="Saanvi Kumar"/>
    <x v="0"/>
    <d v="2002-05-25T00:00:00"/>
    <s v="AB+"/>
    <s v="Pooja Nair"/>
    <s v="Shreya Sharma"/>
    <s v="181, Brigade Road"/>
    <x v="2"/>
    <x v="2"/>
    <s v="408088"/>
    <s v="9654578486"/>
    <s v="saanvi.kumar330@gmail.com"/>
    <x v="3"/>
    <s v="CRS01"/>
    <x v="2"/>
    <x v="2"/>
    <n v="2"/>
    <x v="2"/>
  </r>
  <r>
    <s v="STU0029"/>
    <s v="Riya Verma"/>
    <x v="0"/>
    <d v="2007-01-04T00:00:00"/>
    <s v="B+"/>
    <s v="Aditya Das"/>
    <s v="Harsha Gupta"/>
    <s v="21, Ring Road"/>
    <x v="2"/>
    <x v="2"/>
    <s v="563937"/>
    <s v="9606335328"/>
    <s v="riya.verma988@student.college.edu"/>
    <x v="2"/>
    <s v="CRS03"/>
    <x v="4"/>
    <x v="2"/>
    <n v="2"/>
    <x v="4"/>
  </r>
  <r>
    <s v="STU0030"/>
    <s v="Surya Iyer"/>
    <x v="0"/>
    <d v="2006-05-11T00:00:00"/>
    <s v="A-"/>
    <s v="Varun Banerjee"/>
    <s v="Ira Gupta"/>
    <s v="305, Brigade Road"/>
    <x v="6"/>
    <x v="6"/>
    <s v="631799"/>
    <s v="9906503937"/>
    <s v="surya.iyer197@student.college.edu"/>
    <x v="3"/>
    <s v="CRS02"/>
    <x v="6"/>
    <x v="2"/>
    <n v="2"/>
    <x v="6"/>
  </r>
  <r>
    <s v="STU0031"/>
    <s v="Rahul Verma"/>
    <x v="1"/>
    <d v="2007-08-24T00:00:00"/>
    <s v="O-"/>
    <s v="Nisha Mukherjee"/>
    <s v="Amrita Das"/>
    <s v="20, FC Road"/>
    <x v="5"/>
    <x v="5"/>
    <s v="511669"/>
    <s v="9703796772"/>
    <s v="rahul.verma245@gmail.com"/>
    <x v="1"/>
    <s v="CRS04"/>
    <x v="3"/>
    <x v="1"/>
    <n v="4"/>
    <x v="3"/>
  </r>
  <r>
    <s v="STU0032"/>
    <s v="Diya Banerjee"/>
    <x v="0"/>
    <d v="2003-12-10T00:00:00"/>
    <s v="O-"/>
    <s v="Riya Nair"/>
    <s v="Neeraj Patel"/>
    <s v="258, Charminar Rd"/>
    <x v="4"/>
    <x v="4"/>
    <s v="812685"/>
    <s v="9188272914"/>
    <s v="diya.banerjee970@student.college.edu"/>
    <x v="1"/>
    <s v="CRS06"/>
    <x v="0"/>
    <x v="1"/>
    <n v="4"/>
    <x v="0"/>
  </r>
  <r>
    <s v="STU0033"/>
    <s v="Surya Sharma"/>
    <x v="0"/>
    <d v="1999-08-07T00:00:00"/>
    <s v="AB+"/>
    <s v="Ira Das"/>
    <s v="Diya Reddy"/>
    <s v="198, Brigade Road"/>
    <x v="4"/>
    <x v="4"/>
    <s v="098671"/>
    <s v="9286174002"/>
    <s v="surya.sharma856@student.college.edu"/>
    <x v="1"/>
    <s v="CRS02"/>
    <x v="6"/>
    <x v="1"/>
    <n v="4"/>
    <x v="6"/>
  </r>
  <r>
    <s v="STU0034"/>
    <s v="Neeraj Nair"/>
    <x v="1"/>
    <d v="2002-05-18T00:00:00"/>
    <s v="B-"/>
    <s v="Kabir Sharma"/>
    <s v="Rohan Patel"/>
    <s v="328, LBS Marg"/>
    <x v="0"/>
    <x v="0"/>
    <s v="845657"/>
    <s v="9203516539"/>
    <s v="neeraj.nair558@student.college.edu"/>
    <x v="1"/>
    <s v="CRS01"/>
    <x v="2"/>
    <x v="1"/>
    <n v="4"/>
    <x v="2"/>
  </r>
  <r>
    <s v="STU0035"/>
    <s v="Harsha Patel"/>
    <x v="0"/>
    <d v="2001-11-04T00:00:00"/>
    <s v="B+"/>
    <s v="Aditi Sharma"/>
    <s v="Diya Verma"/>
    <s v="177, Ring Road"/>
    <x v="7"/>
    <x v="7"/>
    <s v="133686"/>
    <s v="9941179027"/>
    <s v="harsha.patel908@student.college.edu"/>
    <x v="0"/>
    <s v="CRS07"/>
    <x v="1"/>
    <x v="0"/>
    <n v="6"/>
    <x v="1"/>
  </r>
  <r>
    <s v="STU0036"/>
    <s v="Sujith Das"/>
    <x v="0"/>
    <d v="2001-11-03T00:00:00"/>
    <s v="AB+"/>
    <s v="Vihaan Banerjee"/>
    <s v="Ishaan Nair"/>
    <s v="183, MG Road"/>
    <x v="3"/>
    <x v="3"/>
    <s v="138783"/>
    <s v="9944958706"/>
    <s v="sujith.das843@student.college.edu"/>
    <x v="0"/>
    <s v="CRS06"/>
    <x v="0"/>
    <x v="0"/>
    <n v="6"/>
    <x v="0"/>
  </r>
  <r>
    <s v="STU0037"/>
    <s v="Kabir Verma"/>
    <x v="0"/>
    <d v="2006-05-31T00:00:00"/>
    <s v="A+"/>
    <s v="Rahul Nair"/>
    <s v="Riya Rao"/>
    <s v="368, Charminar Rd"/>
    <x v="2"/>
    <x v="2"/>
    <s v="308392"/>
    <s v="9990638691"/>
    <s v="kabir.verma623@gmail.com"/>
    <x v="3"/>
    <s v="CRS02"/>
    <x v="6"/>
    <x v="2"/>
    <n v="2"/>
    <x v="6"/>
  </r>
  <r>
    <s v="STU0038"/>
    <s v="Rohan Banerjee"/>
    <x v="0"/>
    <d v="2003-01-23T00:00:00"/>
    <s v="O+"/>
    <s v="Ira Rao"/>
    <s v="Vihaan Rao"/>
    <s v="79, LBS Marg"/>
    <x v="7"/>
    <x v="7"/>
    <s v="401332"/>
    <s v="9901591772"/>
    <s v="rohan.banerjee627@gmail.com"/>
    <x v="1"/>
    <s v="CRS04"/>
    <x v="3"/>
    <x v="1"/>
    <n v="4"/>
    <x v="3"/>
  </r>
  <r>
    <s v="STU0039"/>
    <s v="Kabir Gupta"/>
    <x v="1"/>
    <d v="2004-01-26T00:00:00"/>
    <s v="AB+"/>
    <s v="Sai Mukherjee"/>
    <s v="Riya Verma"/>
    <s v="415, FC Road"/>
    <x v="0"/>
    <x v="0"/>
    <s v="522177"/>
    <s v="9132972435"/>
    <s v="kabir.gupta479@student.college.edu"/>
    <x v="2"/>
    <s v="CRS02"/>
    <x v="6"/>
    <x v="2"/>
    <n v="2"/>
    <x v="6"/>
  </r>
  <r>
    <s v="STU0040"/>
    <s v="Rahul Patel"/>
    <x v="1"/>
    <d v="2007-01-23T00:00:00"/>
    <s v="B+"/>
    <s v="Saanvi Das"/>
    <s v="Meera Patel"/>
    <s v="422, Brigade Road"/>
    <x v="7"/>
    <x v="7"/>
    <s v="646387"/>
    <s v="9619490111"/>
    <s v="rahul.patel331@student.college.edu"/>
    <x v="0"/>
    <s v="CRS02"/>
    <x v="6"/>
    <x v="0"/>
    <n v="6"/>
    <x v="6"/>
  </r>
  <r>
    <s v="STU0041"/>
    <s v="Kunal Reddy"/>
    <x v="1"/>
    <d v="2005-03-06T00:00:00"/>
    <s v="B-"/>
    <s v="Kunal Gupta"/>
    <s v="Harsha Nair"/>
    <s v="315, Brigade Road"/>
    <x v="5"/>
    <x v="5"/>
    <s v="551693"/>
    <s v="9908097225"/>
    <s v="kunal.reddy633@student.college.edu"/>
    <x v="0"/>
    <s v="CRS05"/>
    <x v="5"/>
    <x v="0"/>
    <n v="6"/>
    <x v="5"/>
  </r>
  <r>
    <s v="STU0042"/>
    <s v="Saanvi Reddy"/>
    <x v="0"/>
    <d v="2003-07-22T00:00:00"/>
    <s v="B+"/>
    <s v="Rahul Kumar"/>
    <s v="Aditya Mukherjee"/>
    <s v="31, Park Street"/>
    <x v="6"/>
    <x v="6"/>
    <s v="426377"/>
    <s v="9891353422"/>
    <s v="saanvi.reddy100@student.college.edu"/>
    <x v="1"/>
    <s v="CRS07"/>
    <x v="1"/>
    <x v="1"/>
    <n v="4"/>
    <x v="1"/>
  </r>
  <r>
    <s v="STU0043"/>
    <s v="Rohan Gupta"/>
    <x v="0"/>
    <d v="2005-06-24T00:00:00"/>
    <s v="O-"/>
    <s v="Aditi Iyer"/>
    <s v="Ishaan Gupta"/>
    <s v="256, LBS Marg"/>
    <x v="3"/>
    <x v="3"/>
    <s v="403425"/>
    <s v="9025862011"/>
    <s v="rohan.gupta271@gmail.com"/>
    <x v="1"/>
    <s v="CRS06"/>
    <x v="0"/>
    <x v="1"/>
    <n v="4"/>
    <x v="0"/>
  </r>
  <r>
    <s v="STU0044"/>
    <s v="Vihaan Patel"/>
    <x v="1"/>
    <d v="2005-05-24T00:00:00"/>
    <s v="O-"/>
    <s v="Nisha Reddy"/>
    <s v="Diya Das"/>
    <s v="148, Brigade Road"/>
    <x v="2"/>
    <x v="2"/>
    <s v="729619"/>
    <s v="9373971550"/>
    <s v="vihaan.patel141@gmail.com"/>
    <x v="1"/>
    <s v="CRS08"/>
    <x v="7"/>
    <x v="1"/>
    <n v="4"/>
    <x v="7"/>
  </r>
  <r>
    <s v="STU0045"/>
    <s v="Arjun Rao"/>
    <x v="1"/>
    <d v="2000-07-26T00:00:00"/>
    <s v="O+"/>
    <s v="Ananya Rao"/>
    <s v="Ananya Gupta"/>
    <s v="202, Anna Salai"/>
    <x v="7"/>
    <x v="7"/>
    <s v="554540"/>
    <s v="9314388652"/>
    <s v="arjun.rao672@student.college.edu"/>
    <x v="2"/>
    <s v="CRS08"/>
    <x v="7"/>
    <x v="2"/>
    <n v="2"/>
    <x v="7"/>
  </r>
  <r>
    <s v="STU0046"/>
    <s v="Sai Das"/>
    <x v="1"/>
    <d v="2007-02-01T00:00:00"/>
    <s v="A-"/>
    <s v="Kavya Patel"/>
    <s v="Arjun Banerjee"/>
    <s v="125, MG Road"/>
    <x v="0"/>
    <x v="0"/>
    <s v="144425"/>
    <s v="9648775594"/>
    <s v="sai.das386@gmail.com"/>
    <x v="1"/>
    <s v="CRS06"/>
    <x v="0"/>
    <x v="1"/>
    <n v="4"/>
    <x v="0"/>
  </r>
  <r>
    <s v="STU0047"/>
    <s v="Nisha Iyer"/>
    <x v="0"/>
    <d v="2007-08-29T00:00:00"/>
    <s v="B-"/>
    <s v="Leela Mukherjee"/>
    <s v="Tanvi Banerjee"/>
    <s v="412, Anna Salai"/>
    <x v="2"/>
    <x v="2"/>
    <s v="125292"/>
    <s v="9227339721"/>
    <s v="nisha.iyer693@gmail.com"/>
    <x v="0"/>
    <s v="CRS03"/>
    <x v="4"/>
    <x v="0"/>
    <n v="6"/>
    <x v="4"/>
  </r>
  <r>
    <s v="STU0048"/>
    <s v="Rahul Sharma"/>
    <x v="0"/>
    <d v="2007-01-04T00:00:00"/>
    <s v="A+"/>
    <s v="Aditya Iyer"/>
    <s v="Surya Kumar"/>
    <s v="336, Anna Salai"/>
    <x v="4"/>
    <x v="4"/>
    <s v="259616"/>
    <s v="9526560471"/>
    <s v="rahul.sharma790@student.college.edu"/>
    <x v="3"/>
    <s v="CRS07"/>
    <x v="1"/>
    <x v="2"/>
    <n v="2"/>
    <x v="1"/>
  </r>
  <r>
    <s v="STU0049"/>
    <s v="Harsha Kumar"/>
    <x v="0"/>
    <d v="2006-04-18T00:00:00"/>
    <s v="AB+"/>
    <s v="Ishaan Nair"/>
    <s v="Ananya Nair"/>
    <s v="331, MG Road"/>
    <x v="4"/>
    <x v="4"/>
    <s v="579918"/>
    <s v="9199349998"/>
    <s v="harsha.kumar10@gmail.com"/>
    <x v="2"/>
    <s v="CRS06"/>
    <x v="0"/>
    <x v="2"/>
    <n v="2"/>
    <x v="0"/>
  </r>
  <r>
    <s v="STU0050"/>
    <s v="Rahul Kumar"/>
    <x v="1"/>
    <d v="2005-02-03T00:00:00"/>
    <s v="A-"/>
    <s v="Priya Kumar"/>
    <s v="Amrita Gupta"/>
    <s v="436, LBS Marg"/>
    <x v="4"/>
    <x v="4"/>
    <s v="837670"/>
    <s v="9326166443"/>
    <s v="rahul.kumar411@student.college.edu"/>
    <x v="3"/>
    <s v="CRS08"/>
    <x v="7"/>
    <x v="2"/>
    <n v="2"/>
    <x v="7"/>
  </r>
  <r>
    <s v="STU0051"/>
    <s v="Ananya Reddy"/>
    <x v="1"/>
    <d v="2001-12-04T00:00:00"/>
    <s v="B-"/>
    <s v="Ira Reddy"/>
    <s v="Riya Nair"/>
    <s v="489, FC Road"/>
    <x v="1"/>
    <x v="1"/>
    <s v="232641"/>
    <s v="9698766932"/>
    <s v="ananya.reddy981@student.college.edu"/>
    <x v="3"/>
    <s v="CRS08"/>
    <x v="7"/>
    <x v="2"/>
    <n v="2"/>
    <x v="7"/>
  </r>
  <r>
    <s v="STU0052"/>
    <s v="Aditi Rao"/>
    <x v="0"/>
    <d v="2003-08-31T00:00:00"/>
    <s v="O-"/>
    <s v="Varun Das"/>
    <s v="Surya Kumar"/>
    <s v="388, Ring Road"/>
    <x v="0"/>
    <x v="0"/>
    <s v="553918"/>
    <s v="9925184674"/>
    <s v="aditi.rao921@gmail.com"/>
    <x v="2"/>
    <s v="CRS08"/>
    <x v="7"/>
    <x v="2"/>
    <n v="2"/>
    <x v="7"/>
  </r>
  <r>
    <s v="STU0053"/>
    <s v="Arjun Das"/>
    <x v="0"/>
    <d v="2004-02-15T00:00:00"/>
    <s v="B+"/>
    <s v="Shreya Sharma"/>
    <s v="Nisha Kumar"/>
    <s v="345, Anna Salai"/>
    <x v="6"/>
    <x v="6"/>
    <s v="202047"/>
    <s v="9508942116"/>
    <s v="arjun.das747@gmail.com"/>
    <x v="1"/>
    <s v="CRS08"/>
    <x v="7"/>
    <x v="1"/>
    <n v="4"/>
    <x v="7"/>
  </r>
  <r>
    <s v="STU0054"/>
    <s v="Leela Patel"/>
    <x v="0"/>
    <d v="1999-11-25T00:00:00"/>
    <s v="A+"/>
    <s v="Tanvi Banerjee"/>
    <s v="Leela Das"/>
    <s v="69, FC Road"/>
    <x v="5"/>
    <x v="5"/>
    <s v="931987"/>
    <s v="9947432411"/>
    <s v="leela.patel897@student.college.edu"/>
    <x v="1"/>
    <s v="CRS01"/>
    <x v="2"/>
    <x v="1"/>
    <n v="4"/>
    <x v="2"/>
  </r>
  <r>
    <s v="STU0055"/>
    <s v="Rohan Reddy"/>
    <x v="1"/>
    <d v="2000-02-18T00:00:00"/>
    <s v="B-"/>
    <s v="Kavya Sharma"/>
    <s v="Riya Rao"/>
    <s v="345, MG Road"/>
    <x v="1"/>
    <x v="1"/>
    <s v="422805"/>
    <s v="9287356331"/>
    <s v="rohan.reddy677@student.college.edu"/>
    <x v="0"/>
    <s v="CRS05"/>
    <x v="5"/>
    <x v="0"/>
    <n v="6"/>
    <x v="5"/>
  </r>
  <r>
    <s v="STU0056"/>
    <s v="Vihaan Das"/>
    <x v="1"/>
    <d v="2007-03-31T00:00:00"/>
    <s v="AB+"/>
    <s v="Surya Gupta"/>
    <s v="Harsha Banerjee"/>
    <s v="219, LBS Marg"/>
    <x v="7"/>
    <x v="7"/>
    <s v="967341"/>
    <s v="9374837895"/>
    <s v="vihaan.das992@gmail.com"/>
    <x v="3"/>
    <s v="CRS07"/>
    <x v="1"/>
    <x v="2"/>
    <n v="2"/>
    <x v="1"/>
  </r>
  <r>
    <s v="STU0057"/>
    <s v="Rohan Nair"/>
    <x v="1"/>
    <d v="2002-09-14T00:00:00"/>
    <s v="O+"/>
    <s v="Harsha Verma"/>
    <s v="Surya Kumar"/>
    <s v="434, FC Road"/>
    <x v="4"/>
    <x v="4"/>
    <s v="036008"/>
    <s v="9562293921"/>
    <s v="rohan.nair760@student.college.edu"/>
    <x v="1"/>
    <s v="CRS04"/>
    <x v="3"/>
    <x v="1"/>
    <n v="4"/>
    <x v="3"/>
  </r>
  <r>
    <s v="STU0058"/>
    <s v="Varun Rao"/>
    <x v="1"/>
    <d v="2001-04-17T00:00:00"/>
    <s v="B+"/>
    <s v="Ira Reddy"/>
    <s v="Nisha Iyer"/>
    <s v="398, Anna Salai"/>
    <x v="2"/>
    <x v="2"/>
    <s v="532540"/>
    <s v="9948934521"/>
    <s v="varun.rao268@gmail.com"/>
    <x v="3"/>
    <s v="CRS04"/>
    <x v="3"/>
    <x v="2"/>
    <n v="2"/>
    <x v="3"/>
  </r>
  <r>
    <s v="STU0059"/>
    <s v="Ananya Reddy"/>
    <x v="0"/>
    <d v="2005-05-22T00:00:00"/>
    <s v="O-"/>
    <s v="Sujith Reddy"/>
    <s v="Saanvi Das"/>
    <s v="336, FC Road"/>
    <x v="2"/>
    <x v="2"/>
    <s v="964171"/>
    <s v="9749560089"/>
    <s v="ananya.reddy685@student.college.edu"/>
    <x v="2"/>
    <s v="CRS07"/>
    <x v="1"/>
    <x v="2"/>
    <n v="2"/>
    <x v="1"/>
  </r>
  <r>
    <s v="STU0060"/>
    <s v="Arjun Banerjee"/>
    <x v="1"/>
    <d v="1999-10-06T00:00:00"/>
    <s v="A+"/>
    <s v="Varun Gupta"/>
    <s v="Aarav Reddy"/>
    <s v="259, LBS Marg"/>
    <x v="1"/>
    <x v="1"/>
    <s v="666440"/>
    <s v="9505290868"/>
    <s v="arjun.banerjee932@student.college.edu"/>
    <x v="2"/>
    <s v="CRS03"/>
    <x v="4"/>
    <x v="2"/>
    <n v="2"/>
    <x v="4"/>
  </r>
  <r>
    <s v="STU0061"/>
    <s v="Rohan Reddy"/>
    <x v="1"/>
    <d v="2004-11-26T00:00:00"/>
    <s v="AB+"/>
    <s v="Kunal Iyer"/>
    <s v="Kunal Patel"/>
    <s v="41, FC Road"/>
    <x v="2"/>
    <x v="2"/>
    <s v="592686"/>
    <s v="9870350014"/>
    <s v="rohan.reddy445@gmail.com"/>
    <x v="2"/>
    <s v="CRS01"/>
    <x v="2"/>
    <x v="2"/>
    <n v="2"/>
    <x v="2"/>
  </r>
  <r>
    <s v="STU0062"/>
    <s v="Rohan Reddy"/>
    <x v="1"/>
    <d v="2005-05-10T00:00:00"/>
    <s v="O-"/>
    <s v="Saanvi Nair"/>
    <s v="Vihaan Verma"/>
    <s v="351, Anna Salai"/>
    <x v="1"/>
    <x v="1"/>
    <s v="180218"/>
    <s v="9892558653"/>
    <s v="rohan.reddy758@student.college.edu"/>
    <x v="2"/>
    <s v="CRS06"/>
    <x v="0"/>
    <x v="2"/>
    <n v="2"/>
    <x v="0"/>
  </r>
  <r>
    <s v="STU0063"/>
    <s v="Vihaan Verma"/>
    <x v="0"/>
    <d v="2001-08-08T00:00:00"/>
    <s v="O+"/>
    <s v="Sujith Verma"/>
    <s v="Ananya Rao"/>
    <s v="394, Charminar Rd"/>
    <x v="1"/>
    <x v="1"/>
    <s v="674253"/>
    <s v="9153722023"/>
    <s v="vihaan.verma803@student.college.edu"/>
    <x v="1"/>
    <s v="CRS06"/>
    <x v="0"/>
    <x v="1"/>
    <n v="4"/>
    <x v="0"/>
  </r>
  <r>
    <s v="STU0064"/>
    <s v="Diya Verma"/>
    <x v="1"/>
    <d v="1999-01-22T00:00:00"/>
    <s v="O+"/>
    <s v="Rahul Kumar"/>
    <s v="Diya Nair"/>
    <s v="53, Park Street"/>
    <x v="5"/>
    <x v="5"/>
    <s v="455105"/>
    <s v="9578047759"/>
    <s v="diya.verma249@student.college.edu"/>
    <x v="1"/>
    <s v="CRS03"/>
    <x v="4"/>
    <x v="1"/>
    <n v="4"/>
    <x v="4"/>
  </r>
  <r>
    <s v="STU0065"/>
    <s v="Arjun Nair"/>
    <x v="0"/>
    <d v="2002-01-04T00:00:00"/>
    <s v="B+"/>
    <s v="Saanvi Gupta"/>
    <s v="Aditya Gupta"/>
    <s v="223, Anna Salai"/>
    <x v="3"/>
    <x v="3"/>
    <s v="402265"/>
    <s v="9113936833"/>
    <s v="arjun.nair836@student.college.edu"/>
    <x v="0"/>
    <s v="CRS04"/>
    <x v="3"/>
    <x v="0"/>
    <n v="6"/>
    <x v="3"/>
  </r>
  <r>
    <s v="STU0066"/>
    <s v="Saanvi Iyer"/>
    <x v="1"/>
    <d v="2003-06-20T00:00:00"/>
    <s v="O+"/>
    <s v="Ananya Nair"/>
    <s v="Aditi Mukherjee"/>
    <s v="325, LBS Marg"/>
    <x v="4"/>
    <x v="4"/>
    <s v="327391"/>
    <s v="9917079278"/>
    <s v="saanvi.iyer71@gmail.com"/>
    <x v="1"/>
    <s v="CRS03"/>
    <x v="4"/>
    <x v="1"/>
    <n v="4"/>
    <x v="4"/>
  </r>
  <r>
    <s v="STU0067"/>
    <s v="Harsha Nair"/>
    <x v="1"/>
    <d v="2001-10-31T00:00:00"/>
    <s v="O+"/>
    <s v="Tanvi Gupta"/>
    <s v="Varun Patel"/>
    <s v="405, Charminar Rd"/>
    <x v="2"/>
    <x v="2"/>
    <s v="944596"/>
    <s v="9573856076"/>
    <s v="harsha.nair364@student.college.edu"/>
    <x v="2"/>
    <s v="CRS07"/>
    <x v="1"/>
    <x v="2"/>
    <n v="2"/>
    <x v="1"/>
  </r>
  <r>
    <s v="STU0068"/>
    <s v="Neeraj Iyer"/>
    <x v="0"/>
    <d v="2000-03-09T00:00:00"/>
    <s v="B-"/>
    <s v="Aarav Verma"/>
    <s v="Kunal Reddy"/>
    <s v="262, Ring Road"/>
    <x v="7"/>
    <x v="7"/>
    <s v="375530"/>
    <s v="9149191342"/>
    <s v="neeraj.iyer495@gmail.com"/>
    <x v="2"/>
    <s v="CRS08"/>
    <x v="7"/>
    <x v="2"/>
    <n v="2"/>
    <x v="7"/>
  </r>
  <r>
    <s v="STU0069"/>
    <s v="Aditi Mukherjee"/>
    <x v="0"/>
    <d v="2002-07-30T00:00:00"/>
    <s v="AB+"/>
    <s v="Aditya Nair"/>
    <s v="Vihaan Mukherjee"/>
    <s v="59, MG Road"/>
    <x v="0"/>
    <x v="0"/>
    <s v="619211"/>
    <s v="9592416406"/>
    <s v="aditi.mukherjee203@gmail.com"/>
    <x v="1"/>
    <s v="CRS07"/>
    <x v="1"/>
    <x v="1"/>
    <n v="4"/>
    <x v="1"/>
  </r>
  <r>
    <s v="STU0070"/>
    <s v="Aarav Mukherjee"/>
    <x v="1"/>
    <d v="2001-04-22T00:00:00"/>
    <s v="O+"/>
    <s v="Kunal Mukherjee"/>
    <s v="Pooja Verma"/>
    <s v="296, Brigade Road"/>
    <x v="5"/>
    <x v="5"/>
    <s v="311649"/>
    <s v="9333134168"/>
    <s v="aarav.mukherjee941@student.college.edu"/>
    <x v="3"/>
    <s v="CRS06"/>
    <x v="0"/>
    <x v="2"/>
    <n v="2"/>
    <x v="0"/>
  </r>
  <r>
    <s v="STU0071"/>
    <s v="Kabir Reddy"/>
    <x v="0"/>
    <d v="2000-04-24T00:00:00"/>
    <s v="AB+"/>
    <s v="Sai Iyer"/>
    <s v="Varun Gupta"/>
    <s v="262, Charminar Rd"/>
    <x v="5"/>
    <x v="5"/>
    <s v="544599"/>
    <s v="9112186894"/>
    <s v="kabir.reddy200@gmail.com"/>
    <x v="1"/>
    <s v="CRS07"/>
    <x v="1"/>
    <x v="1"/>
    <n v="4"/>
    <x v="1"/>
  </r>
  <r>
    <s v="STU0072"/>
    <s v="Tanvi Kumar"/>
    <x v="0"/>
    <d v="2006-12-18T00:00:00"/>
    <s v="B-"/>
    <s v="Sujith Kumar"/>
    <s v="Saanvi Gupta"/>
    <s v="43, MG Road"/>
    <x v="3"/>
    <x v="3"/>
    <s v="022757"/>
    <s v="9455259577"/>
    <s v="tanvi.kumar452@student.college.edu"/>
    <x v="2"/>
    <s v="CRS04"/>
    <x v="3"/>
    <x v="2"/>
    <n v="2"/>
    <x v="3"/>
  </r>
  <r>
    <s v="STU0073"/>
    <s v="Rahul Sharma"/>
    <x v="0"/>
    <d v="2001-12-12T00:00:00"/>
    <s v="A-"/>
    <s v="Diya Verma"/>
    <s v="Riya Verma"/>
    <s v="398, Ring Road"/>
    <x v="7"/>
    <x v="7"/>
    <s v="864678"/>
    <s v="9855519259"/>
    <s v="rahul.sharma527@student.college.edu"/>
    <x v="1"/>
    <s v="CRS01"/>
    <x v="2"/>
    <x v="1"/>
    <n v="4"/>
    <x v="2"/>
  </r>
  <r>
    <s v="STU0074"/>
    <s v="Kunal Banerjee"/>
    <x v="1"/>
    <d v="2006-11-13T00:00:00"/>
    <s v="O+"/>
    <s v="Leela Gupta"/>
    <s v="Rohan Gupta"/>
    <s v="365, FC Road"/>
    <x v="6"/>
    <x v="6"/>
    <s v="452446"/>
    <s v="9805293930"/>
    <s v="kunal.banerjee793@student.college.edu"/>
    <x v="1"/>
    <s v="CRS06"/>
    <x v="0"/>
    <x v="1"/>
    <n v="4"/>
    <x v="0"/>
  </r>
  <r>
    <s v="STU0075"/>
    <s v="Leela Verma"/>
    <x v="0"/>
    <d v="2003-06-18T00:00:00"/>
    <s v="O+"/>
    <s v="Ishaan Patel"/>
    <s v="Sujith Reddy"/>
    <s v="254, Anna Salai"/>
    <x v="3"/>
    <x v="3"/>
    <s v="355436"/>
    <s v="9007418409"/>
    <s v="leela.verma208@student.college.edu"/>
    <x v="0"/>
    <s v="CRS03"/>
    <x v="4"/>
    <x v="0"/>
    <n v="6"/>
    <x v="4"/>
  </r>
  <r>
    <s v="STU0076"/>
    <s v="Leela Nair"/>
    <x v="1"/>
    <d v="2006-05-05T00:00:00"/>
    <s v="B-"/>
    <s v="Diya Nair"/>
    <s v="Aditya Iyer"/>
    <s v="341, Park Street"/>
    <x v="6"/>
    <x v="6"/>
    <s v="677400"/>
    <s v="9205540318"/>
    <s v="leela.nair711@student.college.edu"/>
    <x v="2"/>
    <s v="CRS04"/>
    <x v="3"/>
    <x v="2"/>
    <n v="2"/>
    <x v="3"/>
  </r>
  <r>
    <s v="STU0077"/>
    <s v="Ira Verma"/>
    <x v="1"/>
    <d v="2000-02-24T00:00:00"/>
    <s v="B+"/>
    <s v="Kabir Iyer"/>
    <s v="Diya Nair"/>
    <s v="71, Charminar Rd"/>
    <x v="5"/>
    <x v="5"/>
    <s v="056132"/>
    <s v="9796428117"/>
    <s v="ira.verma360@gmail.com"/>
    <x v="3"/>
    <s v="CRS04"/>
    <x v="3"/>
    <x v="2"/>
    <n v="2"/>
    <x v="3"/>
  </r>
  <r>
    <s v="STU0078"/>
    <s v="Kunal Banerjee"/>
    <x v="1"/>
    <d v="2001-10-13T00:00:00"/>
    <s v="B-"/>
    <s v="Nisha Rao"/>
    <s v="Kavya Mukherjee"/>
    <s v="312, Anna Salai"/>
    <x v="3"/>
    <x v="3"/>
    <s v="261367"/>
    <s v="9723260803"/>
    <s v="kunal.banerjee325@student.college.edu"/>
    <x v="1"/>
    <s v="CRS06"/>
    <x v="0"/>
    <x v="1"/>
    <n v="4"/>
    <x v="0"/>
  </r>
  <r>
    <s v="STU0079"/>
    <s v="Nisha Banerjee"/>
    <x v="1"/>
    <d v="2007-07-22T00:00:00"/>
    <s v="AB+"/>
    <s v="Saanvi Verma"/>
    <s v="Aarav Rao"/>
    <s v="35, MG Road"/>
    <x v="4"/>
    <x v="4"/>
    <s v="007565"/>
    <s v="9470562352"/>
    <s v="nisha.banerjee828@student.college.edu"/>
    <x v="0"/>
    <s v="CRS07"/>
    <x v="1"/>
    <x v="0"/>
    <n v="6"/>
    <x v="1"/>
  </r>
  <r>
    <s v="STU0080"/>
    <s v="Shreya Banerjee"/>
    <x v="0"/>
    <d v="2006-08-21T00:00:00"/>
    <s v="A-"/>
    <s v="Harsha Verma"/>
    <s v="Rahul Mukherjee"/>
    <s v="224, Ring Road"/>
    <x v="4"/>
    <x v="4"/>
    <s v="044637"/>
    <s v="9717719577"/>
    <s v="shreya.banerjee171@gmail.com"/>
    <x v="0"/>
    <s v="CRS02"/>
    <x v="6"/>
    <x v="0"/>
    <n v="6"/>
    <x v="6"/>
  </r>
  <r>
    <s v="STU0081"/>
    <s v="Neeraj Sharma"/>
    <x v="0"/>
    <d v="2003-10-25T00:00:00"/>
    <s v="A-"/>
    <s v="Kunal Das"/>
    <s v="Aditya Nair"/>
    <s v="365, Brigade Road"/>
    <x v="2"/>
    <x v="2"/>
    <s v="508117"/>
    <s v="9861708003"/>
    <s v="neeraj.sharma943@student.college.edu"/>
    <x v="2"/>
    <s v="CRS07"/>
    <x v="1"/>
    <x v="2"/>
    <n v="2"/>
    <x v="1"/>
  </r>
  <r>
    <s v="STU0082"/>
    <s v="Rohan Iyer"/>
    <x v="1"/>
    <d v="2003-09-01T00:00:00"/>
    <s v="O+"/>
    <s v="Surya Mukherjee"/>
    <s v="Ananya Nair"/>
    <s v="423, Brigade Road"/>
    <x v="7"/>
    <x v="7"/>
    <s v="160250"/>
    <s v="9488730432"/>
    <s v="rohan.iyer804@gmail.com"/>
    <x v="3"/>
    <s v="CRS08"/>
    <x v="7"/>
    <x v="2"/>
    <n v="2"/>
    <x v="7"/>
  </r>
  <r>
    <s v="STU0083"/>
    <s v="Diya Rao"/>
    <x v="0"/>
    <d v="2007-08-31T00:00:00"/>
    <s v="O+"/>
    <s v="Neeraj Reddy"/>
    <s v="Aditi Das"/>
    <s v="390, Ring Road"/>
    <x v="1"/>
    <x v="1"/>
    <s v="905660"/>
    <s v="9373732949"/>
    <s v="diya.rao996@student.college.edu"/>
    <x v="0"/>
    <s v="CRS02"/>
    <x v="6"/>
    <x v="0"/>
    <n v="6"/>
    <x v="6"/>
  </r>
  <r>
    <s v="STU0084"/>
    <s v="Vihaan Reddy"/>
    <x v="1"/>
    <d v="2003-08-19T00:00:00"/>
    <s v="A-"/>
    <s v="Varun Iyer"/>
    <s v="Riya Mukherjee"/>
    <s v="44, Brigade Road"/>
    <x v="5"/>
    <x v="5"/>
    <s v="635061"/>
    <s v="9289383429"/>
    <s v="vihaan.reddy140@student.college.edu"/>
    <x v="2"/>
    <s v="CRS03"/>
    <x v="4"/>
    <x v="2"/>
    <n v="2"/>
    <x v="4"/>
  </r>
  <r>
    <s v="STU0085"/>
    <s v="Riya Kumar"/>
    <x v="0"/>
    <d v="2003-07-24T00:00:00"/>
    <s v="B-"/>
    <s v="Kabir Das"/>
    <s v="Diya Reddy"/>
    <s v="232, Anna Salai"/>
    <x v="3"/>
    <x v="3"/>
    <s v="808376"/>
    <s v="9281793028"/>
    <s v="riya.kumar179@student.college.edu"/>
    <x v="1"/>
    <s v="CRS04"/>
    <x v="3"/>
    <x v="1"/>
    <n v="4"/>
    <x v="3"/>
  </r>
  <r>
    <s v="STU0086"/>
    <s v="Kabir Kumar"/>
    <x v="1"/>
    <d v="2007-11-26T00:00:00"/>
    <s v="A+"/>
    <s v="Arjun Verma"/>
    <s v="Aarav Sharma"/>
    <s v="426, Ring Road"/>
    <x v="4"/>
    <x v="4"/>
    <s v="836652"/>
    <s v="9800941983"/>
    <s v="kabir.kumar44@gmail.com"/>
    <x v="3"/>
    <s v="CRS07"/>
    <x v="1"/>
    <x v="2"/>
    <n v="2"/>
    <x v="1"/>
  </r>
  <r>
    <s v="STU0087"/>
    <s v="Sujith Mukherjee"/>
    <x v="0"/>
    <d v="2004-07-25T00:00:00"/>
    <s v="B-"/>
    <s v="Aarav Patel"/>
    <s v="Tanvi Patel"/>
    <s v="89, FC Road"/>
    <x v="5"/>
    <x v="5"/>
    <s v="241666"/>
    <s v="9484034672"/>
    <s v="sujith.mukherjee822@student.college.edu"/>
    <x v="0"/>
    <s v="CRS08"/>
    <x v="7"/>
    <x v="0"/>
    <n v="6"/>
    <x v="7"/>
  </r>
  <r>
    <s v="STU0088"/>
    <s v="Nisha Kumar"/>
    <x v="0"/>
    <d v="2005-05-05T00:00:00"/>
    <s v="AB+"/>
    <s v="Priya Iyer"/>
    <s v="Ira Nair"/>
    <s v="93, MG Road"/>
    <x v="4"/>
    <x v="4"/>
    <s v="082843"/>
    <s v="9521225777"/>
    <s v="nisha.kumar971@student.college.edu"/>
    <x v="1"/>
    <s v="CRS06"/>
    <x v="0"/>
    <x v="1"/>
    <n v="4"/>
    <x v="0"/>
  </r>
  <r>
    <s v="STU0089"/>
    <s v="Surya Gupta"/>
    <x v="1"/>
    <d v="2001-08-26T00:00:00"/>
    <s v="O-"/>
    <s v="Shreya Iyer"/>
    <s v="Pooja Mukherjee"/>
    <s v="358, FC Road"/>
    <x v="1"/>
    <x v="1"/>
    <s v="735198"/>
    <s v="9895100604"/>
    <s v="surya.gupta340@student.college.edu"/>
    <x v="3"/>
    <s v="CRS06"/>
    <x v="0"/>
    <x v="2"/>
    <n v="2"/>
    <x v="0"/>
  </r>
  <r>
    <s v="STU0090"/>
    <s v="Varun Gupta"/>
    <x v="0"/>
    <d v="1999-09-01T00:00:00"/>
    <s v="A-"/>
    <s v="Aarav Gupta"/>
    <s v="Shreya Mukherjee"/>
    <s v="470, Park Street"/>
    <x v="7"/>
    <x v="7"/>
    <s v="939313"/>
    <s v="9119796196"/>
    <s v="varun.gupta952@gmail.com"/>
    <x v="3"/>
    <s v="CRS07"/>
    <x v="1"/>
    <x v="2"/>
    <n v="2"/>
    <x v="1"/>
  </r>
  <r>
    <s v="STU0091"/>
    <s v="Rahul Mukherjee"/>
    <x v="1"/>
    <d v="2002-04-21T00:00:00"/>
    <s v="B-"/>
    <s v="Arjun Gupta"/>
    <s v="Aditi Sharma"/>
    <s v="486, Charminar Rd"/>
    <x v="1"/>
    <x v="1"/>
    <s v="138661"/>
    <s v="9430336986"/>
    <s v="rahul.mukherjee747@gmail.com"/>
    <x v="2"/>
    <s v="CRS05"/>
    <x v="5"/>
    <x v="2"/>
    <n v="2"/>
    <x v="5"/>
  </r>
  <r>
    <s v="STU0092"/>
    <s v="Ishaan Reddy"/>
    <x v="1"/>
    <d v="1999-10-05T00:00:00"/>
    <s v="B+"/>
    <s v="Diya Nair"/>
    <s v="Pooja Verma"/>
    <s v="369, MG Road"/>
    <x v="6"/>
    <x v="6"/>
    <s v="441483"/>
    <s v="9387572470"/>
    <s v="ishaan.reddy21@gmail.com"/>
    <x v="2"/>
    <s v="CRS02"/>
    <x v="6"/>
    <x v="2"/>
    <n v="2"/>
    <x v="6"/>
  </r>
  <r>
    <s v="STU0093"/>
    <s v="Ananya Gupta"/>
    <x v="0"/>
    <d v="2000-10-21T00:00:00"/>
    <s v="A-"/>
    <s v="Aditi Verma"/>
    <s v="Nisha Verma"/>
    <s v="174, LBS Marg"/>
    <x v="6"/>
    <x v="6"/>
    <s v="918112"/>
    <s v="9167722205"/>
    <s v="ananya.gupta861@gmail.com"/>
    <x v="2"/>
    <s v="CRS06"/>
    <x v="0"/>
    <x v="2"/>
    <n v="2"/>
    <x v="0"/>
  </r>
  <r>
    <s v="STU0094"/>
    <s v="Aarav Patel"/>
    <x v="1"/>
    <d v="2002-04-21T00:00:00"/>
    <s v="B+"/>
    <s v="Sujith Banerjee"/>
    <s v="Harsha Rao"/>
    <s v="246, Ring Road"/>
    <x v="1"/>
    <x v="1"/>
    <s v="269417"/>
    <s v="9482633310"/>
    <s v="aarav.patel451@gmail.com"/>
    <x v="3"/>
    <s v="CRS05"/>
    <x v="5"/>
    <x v="2"/>
    <n v="2"/>
    <x v="5"/>
  </r>
  <r>
    <s v="STU0095"/>
    <s v="Shreya Sharma"/>
    <x v="1"/>
    <d v="2007-06-09T00:00:00"/>
    <s v="A+"/>
    <s v="Varun Banerjee"/>
    <s v="Kabir Verma"/>
    <s v="343, FC Road"/>
    <x v="6"/>
    <x v="6"/>
    <s v="955884"/>
    <s v="9584840975"/>
    <s v="shreya.sharma923@student.college.edu"/>
    <x v="1"/>
    <s v="CRS03"/>
    <x v="4"/>
    <x v="1"/>
    <n v="4"/>
    <x v="4"/>
  </r>
  <r>
    <s v="STU0096"/>
    <s v="Sai Reddy"/>
    <x v="1"/>
    <d v="2000-05-31T00:00:00"/>
    <s v="A+"/>
    <s v="Vihaan Patel"/>
    <s v="Aditya Banerjee"/>
    <s v="223, Ring Road"/>
    <x v="3"/>
    <x v="3"/>
    <s v="378055"/>
    <s v="9859075711"/>
    <s v="sai.reddy581@student.college.edu"/>
    <x v="2"/>
    <s v="CRS05"/>
    <x v="5"/>
    <x v="2"/>
    <n v="2"/>
    <x v="5"/>
  </r>
  <r>
    <s v="STU0097"/>
    <s v="Leela Das"/>
    <x v="0"/>
    <d v="2003-08-11T00:00:00"/>
    <s v="O-"/>
    <s v="Kunal Patel"/>
    <s v="Harsha Kumar"/>
    <s v="293, LBS Marg"/>
    <x v="8"/>
    <x v="5"/>
    <s v="216608"/>
    <s v="9327980832"/>
    <s v="leela.das504@student.college.edu"/>
    <x v="3"/>
    <s v="CRS03"/>
    <x v="4"/>
    <x v="2"/>
    <n v="2"/>
    <x v="4"/>
  </r>
  <r>
    <s v="STU0098"/>
    <s v="Rahul Mukherjee"/>
    <x v="0"/>
    <d v="2007-09-06T00:00:00"/>
    <s v="O-"/>
    <s v="Sujith Iyer"/>
    <s v="Kunal Mukherjee"/>
    <s v="214, Brigade Road"/>
    <x v="2"/>
    <x v="2"/>
    <s v="287788"/>
    <s v="9513518801"/>
    <s v="rahul.mukherjee853@student.college.edu"/>
    <x v="2"/>
    <s v="CRS04"/>
    <x v="3"/>
    <x v="2"/>
    <n v="2"/>
    <x v="3"/>
  </r>
  <r>
    <s v="STU0099"/>
    <s v="Vihaan Kumar"/>
    <x v="1"/>
    <d v="2003-01-16T00:00:00"/>
    <s v="O-"/>
    <s v="Varun Reddy"/>
    <s v="Kunal Iyer"/>
    <s v="422, LBS Marg"/>
    <x v="6"/>
    <x v="6"/>
    <s v="610351"/>
    <s v="9853187623"/>
    <s v="vihaan.kumar167@student.college.edu"/>
    <x v="3"/>
    <s v="CRS04"/>
    <x v="3"/>
    <x v="2"/>
    <n v="2"/>
    <x v="3"/>
  </r>
  <r>
    <s v="STU0100"/>
    <s v="Tanvi Reddy"/>
    <x v="0"/>
    <d v="2006-04-22T00:00:00"/>
    <s v="AB+"/>
    <s v="Meera Das"/>
    <s v="Aarav Banerjee"/>
    <s v="5, LBS Marg"/>
    <x v="8"/>
    <x v="5"/>
    <s v="602839"/>
    <s v="9643324683"/>
    <s v="tanvi.reddy105@student.college.edu"/>
    <x v="0"/>
    <s v="CRS05"/>
    <x v="5"/>
    <x v="0"/>
    <n v="6"/>
    <x v="5"/>
  </r>
  <r>
    <s v="STU0101"/>
    <s v="Rahul Banerjee"/>
    <x v="1"/>
    <d v="2004-05-27T00:00:00"/>
    <s v="B+"/>
    <s v="Aditya Iyer"/>
    <s v="Kunal Banerjee"/>
    <s v="167, Anna Salai"/>
    <x v="3"/>
    <x v="3"/>
    <s v="152088"/>
    <s v="9431042947"/>
    <s v="rahul.banerjee598@student.college.edu"/>
    <x v="3"/>
    <s v="CRS08"/>
    <x v="7"/>
    <x v="2"/>
    <n v="2"/>
    <x v="7"/>
  </r>
  <r>
    <s v="STU0102"/>
    <s v="Surya Banerjee"/>
    <x v="0"/>
    <d v="2004-09-08T00:00:00"/>
    <s v="B-"/>
    <s v="Rahul Gupta"/>
    <s v="Sujith Banerjee"/>
    <s v="449, Park Street"/>
    <x v="0"/>
    <x v="0"/>
    <s v="477599"/>
    <s v="9862284835"/>
    <s v="surya.banerjee475@student.college.edu"/>
    <x v="2"/>
    <s v="CRS02"/>
    <x v="6"/>
    <x v="2"/>
    <n v="2"/>
    <x v="6"/>
  </r>
  <r>
    <s v="STU0103"/>
    <s v="Saanvi Reddy"/>
    <x v="0"/>
    <d v="2000-05-05T00:00:00"/>
    <s v="AB+"/>
    <s v="Leela Banerjee"/>
    <s v="Ira Das"/>
    <s v="153, Charminar Rd"/>
    <x v="8"/>
    <x v="5"/>
    <s v="124594"/>
    <s v="9377461602"/>
    <s v="saanvi.reddy780@student.college.edu"/>
    <x v="3"/>
    <s v="CRS08"/>
    <x v="7"/>
    <x v="2"/>
    <n v="2"/>
    <x v="7"/>
  </r>
  <r>
    <s v="STU0104"/>
    <s v="Pooja Verma"/>
    <x v="1"/>
    <d v="2005-11-21T00:00:00"/>
    <s v="O-"/>
    <s v="Meera Banerjee"/>
    <s v="Meera Patel"/>
    <s v="220, LBS Marg"/>
    <x v="1"/>
    <x v="1"/>
    <s v="013038"/>
    <s v="9166263135"/>
    <s v="pooja.verma172@student.college.edu"/>
    <x v="2"/>
    <s v="CRS05"/>
    <x v="5"/>
    <x v="2"/>
    <n v="2"/>
    <x v="5"/>
  </r>
  <r>
    <s v="STU0105"/>
    <s v="Rahul Kumar"/>
    <x v="1"/>
    <d v="2004-11-01T00:00:00"/>
    <s v="AB+"/>
    <s v="Kavya Das"/>
    <s v="Ananya Patel"/>
    <s v="455, Park Street"/>
    <x v="2"/>
    <x v="2"/>
    <s v="319942"/>
    <s v="9717513608"/>
    <s v="rahul.kumar262@student.college.edu"/>
    <x v="2"/>
    <s v="CRS02"/>
    <x v="6"/>
    <x v="2"/>
    <n v="2"/>
    <x v="6"/>
  </r>
  <r>
    <s v="STU0106"/>
    <s v="Harsha Sharma"/>
    <x v="1"/>
    <d v="2006-09-26T00:00:00"/>
    <s v="O-"/>
    <s v="Kabir Patel"/>
    <s v="Riya Patel"/>
    <s v="64, Anna Salai"/>
    <x v="8"/>
    <x v="5"/>
    <s v="260415"/>
    <s v="9674856274"/>
    <s v="harsha.sharma624@student.college.edu"/>
    <x v="0"/>
    <s v="CRS04"/>
    <x v="3"/>
    <x v="0"/>
    <n v="6"/>
    <x v="3"/>
  </r>
  <r>
    <s v="STU0107"/>
    <s v="Diya Mukherjee"/>
    <x v="0"/>
    <d v="2002-04-24T00:00:00"/>
    <s v="O-"/>
    <s v="Sai Sharma"/>
    <s v="Nisha Kumar"/>
    <s v="467, Ring Road"/>
    <x v="7"/>
    <x v="7"/>
    <s v="200154"/>
    <s v="9970796492"/>
    <s v="diya.mukherjee52@student.college.edu"/>
    <x v="3"/>
    <s v="CRS01"/>
    <x v="2"/>
    <x v="2"/>
    <n v="2"/>
    <x v="2"/>
  </r>
  <r>
    <s v="STU0108"/>
    <s v="Leela Nair"/>
    <x v="0"/>
    <d v="2007-12-28T00:00:00"/>
    <s v="O+"/>
    <s v="Tanvi Iyer"/>
    <s v="Meera Mukherjee"/>
    <s v="60, Brigade Road"/>
    <x v="1"/>
    <x v="1"/>
    <s v="861346"/>
    <s v="9808149238"/>
    <s v="leela.nair820@gmail.com"/>
    <x v="3"/>
    <s v="CRS02"/>
    <x v="6"/>
    <x v="2"/>
    <n v="2"/>
    <x v="6"/>
  </r>
  <r>
    <s v="STU0109"/>
    <s v="Arjun Mukherjee"/>
    <x v="1"/>
    <d v="1999-08-29T00:00:00"/>
    <s v="O+"/>
    <s v="Leela Gupta"/>
    <s v="Kabir Patel"/>
    <s v="467, LBS Marg"/>
    <x v="2"/>
    <x v="2"/>
    <s v="133068"/>
    <s v="9919140237"/>
    <s v="arjun.mukherjee695@student.college.edu"/>
    <x v="0"/>
    <s v="CRS02"/>
    <x v="6"/>
    <x v="0"/>
    <n v="6"/>
    <x v="6"/>
  </r>
  <r>
    <s v="STU0110"/>
    <s v="Meera Banerjee"/>
    <x v="0"/>
    <d v="2001-10-15T00:00:00"/>
    <s v="A+"/>
    <s v="Saanvi Iyer"/>
    <s v="Tanvi Banerjee"/>
    <s v="329, Charminar Rd"/>
    <x v="1"/>
    <x v="1"/>
    <s v="095441"/>
    <s v="9733255380"/>
    <s v="meera.banerjee455@gmail.com"/>
    <x v="1"/>
    <s v="CRS08"/>
    <x v="7"/>
    <x v="1"/>
    <n v="4"/>
    <x v="7"/>
  </r>
  <r>
    <s v="STU0111"/>
    <s v="Ananya Verma"/>
    <x v="0"/>
    <d v="2007-05-11T00:00:00"/>
    <s v="O+"/>
    <s v="Harsha Sharma"/>
    <s v="Kabir Patel"/>
    <s v="212, MG Road"/>
    <x v="1"/>
    <x v="1"/>
    <s v="879685"/>
    <s v="9643888375"/>
    <s v="ananya.verma734@gmail.com"/>
    <x v="1"/>
    <s v="CRS02"/>
    <x v="6"/>
    <x v="1"/>
    <n v="4"/>
    <x v="6"/>
  </r>
  <r>
    <s v="STU0112"/>
    <s v="Kabir Banerjee"/>
    <x v="1"/>
    <d v="1999-01-09T00:00:00"/>
    <s v="O+"/>
    <s v="Ananya Iyer"/>
    <s v="Sujith Banerjee"/>
    <s v="494, Anna Salai"/>
    <x v="7"/>
    <x v="7"/>
    <s v="701177"/>
    <s v="9161934771"/>
    <s v="kabir.banerjee425@student.college.edu"/>
    <x v="2"/>
    <s v="CRS08"/>
    <x v="7"/>
    <x v="2"/>
    <n v="2"/>
    <x v="7"/>
  </r>
  <r>
    <s v="STU0113"/>
    <s v="Riya Banerjee"/>
    <x v="0"/>
    <d v="2004-08-27T00:00:00"/>
    <s v="B+"/>
    <s v="Arjun Kumar"/>
    <s v="Aarav Das"/>
    <s v="377, MG Road"/>
    <x v="6"/>
    <x v="6"/>
    <s v="845915"/>
    <s v="9713685399"/>
    <s v="riya.banerjee781@student.college.edu"/>
    <x v="1"/>
    <s v="CRS06"/>
    <x v="0"/>
    <x v="1"/>
    <n v="4"/>
    <x v="0"/>
  </r>
  <r>
    <s v="STU0114"/>
    <s v="Rahul Kumar"/>
    <x v="1"/>
    <d v="2000-07-19T00:00:00"/>
    <s v="AB+"/>
    <s v="Meera Rao"/>
    <s v="Varun Mukherjee"/>
    <s v="263, Anna Salai"/>
    <x v="7"/>
    <x v="7"/>
    <s v="796262"/>
    <s v="9369695631"/>
    <s v="rahul.kumar361@gmail.com"/>
    <x v="1"/>
    <s v="CRS05"/>
    <x v="5"/>
    <x v="1"/>
    <n v="4"/>
    <x v="5"/>
  </r>
  <r>
    <s v="STU0115"/>
    <s v="Amrita Patel"/>
    <x v="1"/>
    <d v="2004-11-11T00:00:00"/>
    <s v="A-"/>
    <s v="Kabir Sharma"/>
    <s v="Ira Gupta"/>
    <s v="28, MG Road"/>
    <x v="3"/>
    <x v="3"/>
    <s v="712286"/>
    <s v="9270818787"/>
    <s v="amrita.patel575@gmail.com"/>
    <x v="0"/>
    <s v="CRS01"/>
    <x v="2"/>
    <x v="0"/>
    <n v="6"/>
    <x v="2"/>
  </r>
  <r>
    <s v="STU0116"/>
    <s v="Surya Patel"/>
    <x v="0"/>
    <d v="2003-09-03T00:00:00"/>
    <s v="O+"/>
    <s v="Pooja Banerjee"/>
    <s v="Ananya Das"/>
    <s v="28, MG Road"/>
    <x v="4"/>
    <x v="4"/>
    <s v="678897"/>
    <s v="9675679216"/>
    <s v="surya.patel192@student.college.edu"/>
    <x v="2"/>
    <s v="CRS07"/>
    <x v="1"/>
    <x v="2"/>
    <n v="2"/>
    <x v="1"/>
  </r>
  <r>
    <s v="STU0117"/>
    <s v="Vihaan Patel"/>
    <x v="0"/>
    <d v="2005-03-29T00:00:00"/>
    <s v="O-"/>
    <s v="Kunal Gupta"/>
    <s v="Sai Rao"/>
    <s v="434, Anna Salai"/>
    <x v="7"/>
    <x v="7"/>
    <s v="490957"/>
    <s v="9683750759"/>
    <s v="vihaan.patel534@student.college.edu"/>
    <x v="3"/>
    <s v="CRS07"/>
    <x v="1"/>
    <x v="2"/>
    <n v="2"/>
    <x v="1"/>
  </r>
  <r>
    <s v="STU0118"/>
    <s v="Nisha Das"/>
    <x v="0"/>
    <d v="2000-01-12T00:00:00"/>
    <s v="B-"/>
    <s v="Diya Reddy"/>
    <s v="Amrita Reddy"/>
    <s v="340, FC Road"/>
    <x v="7"/>
    <x v="7"/>
    <s v="296457"/>
    <s v="9613269208"/>
    <s v="nisha.das391@student.college.edu"/>
    <x v="0"/>
    <s v="CRS05"/>
    <x v="5"/>
    <x v="0"/>
    <n v="6"/>
    <x v="5"/>
  </r>
  <r>
    <s v="STU0119"/>
    <s v="Aarav Das"/>
    <x v="0"/>
    <d v="2004-10-07T00:00:00"/>
    <s v="O+"/>
    <s v="Pooja Das"/>
    <s v="Riya Kumar"/>
    <s v="23, Anna Salai"/>
    <x v="7"/>
    <x v="7"/>
    <s v="591950"/>
    <s v="9067841579"/>
    <s v="aarav.das794@gmail.com"/>
    <x v="2"/>
    <s v="CRS03"/>
    <x v="4"/>
    <x v="2"/>
    <n v="2"/>
    <x v="4"/>
  </r>
  <r>
    <s v="STU0120"/>
    <s v="Aarav Kumar"/>
    <x v="1"/>
    <d v="2002-09-20T00:00:00"/>
    <s v="B+"/>
    <s v="Vihaan Verma"/>
    <s v="Aditya Sharma"/>
    <s v="92, Anna Salai"/>
    <x v="0"/>
    <x v="0"/>
    <s v="522364"/>
    <s v="9065667570"/>
    <s v="aarav.kumar951@student.college.edu"/>
    <x v="0"/>
    <s v="CRS02"/>
    <x v="6"/>
    <x v="0"/>
    <n v="6"/>
    <x v="6"/>
  </r>
  <r>
    <s v="STU0121"/>
    <s v="Rahul Kumar"/>
    <x v="0"/>
    <d v="2003-06-07T00:00:00"/>
    <s v="B+"/>
    <s v="Sujith Banerjee"/>
    <s v="Aarav Kumar"/>
    <s v="81, Ring Road"/>
    <x v="6"/>
    <x v="6"/>
    <s v="782628"/>
    <s v="9986908105"/>
    <s v="rahul.kumar404@student.college.edu"/>
    <x v="3"/>
    <s v="CRS06"/>
    <x v="0"/>
    <x v="2"/>
    <n v="2"/>
    <x v="0"/>
  </r>
  <r>
    <s v="STU0122"/>
    <s v="Ishaan Patel"/>
    <x v="1"/>
    <d v="2004-09-30T00:00:00"/>
    <s v="A+"/>
    <s v="Arjun Gupta"/>
    <s v="Sai Reddy"/>
    <s v="316, Anna Salai"/>
    <x v="0"/>
    <x v="0"/>
    <s v="178899"/>
    <s v="9452007431"/>
    <s v="ishaan.patel672@student.college.edu"/>
    <x v="0"/>
    <s v="CRS02"/>
    <x v="6"/>
    <x v="0"/>
    <n v="6"/>
    <x v="6"/>
  </r>
  <r>
    <s v="STU0123"/>
    <s v="Amrita Reddy"/>
    <x v="0"/>
    <d v="2004-06-13T00:00:00"/>
    <s v="O+"/>
    <s v="Riya Iyer"/>
    <s v="Kavya Banerjee"/>
    <s v="157, Park Street"/>
    <x v="7"/>
    <x v="7"/>
    <s v="891377"/>
    <s v="9623634474"/>
    <s v="amrita.reddy112@student.college.edu"/>
    <x v="2"/>
    <s v="CRS05"/>
    <x v="5"/>
    <x v="2"/>
    <n v="2"/>
    <x v="5"/>
  </r>
  <r>
    <s v="STU0124"/>
    <s v="Leela Gupta"/>
    <x v="0"/>
    <d v="2001-03-15T00:00:00"/>
    <s v="B-"/>
    <s v="Kunal Mukherjee"/>
    <s v="Amrita Banerjee"/>
    <s v="40, Brigade Road"/>
    <x v="1"/>
    <x v="1"/>
    <s v="857202"/>
    <s v="9856138581"/>
    <s v="leela.gupta514@student.college.edu"/>
    <x v="0"/>
    <s v="CRS01"/>
    <x v="2"/>
    <x v="0"/>
    <n v="6"/>
    <x v="2"/>
  </r>
  <r>
    <s v="STU0125"/>
    <s v="Tanvi Reddy"/>
    <x v="0"/>
    <d v="2006-09-03T00:00:00"/>
    <s v="O+"/>
    <s v="Sai Das"/>
    <s v="Arjun Kumar"/>
    <s v="82, Park Street"/>
    <x v="8"/>
    <x v="5"/>
    <s v="743240"/>
    <s v="9302934409"/>
    <s v="tanvi.reddy332@student.college.edu"/>
    <x v="0"/>
    <s v="CRS05"/>
    <x v="5"/>
    <x v="0"/>
    <n v="6"/>
    <x v="5"/>
  </r>
  <r>
    <s v="STU0126"/>
    <s v="Shreya Das"/>
    <x v="0"/>
    <d v="2000-12-13T00:00:00"/>
    <s v="O+"/>
    <s v="Ira Banerjee"/>
    <s v="Ira Iyer"/>
    <s v="301, Brigade Road"/>
    <x v="3"/>
    <x v="3"/>
    <s v="395384"/>
    <s v="9465110621"/>
    <s v="shreya.das371@student.college.edu"/>
    <x v="3"/>
    <s v="CRS07"/>
    <x v="1"/>
    <x v="2"/>
    <n v="2"/>
    <x v="1"/>
  </r>
  <r>
    <s v="STU0127"/>
    <s v="Pooja Iyer"/>
    <x v="0"/>
    <d v="2000-04-09T00:00:00"/>
    <s v="A+"/>
    <s v="Saanvi Banerjee"/>
    <s v="Saanvi Kumar"/>
    <s v="108, Park Street"/>
    <x v="1"/>
    <x v="1"/>
    <s v="215158"/>
    <s v="9119549687"/>
    <s v="pooja.iyer842@gmail.com"/>
    <x v="3"/>
    <s v="CRS08"/>
    <x v="7"/>
    <x v="2"/>
    <n v="2"/>
    <x v="7"/>
  </r>
  <r>
    <s v="STU0128"/>
    <s v="Kavya Kumar"/>
    <x v="0"/>
    <d v="2000-11-29T00:00:00"/>
    <s v="O-"/>
    <s v="Rohan Patel"/>
    <s v="Kavya Gupta"/>
    <s v="407, Park Street"/>
    <x v="3"/>
    <x v="3"/>
    <s v="169503"/>
    <s v="9105968619"/>
    <s v="kavya.kumar615@student.college.edu"/>
    <x v="2"/>
    <s v="CRS02"/>
    <x v="6"/>
    <x v="2"/>
    <n v="2"/>
    <x v="6"/>
  </r>
  <r>
    <s v="STU0129"/>
    <s v="Saanvi Banerjee"/>
    <x v="1"/>
    <d v="2005-10-07T00:00:00"/>
    <s v="B+"/>
    <s v="Nisha Sharma"/>
    <s v="Amrita Banerjee"/>
    <s v="333, Charminar Rd"/>
    <x v="6"/>
    <x v="6"/>
    <s v="305287"/>
    <s v="9357760142"/>
    <s v="saanvi.banerjee880@student.college.edu"/>
    <x v="1"/>
    <s v="CRS05"/>
    <x v="5"/>
    <x v="1"/>
    <n v="4"/>
    <x v="5"/>
  </r>
  <r>
    <s v="STU0130"/>
    <s v="Ishaan Sharma"/>
    <x v="1"/>
    <d v="2007-05-04T00:00:00"/>
    <s v="B+"/>
    <s v="Pooja Sharma"/>
    <s v="Shreya Das"/>
    <s v="61, MG Road"/>
    <x v="4"/>
    <x v="4"/>
    <s v="633162"/>
    <s v="9843267474"/>
    <s v="ishaan.sharma380@gmail.com"/>
    <x v="0"/>
    <s v="CRS06"/>
    <x v="0"/>
    <x v="0"/>
    <n v="6"/>
    <x v="0"/>
  </r>
  <r>
    <s v="STU0131"/>
    <s v="Neeraj Mukherjee"/>
    <x v="0"/>
    <d v="2007-04-02T00:00:00"/>
    <s v="O+"/>
    <s v="Arjun Banerjee"/>
    <s v="Kabir Mukherjee"/>
    <s v="118, LBS Marg"/>
    <x v="0"/>
    <x v="0"/>
    <s v="243567"/>
    <s v="9190019402"/>
    <s v="neeraj.mukherjee82@student.college.edu"/>
    <x v="1"/>
    <s v="CRS07"/>
    <x v="1"/>
    <x v="1"/>
    <n v="4"/>
    <x v="1"/>
  </r>
  <r>
    <s v="STU0132"/>
    <s v="Kavya Banerjee"/>
    <x v="0"/>
    <d v="2002-03-19T00:00:00"/>
    <s v="B-"/>
    <s v="Varun Rao"/>
    <s v="Vihaan Gupta"/>
    <s v="328, LBS Marg"/>
    <x v="1"/>
    <x v="1"/>
    <s v="268205"/>
    <s v="9521020197"/>
    <s v="kavya.banerjee362@gmail.com"/>
    <x v="3"/>
    <s v="CRS01"/>
    <x v="2"/>
    <x v="2"/>
    <n v="2"/>
    <x v="2"/>
  </r>
  <r>
    <s v="STU0133"/>
    <s v="Aditi Mukherjee"/>
    <x v="1"/>
    <d v="2000-01-05T00:00:00"/>
    <s v="B-"/>
    <s v="Nisha Nair"/>
    <s v="Aditi Das"/>
    <s v="469, FC Road"/>
    <x v="3"/>
    <x v="3"/>
    <s v="294401"/>
    <s v="9555315257"/>
    <s v="aditi.mukherjee257@gmail.com"/>
    <x v="1"/>
    <s v="CRS04"/>
    <x v="3"/>
    <x v="1"/>
    <n v="4"/>
    <x v="3"/>
  </r>
  <r>
    <s v="STU0134"/>
    <s v="Neeraj Iyer"/>
    <x v="0"/>
    <d v="2006-08-23T00:00:00"/>
    <s v="B+"/>
    <s v="Riya Rao"/>
    <s v="Leela Sharma"/>
    <s v="247, Brigade Road"/>
    <x v="0"/>
    <x v="0"/>
    <s v="372784"/>
    <s v="9357223735"/>
    <s v="neeraj.iyer183@gmail.com"/>
    <x v="0"/>
    <s v="CRS04"/>
    <x v="3"/>
    <x v="0"/>
    <n v="6"/>
    <x v="3"/>
  </r>
  <r>
    <s v="STU0135"/>
    <s v="Amrita Rao"/>
    <x v="0"/>
    <d v="2001-01-18T00:00:00"/>
    <s v="B-"/>
    <s v="Aditi Banerjee"/>
    <s v="Surya Reddy"/>
    <s v="256, Ring Road"/>
    <x v="4"/>
    <x v="4"/>
    <s v="822261"/>
    <s v="9196667504"/>
    <s v="amrita.rao636@gmail.com"/>
    <x v="0"/>
    <s v="CRS08"/>
    <x v="7"/>
    <x v="0"/>
    <n v="6"/>
    <x v="7"/>
  </r>
  <r>
    <s v="STU0136"/>
    <s v="Sai Das"/>
    <x v="0"/>
    <d v="2003-06-18T00:00:00"/>
    <s v="B-"/>
    <s v="Rohan Rao"/>
    <s v="Arjun Sharma"/>
    <s v="270, Charminar Rd"/>
    <x v="1"/>
    <x v="1"/>
    <s v="536196"/>
    <s v="9460253625"/>
    <s v="sai.das243@gmail.com"/>
    <x v="0"/>
    <s v="CRS06"/>
    <x v="0"/>
    <x v="0"/>
    <n v="6"/>
    <x v="0"/>
  </r>
  <r>
    <s v="STU0137"/>
    <s v="Sai Kumar"/>
    <x v="0"/>
    <d v="2001-05-12T00:00:00"/>
    <s v="O-"/>
    <s v="Meera Mukherjee"/>
    <s v="Neeraj Iyer"/>
    <s v="187, Charminar Rd"/>
    <x v="2"/>
    <x v="2"/>
    <s v="115202"/>
    <s v="9243191814"/>
    <s v="sai.kumar915@gmail.com"/>
    <x v="1"/>
    <s v="CRS05"/>
    <x v="5"/>
    <x v="1"/>
    <n v="4"/>
    <x v="5"/>
  </r>
  <r>
    <s v="STU0138"/>
    <s v="Kunal Das"/>
    <x v="1"/>
    <d v="1999-07-15T00:00:00"/>
    <s v="B+"/>
    <s v="Ira Verma"/>
    <s v="Varun Gupta"/>
    <s v="31, Ring Road"/>
    <x v="2"/>
    <x v="2"/>
    <s v="807235"/>
    <s v="9834366565"/>
    <s v="kunal.das800@gmail.com"/>
    <x v="0"/>
    <s v="CRS08"/>
    <x v="7"/>
    <x v="0"/>
    <n v="6"/>
    <x v="7"/>
  </r>
  <r>
    <s v="STU0139"/>
    <s v="Neeraj Mukherjee"/>
    <x v="0"/>
    <d v="1999-11-18T00:00:00"/>
    <s v="B-"/>
    <s v="Ira Rao"/>
    <s v="Rahul Kumar"/>
    <s v="324, Park Street"/>
    <x v="7"/>
    <x v="7"/>
    <s v="464903"/>
    <s v="9367638797"/>
    <s v="neeraj.mukherjee534@gmail.com"/>
    <x v="3"/>
    <s v="CRS03"/>
    <x v="4"/>
    <x v="2"/>
    <n v="2"/>
    <x v="4"/>
  </r>
  <r>
    <s v="STU0140"/>
    <s v="Leela Sharma"/>
    <x v="1"/>
    <d v="2007-02-28T00:00:00"/>
    <s v="A-"/>
    <s v="Rohan Banerjee"/>
    <s v="Kunal Mukherjee"/>
    <s v="359, Brigade Road"/>
    <x v="8"/>
    <x v="5"/>
    <s v="309407"/>
    <s v="9591609327"/>
    <s v="leela.sharma454@student.college.edu"/>
    <x v="3"/>
    <s v="CRS01"/>
    <x v="2"/>
    <x v="2"/>
    <n v="2"/>
    <x v="2"/>
  </r>
  <r>
    <s v="STU0141"/>
    <s v="Vihaan Banerjee"/>
    <x v="0"/>
    <d v="2002-08-25T00:00:00"/>
    <s v="A-"/>
    <s v="Leela Kumar"/>
    <s v="Riya Das"/>
    <s v="479, Anna Salai"/>
    <x v="2"/>
    <x v="2"/>
    <s v="195547"/>
    <s v="9846594203"/>
    <s v="vihaan.banerjee423@gmail.com"/>
    <x v="0"/>
    <s v="CRS01"/>
    <x v="2"/>
    <x v="0"/>
    <n v="6"/>
    <x v="2"/>
  </r>
  <r>
    <s v="STU0142"/>
    <s v="Aarav Das"/>
    <x v="1"/>
    <d v="2002-11-09T00:00:00"/>
    <s v="B+"/>
    <s v="Rahul Kumar"/>
    <s v="Nisha Sharma"/>
    <s v="353, LBS Marg"/>
    <x v="3"/>
    <x v="3"/>
    <s v="042203"/>
    <s v="9453173324"/>
    <s v="aarav.das246@gmail.com"/>
    <x v="0"/>
    <s v="CRS07"/>
    <x v="1"/>
    <x v="0"/>
    <n v="6"/>
    <x v="1"/>
  </r>
  <r>
    <s v="STU0143"/>
    <s v="Ishaan Verma"/>
    <x v="1"/>
    <d v="2000-07-13T00:00:00"/>
    <s v="O+"/>
    <s v="Rahul Verma"/>
    <s v="Harsha Kumar"/>
    <s v="317, LBS Marg"/>
    <x v="2"/>
    <x v="2"/>
    <s v="100511"/>
    <s v="9277214337"/>
    <s v="ishaan.verma381@gmail.com"/>
    <x v="2"/>
    <s v="CRS06"/>
    <x v="0"/>
    <x v="2"/>
    <n v="2"/>
    <x v="0"/>
  </r>
  <r>
    <s v="STU0144"/>
    <s v="Aditya Gupta"/>
    <x v="1"/>
    <d v="2001-12-27T00:00:00"/>
    <s v="A-"/>
    <s v="Neeraj Patel"/>
    <s v="Aditya Das"/>
    <s v="241, Park Street"/>
    <x v="3"/>
    <x v="3"/>
    <s v="881727"/>
    <s v="9470475946"/>
    <s v="aditya.gupta320@gmail.com"/>
    <x v="2"/>
    <s v="CRS02"/>
    <x v="6"/>
    <x v="2"/>
    <n v="2"/>
    <x v="6"/>
  </r>
  <r>
    <s v="STU0145"/>
    <s v="Kunal Kumar"/>
    <x v="1"/>
    <d v="2002-05-08T00:00:00"/>
    <s v="O-"/>
    <s v="Ishaan Iyer"/>
    <s v="Amrita Sharma"/>
    <s v="443, Ring Road"/>
    <x v="4"/>
    <x v="4"/>
    <s v="631217"/>
    <s v="9007453010"/>
    <s v="kunal.kumar634@gmail.com"/>
    <x v="2"/>
    <s v="CRS01"/>
    <x v="2"/>
    <x v="2"/>
    <n v="2"/>
    <x v="2"/>
  </r>
  <r>
    <s v="STU0146"/>
    <s v="Diya Banerjee"/>
    <x v="1"/>
    <d v="2006-11-12T00:00:00"/>
    <s v="A+"/>
    <s v="Nisha Verma"/>
    <s v="Arjun Kumar"/>
    <s v="120, FC Road"/>
    <x v="7"/>
    <x v="7"/>
    <s v="841631"/>
    <s v="9844261137"/>
    <s v="diya.banerjee282@student.college.edu"/>
    <x v="3"/>
    <s v="CRS08"/>
    <x v="7"/>
    <x v="2"/>
    <n v="2"/>
    <x v="7"/>
  </r>
  <r>
    <s v="STU0147"/>
    <s v="Rahul Nair"/>
    <x v="1"/>
    <d v="2003-02-12T00:00:00"/>
    <s v="A+"/>
    <s v="Riya Sharma"/>
    <s v="Neeraj Banerjee"/>
    <s v="260, Charminar Rd"/>
    <x v="1"/>
    <x v="1"/>
    <s v="636309"/>
    <s v="9816712430"/>
    <s v="rahul.nair675@student.college.edu"/>
    <x v="3"/>
    <s v="CRS03"/>
    <x v="4"/>
    <x v="2"/>
    <n v="2"/>
    <x v="4"/>
  </r>
  <r>
    <s v="STU0148"/>
    <s v="Leela Sharma"/>
    <x v="1"/>
    <d v="2000-03-14T00:00:00"/>
    <s v="AB+"/>
    <s v="Saanvi Reddy"/>
    <s v="Kabir Sharma"/>
    <s v="293, Charminar Rd"/>
    <x v="3"/>
    <x v="3"/>
    <s v="027096"/>
    <s v="9984637887"/>
    <s v="leela.sharma60@gmail.com"/>
    <x v="2"/>
    <s v="CRS02"/>
    <x v="6"/>
    <x v="2"/>
    <n v="2"/>
    <x v="6"/>
  </r>
  <r>
    <s v="STU0149"/>
    <s v="Sujith Nair"/>
    <x v="1"/>
    <d v="2001-06-03T00:00:00"/>
    <s v="AB+"/>
    <s v="Priya Verma"/>
    <s v="Kabir Mukherjee"/>
    <s v="119, Charminar Rd"/>
    <x v="4"/>
    <x v="4"/>
    <s v="526174"/>
    <s v="9163468114"/>
    <s v="sujith.nair346@student.college.edu"/>
    <x v="1"/>
    <s v="CRS06"/>
    <x v="0"/>
    <x v="1"/>
    <n v="4"/>
    <x v="0"/>
  </r>
  <r>
    <s v="STU0150"/>
    <s v="Amrita Iyer"/>
    <x v="0"/>
    <d v="2002-08-22T00:00:00"/>
    <s v="O-"/>
    <s v="Leela Iyer"/>
    <s v="Meera Banerjee"/>
    <s v="221, FC Road"/>
    <x v="4"/>
    <x v="4"/>
    <s v="527929"/>
    <s v="9437955933"/>
    <s v="amrita.iyer228@student.college.edu"/>
    <x v="0"/>
    <s v="CRS01"/>
    <x v="2"/>
    <x v="0"/>
    <n v="6"/>
    <x v="2"/>
  </r>
  <r>
    <s v="STU0151"/>
    <s v="Neeraj Mukherjee"/>
    <x v="0"/>
    <d v="2005-03-17T00:00:00"/>
    <s v="AB+"/>
    <s v="Priya Das"/>
    <s v="Shreya Rao"/>
    <s v="80, Brigade Road"/>
    <x v="2"/>
    <x v="2"/>
    <s v="313528"/>
    <s v="9039777186"/>
    <s v="neeraj.mukherjee591@student.college.edu"/>
    <x v="0"/>
    <s v="CRS01"/>
    <x v="2"/>
    <x v="0"/>
    <n v="6"/>
    <x v="2"/>
  </r>
  <r>
    <s v="STU0152"/>
    <s v="Aditi Rao"/>
    <x v="0"/>
    <d v="1999-11-18T00:00:00"/>
    <s v="O-"/>
    <s v="Neeraj Sharma"/>
    <s v="Surya Iyer"/>
    <s v="179, Charminar Rd"/>
    <x v="9"/>
    <x v="0"/>
    <s v="826607"/>
    <s v="9330515207"/>
    <s v="aditi.rao403@gmail.com"/>
    <x v="2"/>
    <s v="CRS04"/>
    <x v="3"/>
    <x v="2"/>
    <n v="2"/>
    <x v="3"/>
  </r>
  <r>
    <s v="STU0153"/>
    <s v="Meera Nair"/>
    <x v="0"/>
    <d v="2000-08-29T00:00:00"/>
    <s v="A+"/>
    <s v="Arjun Iyer"/>
    <s v="Aditya Kumar"/>
    <s v="293, MG Road"/>
    <x v="6"/>
    <x v="6"/>
    <s v="234674"/>
    <s v="9135595224"/>
    <s v="meera.nair702@student.college.edu"/>
    <x v="1"/>
    <s v="CRS07"/>
    <x v="1"/>
    <x v="1"/>
    <n v="4"/>
    <x v="1"/>
  </r>
  <r>
    <s v="STU0154"/>
    <s v="Diya Iyer"/>
    <x v="1"/>
    <d v="2002-08-06T00:00:00"/>
    <s v="A+"/>
    <s v="Diya Rao"/>
    <s v="Harsha Sharma"/>
    <s v="395, Anna Salai"/>
    <x v="7"/>
    <x v="7"/>
    <s v="694108"/>
    <s v="9137810998"/>
    <s v="diya.iyer840@gmail.com"/>
    <x v="0"/>
    <s v="CRS02"/>
    <x v="6"/>
    <x v="0"/>
    <n v="6"/>
    <x v="6"/>
  </r>
  <r>
    <s v="STU0155"/>
    <s v="Rahul Kumar"/>
    <x v="0"/>
    <d v="1999-04-04T00:00:00"/>
    <s v="O+"/>
    <s v="Ananya Reddy"/>
    <s v="Aditi Das"/>
    <s v="109, Ring Road"/>
    <x v="3"/>
    <x v="3"/>
    <s v="569663"/>
    <s v="9952026249"/>
    <s v="rahul.kumar69@gmail.com"/>
    <x v="0"/>
    <s v="CRS06"/>
    <x v="0"/>
    <x v="0"/>
    <n v="6"/>
    <x v="0"/>
  </r>
  <r>
    <s v="STU0156"/>
    <s v="Leela Verma"/>
    <x v="1"/>
    <d v="2002-04-13T00:00:00"/>
    <s v="O-"/>
    <s v="Leela Banerjee"/>
    <s v="Ira Reddy"/>
    <s v="195, Brigade Road"/>
    <x v="2"/>
    <x v="2"/>
    <s v="851549"/>
    <s v="9025331336"/>
    <s v="leela.verma242@gmail.com"/>
    <x v="2"/>
    <s v="CRS05"/>
    <x v="5"/>
    <x v="2"/>
    <n v="2"/>
    <x v="5"/>
  </r>
  <r>
    <s v="STU0157"/>
    <s v="Amrita Patel"/>
    <x v="1"/>
    <d v="2005-03-23T00:00:00"/>
    <s v="B+"/>
    <s v="Kunal Reddy"/>
    <s v="Arjun Iyer"/>
    <s v="460, Charminar Rd"/>
    <x v="9"/>
    <x v="0"/>
    <s v="756864"/>
    <s v="9543641656"/>
    <s v="amrita.patel208@student.college.edu"/>
    <x v="3"/>
    <s v="CRS07"/>
    <x v="1"/>
    <x v="2"/>
    <n v="2"/>
    <x v="1"/>
  </r>
  <r>
    <s v="STU0158"/>
    <s v="Surya Gupta"/>
    <x v="0"/>
    <d v="2005-05-02T00:00:00"/>
    <s v="AB+"/>
    <s v="Surya Gupta"/>
    <s v="Ananya Verma"/>
    <s v="286, Brigade Road"/>
    <x v="7"/>
    <x v="7"/>
    <s v="810399"/>
    <s v="9378671110"/>
    <s v="surya.gupta627@gmail.com"/>
    <x v="3"/>
    <s v="CRS04"/>
    <x v="3"/>
    <x v="2"/>
    <n v="2"/>
    <x v="3"/>
  </r>
  <r>
    <s v="STU0159"/>
    <s v="Rohan Banerjee"/>
    <x v="1"/>
    <d v="2003-01-11T00:00:00"/>
    <s v="O+"/>
    <s v="Aditya Mukherjee"/>
    <s v="Neeraj Kumar"/>
    <s v="69, LBS Marg"/>
    <x v="8"/>
    <x v="5"/>
    <s v="841107"/>
    <s v="9024797099"/>
    <s v="rohan.banerjee888@gmail.com"/>
    <x v="0"/>
    <s v="CRS08"/>
    <x v="7"/>
    <x v="0"/>
    <n v="6"/>
    <x v="7"/>
  </r>
  <r>
    <s v="STU0160"/>
    <s v="Amrita Reddy"/>
    <x v="0"/>
    <d v="2003-07-17T00:00:00"/>
    <s v="A-"/>
    <s v="Neeraj Sharma"/>
    <s v="Kavya Mukherjee"/>
    <s v="423, Charminar Rd"/>
    <x v="6"/>
    <x v="6"/>
    <s v="675587"/>
    <s v="9548095375"/>
    <s v="amrita.reddy529@student.college.edu"/>
    <x v="0"/>
    <s v="CRS08"/>
    <x v="7"/>
    <x v="0"/>
    <n v="6"/>
    <x v="7"/>
  </r>
  <r>
    <s v="STU0161"/>
    <s v="Ira Nair"/>
    <x v="0"/>
    <d v="2004-03-04T00:00:00"/>
    <s v="B+"/>
    <s v="Sai Patel"/>
    <s v="Rahul Rao"/>
    <s v="471, MG Road"/>
    <x v="8"/>
    <x v="5"/>
    <s v="460515"/>
    <s v="9853304888"/>
    <s v="ira.nair93@gmail.com"/>
    <x v="3"/>
    <s v="CRS02"/>
    <x v="6"/>
    <x v="2"/>
    <n v="2"/>
    <x v="6"/>
  </r>
  <r>
    <s v="STU0162"/>
    <s v="Aditya Verma"/>
    <x v="1"/>
    <d v="2004-01-15T00:00:00"/>
    <s v="A-"/>
    <s v="Harsha Iyer"/>
    <s v="Aditya Das"/>
    <s v="363, Charminar Rd"/>
    <x v="8"/>
    <x v="5"/>
    <s v="337956"/>
    <s v="9181743746"/>
    <s v="aditya.verma121@student.college.edu"/>
    <x v="2"/>
    <s v="CRS05"/>
    <x v="5"/>
    <x v="2"/>
    <n v="2"/>
    <x v="5"/>
  </r>
  <r>
    <s v="STU0163"/>
    <s v="Aarav Kumar"/>
    <x v="0"/>
    <d v="2004-08-04T00:00:00"/>
    <s v="B+"/>
    <s v="Nisha Sharma"/>
    <s v="Kavya Kumar"/>
    <s v="122, Ring Road"/>
    <x v="2"/>
    <x v="2"/>
    <s v="446082"/>
    <s v="9682103105"/>
    <s v="aarav.kumar618@gmail.com"/>
    <x v="2"/>
    <s v="CRS01"/>
    <x v="2"/>
    <x v="2"/>
    <n v="2"/>
    <x v="2"/>
  </r>
  <r>
    <s v="STU0164"/>
    <s v="Kabir Patel"/>
    <x v="1"/>
    <d v="2000-10-22T00:00:00"/>
    <s v="A+"/>
    <s v="Tanvi Nair"/>
    <s v="Kavya Banerjee"/>
    <s v="355, Park Street"/>
    <x v="7"/>
    <x v="7"/>
    <s v="902330"/>
    <s v="9452162556"/>
    <s v="kabir.patel627@student.college.edu"/>
    <x v="2"/>
    <s v="CRS08"/>
    <x v="7"/>
    <x v="2"/>
    <n v="2"/>
    <x v="7"/>
  </r>
  <r>
    <s v="STU0165"/>
    <s v="Aditi Mukherjee"/>
    <x v="0"/>
    <d v="2007-11-03T00:00:00"/>
    <s v="B-"/>
    <s v="Varun Nair"/>
    <s v="Meera Rao"/>
    <s v="435, FC Road"/>
    <x v="7"/>
    <x v="7"/>
    <s v="964748"/>
    <s v="9822114772"/>
    <s v="aditi.mukherjee631@gmail.com"/>
    <x v="2"/>
    <s v="CRS06"/>
    <x v="0"/>
    <x v="2"/>
    <n v="2"/>
    <x v="0"/>
  </r>
  <r>
    <s v="STU0166"/>
    <s v="Diya Das"/>
    <x v="0"/>
    <d v="2001-05-19T00:00:00"/>
    <s v="A-"/>
    <s v="Aarav Banerjee"/>
    <s v="Ishaan Mukherjee"/>
    <s v="145, Anna Salai"/>
    <x v="3"/>
    <x v="3"/>
    <s v="357133"/>
    <s v="9598189440"/>
    <s v="diya.das140@gmail.com"/>
    <x v="1"/>
    <s v="CRS06"/>
    <x v="0"/>
    <x v="1"/>
    <n v="4"/>
    <x v="0"/>
  </r>
  <r>
    <s v="STU0167"/>
    <s v="Riya Patel"/>
    <x v="0"/>
    <d v="1999-08-18T00:00:00"/>
    <s v="O+"/>
    <s v="Sujith Das"/>
    <s v="Rahul Rao"/>
    <s v="372, FC Road"/>
    <x v="1"/>
    <x v="1"/>
    <s v="267839"/>
    <s v="9209685358"/>
    <s v="riya.patel770@gmail.com"/>
    <x v="0"/>
    <s v="CRS01"/>
    <x v="2"/>
    <x v="0"/>
    <n v="6"/>
    <x v="2"/>
  </r>
  <r>
    <s v="STU0168"/>
    <s v="Kunal Patel"/>
    <x v="1"/>
    <d v="2004-07-28T00:00:00"/>
    <s v="A-"/>
    <s v="Amrita Reddy"/>
    <s v="Diya Kumar"/>
    <s v="425, Anna Salai"/>
    <x v="3"/>
    <x v="3"/>
    <s v="130205"/>
    <s v="9791348337"/>
    <s v="kunal.patel101@student.college.edu"/>
    <x v="2"/>
    <s v="CRS08"/>
    <x v="7"/>
    <x v="2"/>
    <n v="2"/>
    <x v="7"/>
  </r>
  <r>
    <s v="STU0169"/>
    <s v="Ira Mukherjee"/>
    <x v="1"/>
    <d v="2000-04-19T00:00:00"/>
    <s v="AB+"/>
    <s v="Aarav Nair"/>
    <s v="Surya Sharma"/>
    <s v="352, Brigade Road"/>
    <x v="2"/>
    <x v="2"/>
    <s v="817707"/>
    <s v="9622257621"/>
    <s v="ira.mukherjee118@student.college.edu"/>
    <x v="2"/>
    <s v="CRS04"/>
    <x v="3"/>
    <x v="2"/>
    <n v="2"/>
    <x v="3"/>
  </r>
  <r>
    <s v="STU0170"/>
    <s v="Nisha Iyer"/>
    <x v="0"/>
    <d v="2002-07-28T00:00:00"/>
    <s v="B+"/>
    <s v="Kunal Gupta"/>
    <s v="Varun Nair"/>
    <s v="294, Ring Road"/>
    <x v="9"/>
    <x v="0"/>
    <s v="385009"/>
    <s v="9030378664"/>
    <s v="nisha.iyer365@gmail.com"/>
    <x v="3"/>
    <s v="CRS02"/>
    <x v="6"/>
    <x v="2"/>
    <n v="2"/>
    <x v="6"/>
  </r>
  <r>
    <s v="STU0171"/>
    <s v="Surya Kumar"/>
    <x v="1"/>
    <d v="2000-06-23T00:00:00"/>
    <s v="O-"/>
    <s v="Aditya Mukherjee"/>
    <s v="Riya Verma"/>
    <s v="234, Anna Salai"/>
    <x v="2"/>
    <x v="2"/>
    <s v="228693"/>
    <s v="9667840434"/>
    <s v="surya.kumar175@gmail.com"/>
    <x v="0"/>
    <s v="CRS03"/>
    <x v="4"/>
    <x v="0"/>
    <n v="6"/>
    <x v="4"/>
  </r>
  <r>
    <s v="STU0172"/>
    <s v="Priya Verma"/>
    <x v="0"/>
    <d v="2007-01-04T00:00:00"/>
    <s v="A+"/>
    <s v="Pooja Verma"/>
    <s v="Ananya Das"/>
    <s v="333, Brigade Road"/>
    <x v="2"/>
    <x v="2"/>
    <s v="446593"/>
    <s v="9385747526"/>
    <s v="priya.verma80@gmail.com"/>
    <x v="1"/>
    <s v="CRS06"/>
    <x v="0"/>
    <x v="1"/>
    <n v="4"/>
    <x v="0"/>
  </r>
  <r>
    <s v="STU0173"/>
    <s v="Nisha Verma"/>
    <x v="0"/>
    <d v="2000-12-22T00:00:00"/>
    <s v="B-"/>
    <s v="Rahul Patel"/>
    <s v="Aditya Rao"/>
    <s v="56, Charminar Rd"/>
    <x v="2"/>
    <x v="2"/>
    <s v="602157"/>
    <s v="9876426428"/>
    <s v="nisha.verma307@gmail.com"/>
    <x v="0"/>
    <s v="CRS02"/>
    <x v="6"/>
    <x v="0"/>
    <n v="6"/>
    <x v="6"/>
  </r>
  <r>
    <s v="STU0174"/>
    <s v="Shreya Sharma"/>
    <x v="0"/>
    <d v="2004-09-21T00:00:00"/>
    <s v="O-"/>
    <s v="Ira Gupta"/>
    <s v="Leela Nair"/>
    <s v="32, FC Road"/>
    <x v="1"/>
    <x v="1"/>
    <s v="059120"/>
    <s v="9456744211"/>
    <s v="shreya.sharma569@gmail.com"/>
    <x v="0"/>
    <s v="CRS07"/>
    <x v="1"/>
    <x v="0"/>
    <n v="6"/>
    <x v="1"/>
  </r>
  <r>
    <s v="STU0175"/>
    <s v="Arjun Nair"/>
    <x v="1"/>
    <d v="2000-05-29T00:00:00"/>
    <s v="O-"/>
    <s v="Arjun Sharma"/>
    <s v="Aditya Banerjee"/>
    <s v="9, Park Street"/>
    <x v="6"/>
    <x v="6"/>
    <s v="911888"/>
    <s v="9696448324"/>
    <s v="arjun.nair8@gmail.com"/>
    <x v="3"/>
    <s v="CRS05"/>
    <x v="5"/>
    <x v="2"/>
    <n v="2"/>
    <x v="5"/>
  </r>
  <r>
    <s v="STU0176"/>
    <s v="Meera Das"/>
    <x v="0"/>
    <d v="2003-02-12T00:00:00"/>
    <s v="AB+"/>
    <s v="Vihaan Sharma"/>
    <s v="Shreya Kumar"/>
    <s v="361, FC Road"/>
    <x v="2"/>
    <x v="2"/>
    <s v="907587"/>
    <s v="9255626666"/>
    <s v="meera.das553@gmail.com"/>
    <x v="2"/>
    <s v="CRS06"/>
    <x v="0"/>
    <x v="2"/>
    <n v="2"/>
    <x v="0"/>
  </r>
  <r>
    <s v="STU0177"/>
    <s v="Nisha Sharma"/>
    <x v="0"/>
    <d v="2004-02-03T00:00:00"/>
    <s v="O-"/>
    <s v="Priya Kumar"/>
    <s v="Shreya Mukherjee"/>
    <s v="170, Charminar Rd"/>
    <x v="3"/>
    <x v="3"/>
    <s v="209775"/>
    <s v="9041098620"/>
    <s v="nisha.sharma518@student.college.edu"/>
    <x v="0"/>
    <s v="CRS05"/>
    <x v="5"/>
    <x v="0"/>
    <n v="6"/>
    <x v="5"/>
  </r>
  <r>
    <s v="STU0178"/>
    <s v="Arjun Rao"/>
    <x v="0"/>
    <d v="2002-02-01T00:00:00"/>
    <s v="O+"/>
    <s v="Leela Nair"/>
    <s v="Aarav Mukherjee"/>
    <s v="58, Park Street"/>
    <x v="8"/>
    <x v="5"/>
    <s v="631721"/>
    <s v="9509958874"/>
    <s v="arjun.rao393@student.college.edu"/>
    <x v="1"/>
    <s v="CRS03"/>
    <x v="4"/>
    <x v="1"/>
    <n v="4"/>
    <x v="4"/>
  </r>
  <r>
    <s v="STU0179"/>
    <s v="Ishaan Rao"/>
    <x v="1"/>
    <d v="2002-11-14T00:00:00"/>
    <s v="A+"/>
    <s v="Vihaan Banerjee"/>
    <s v="Kunal Verma"/>
    <s v="27, Park Street"/>
    <x v="6"/>
    <x v="6"/>
    <s v="449926"/>
    <s v="9325427335"/>
    <s v="ishaan.rao979@student.college.edu"/>
    <x v="0"/>
    <s v="CRS07"/>
    <x v="1"/>
    <x v="0"/>
    <n v="6"/>
    <x v="1"/>
  </r>
  <r>
    <s v="STU0180"/>
    <s v="Kavya Banerjee"/>
    <x v="0"/>
    <d v="2002-10-04T00:00:00"/>
    <s v="A+"/>
    <s v="Kunal Nair"/>
    <s v="Pooja Verma"/>
    <s v="131, Charminar Rd"/>
    <x v="4"/>
    <x v="4"/>
    <s v="751361"/>
    <s v="9568001422"/>
    <s v="kavya.banerjee198@student.college.edu"/>
    <x v="2"/>
    <s v="CRS01"/>
    <x v="2"/>
    <x v="2"/>
    <n v="2"/>
    <x v="2"/>
  </r>
  <r>
    <s v="STU0181"/>
    <s v="Kavya Banerjee"/>
    <x v="1"/>
    <d v="2005-09-21T00:00:00"/>
    <s v="B+"/>
    <s v="Harsha Verma"/>
    <s v="Varun Verma"/>
    <s v="45, Park Street"/>
    <x v="8"/>
    <x v="5"/>
    <s v="862496"/>
    <s v="9924973107"/>
    <s v="kavya.banerjee392@gmail.com"/>
    <x v="2"/>
    <s v="CRS05"/>
    <x v="5"/>
    <x v="2"/>
    <n v="2"/>
    <x v="5"/>
  </r>
  <r>
    <s v="STU0182"/>
    <s v="Sujith Nair"/>
    <x v="1"/>
    <d v="2003-12-10T00:00:00"/>
    <s v="B+"/>
    <s v="Aditya Kumar"/>
    <s v="Surya Reddy"/>
    <s v="313, Charminar Rd"/>
    <x v="2"/>
    <x v="2"/>
    <s v="154614"/>
    <s v="9200770460"/>
    <s v="sujith.nair39@gmail.com"/>
    <x v="3"/>
    <s v="CRS06"/>
    <x v="0"/>
    <x v="2"/>
    <n v="2"/>
    <x v="0"/>
  </r>
  <r>
    <s v="STU0183"/>
    <s v="Amrita Patel"/>
    <x v="1"/>
    <d v="1999-01-16T00:00:00"/>
    <s v="O-"/>
    <s v="Priya Mukherjee"/>
    <s v="Neeraj Kumar"/>
    <s v="245, Charminar Rd"/>
    <x v="9"/>
    <x v="0"/>
    <s v="509845"/>
    <s v="9936469059"/>
    <s v="amrita.patel83@gmail.com"/>
    <x v="0"/>
    <s v="CRS04"/>
    <x v="3"/>
    <x v="0"/>
    <n v="6"/>
    <x v="3"/>
  </r>
  <r>
    <s v="STU0184"/>
    <s v="Sai Das"/>
    <x v="1"/>
    <d v="2003-04-23T00:00:00"/>
    <s v="A+"/>
    <s v="Tanvi Reddy"/>
    <s v="Rahul Mukherjee"/>
    <s v="200, Brigade Road"/>
    <x v="2"/>
    <x v="2"/>
    <s v="067117"/>
    <s v="9540535849"/>
    <s v="sai.das38@gmail.com"/>
    <x v="0"/>
    <s v="CRS01"/>
    <x v="2"/>
    <x v="0"/>
    <n v="6"/>
    <x v="2"/>
  </r>
  <r>
    <s v="STU0185"/>
    <s v="Ira Verma"/>
    <x v="1"/>
    <d v="2006-05-02T00:00:00"/>
    <s v="O-"/>
    <s v="Tanvi Das"/>
    <s v="Riya Banerjee"/>
    <s v="446, Park Street"/>
    <x v="4"/>
    <x v="4"/>
    <s v="901649"/>
    <s v="9071103741"/>
    <s v="ira.verma606@student.college.edu"/>
    <x v="2"/>
    <s v="CRS02"/>
    <x v="6"/>
    <x v="2"/>
    <n v="2"/>
    <x v="6"/>
  </r>
  <r>
    <s v="STU0186"/>
    <s v="Saanvi Rao"/>
    <x v="0"/>
    <d v="2001-06-22T00:00:00"/>
    <s v="A+"/>
    <s v="Aditya Reddy"/>
    <s v="Meera Iyer"/>
    <s v="416, Charminar Rd"/>
    <x v="9"/>
    <x v="0"/>
    <s v="951877"/>
    <s v="9531146549"/>
    <s v="saanvi.rao42@student.college.edu"/>
    <x v="1"/>
    <s v="CRS03"/>
    <x v="4"/>
    <x v="1"/>
    <n v="4"/>
    <x v="4"/>
  </r>
  <r>
    <s v="STU0187"/>
    <s v="Aarav Kumar"/>
    <x v="1"/>
    <d v="1999-01-27T00:00:00"/>
    <s v="A+"/>
    <s v="Aarav Gupta"/>
    <s v="Surya Verma"/>
    <s v="362, Anna Salai"/>
    <x v="2"/>
    <x v="2"/>
    <s v="626549"/>
    <s v="9601496730"/>
    <s v="aarav.kumar242@student.college.edu"/>
    <x v="2"/>
    <s v="CRS06"/>
    <x v="0"/>
    <x v="2"/>
    <n v="2"/>
    <x v="0"/>
  </r>
  <r>
    <s v="STU0188"/>
    <s v="Leela Das"/>
    <x v="0"/>
    <d v="2001-06-17T00:00:00"/>
    <s v="A-"/>
    <s v="Riya Banerjee"/>
    <s v="Tanvi Reddy"/>
    <s v="142, MG Road"/>
    <x v="9"/>
    <x v="0"/>
    <s v="769416"/>
    <s v="9062438707"/>
    <s v="leela.das948@student.college.edu"/>
    <x v="2"/>
    <s v="CRS08"/>
    <x v="7"/>
    <x v="2"/>
    <n v="2"/>
    <x v="7"/>
  </r>
  <r>
    <s v="STU0189"/>
    <s v="Priya Verma"/>
    <x v="1"/>
    <d v="2001-08-21T00:00:00"/>
    <s v="O+"/>
    <s v="Aditi Kumar"/>
    <s v="Shreya Rao"/>
    <s v="167, Charminar Rd"/>
    <x v="7"/>
    <x v="7"/>
    <s v="212241"/>
    <s v="9805042613"/>
    <s v="priya.verma469@student.college.edu"/>
    <x v="0"/>
    <s v="CRS05"/>
    <x v="5"/>
    <x v="0"/>
    <n v="6"/>
    <x v="5"/>
  </r>
  <r>
    <s v="STU0190"/>
    <s v="Ishaan Iyer"/>
    <x v="1"/>
    <d v="1999-05-12T00:00:00"/>
    <s v="B+"/>
    <s v="Varun Rao"/>
    <s v="Vihaan Nair"/>
    <s v="70, Brigade Road"/>
    <x v="2"/>
    <x v="2"/>
    <s v="472217"/>
    <s v="9995524582"/>
    <s v="ishaan.iyer485@gmail.com"/>
    <x v="2"/>
    <s v="CRS07"/>
    <x v="1"/>
    <x v="2"/>
    <n v="2"/>
    <x v="1"/>
  </r>
  <r>
    <s v="STU0191"/>
    <s v="Aditi Reddy"/>
    <x v="1"/>
    <d v="2002-09-02T00:00:00"/>
    <s v="B+"/>
    <s v="Meera Rao"/>
    <s v="Rohan Rao"/>
    <s v="485, Park Street"/>
    <x v="1"/>
    <x v="1"/>
    <s v="409754"/>
    <s v="9386040764"/>
    <s v="aditi.reddy224@student.college.edu"/>
    <x v="0"/>
    <s v="CRS04"/>
    <x v="3"/>
    <x v="0"/>
    <n v="6"/>
    <x v="3"/>
  </r>
  <r>
    <s v="STU0192"/>
    <s v="Harsha Verma"/>
    <x v="1"/>
    <d v="2004-05-19T00:00:00"/>
    <s v="O-"/>
    <s v="Tanvi Nair"/>
    <s v="Sai Mukherjee"/>
    <s v="236, MG Road"/>
    <x v="2"/>
    <x v="2"/>
    <s v="784734"/>
    <s v="9680830429"/>
    <s v="harsha.verma556@student.college.edu"/>
    <x v="2"/>
    <s v="CRS06"/>
    <x v="0"/>
    <x v="2"/>
    <n v="2"/>
    <x v="0"/>
  </r>
  <r>
    <s v="STU0193"/>
    <s v="Aditi Sharma"/>
    <x v="0"/>
    <d v="2006-07-26T00:00:00"/>
    <s v="B+"/>
    <s v="Diya Sharma"/>
    <s v="Kabir Patel"/>
    <s v="188, LBS Marg"/>
    <x v="1"/>
    <x v="1"/>
    <s v="315072"/>
    <s v="9921495927"/>
    <s v="aditi.sharma231@gmail.com"/>
    <x v="0"/>
    <s v="CRS07"/>
    <x v="1"/>
    <x v="0"/>
    <n v="6"/>
    <x v="1"/>
  </r>
  <r>
    <s v="STU0194"/>
    <s v="Kunal Sharma"/>
    <x v="1"/>
    <d v="2003-03-08T00:00:00"/>
    <s v="A-"/>
    <s v="Diya Kumar"/>
    <s v="Saanvi Das"/>
    <s v="270, Brigade Road"/>
    <x v="3"/>
    <x v="3"/>
    <s v="436698"/>
    <s v="9180319011"/>
    <s v="kunal.sharma152@gmail.com"/>
    <x v="3"/>
    <s v="CRS01"/>
    <x v="2"/>
    <x v="2"/>
    <n v="2"/>
    <x v="2"/>
  </r>
  <r>
    <s v="STU0195"/>
    <s v="Rahul Patel"/>
    <x v="1"/>
    <d v="2005-01-26T00:00:00"/>
    <s v="A-"/>
    <s v="Surya Gupta"/>
    <s v="Saanvi Iyer"/>
    <s v="216, LBS Marg"/>
    <x v="3"/>
    <x v="3"/>
    <s v="108853"/>
    <s v="9567465545"/>
    <s v="rahul.patel920@gmail.com"/>
    <x v="0"/>
    <s v="CRS04"/>
    <x v="3"/>
    <x v="0"/>
    <n v="6"/>
    <x v="3"/>
  </r>
  <r>
    <s v="STU0196"/>
    <s v="Saanvi Iyer"/>
    <x v="0"/>
    <d v="2007-08-19T00:00:00"/>
    <s v="A-"/>
    <s v="Leela Sharma"/>
    <s v="Arjun Iyer"/>
    <s v="146, LBS Marg"/>
    <x v="8"/>
    <x v="5"/>
    <s v="729866"/>
    <s v="9120312150"/>
    <s v="saanvi.iyer325@gmail.com"/>
    <x v="0"/>
    <s v="CRS08"/>
    <x v="7"/>
    <x v="0"/>
    <n v="6"/>
    <x v="7"/>
  </r>
  <r>
    <s v="STU0197"/>
    <s v="Nisha Gupta"/>
    <x v="0"/>
    <d v="2002-05-20T00:00:00"/>
    <s v="A+"/>
    <s v="Kabir Sharma"/>
    <s v="Ira Kumar"/>
    <s v="394, Park Street"/>
    <x v="7"/>
    <x v="7"/>
    <s v="195562"/>
    <s v="9897967793"/>
    <s v="nisha.gupta116@gmail.com"/>
    <x v="3"/>
    <s v="CRS02"/>
    <x v="6"/>
    <x v="2"/>
    <n v="2"/>
    <x v="6"/>
  </r>
  <r>
    <s v="STU0198"/>
    <s v="Rahul Sharma"/>
    <x v="0"/>
    <d v="2005-12-04T00:00:00"/>
    <s v="A-"/>
    <s v="Sujith Reddy"/>
    <s v="Riya Iyer"/>
    <s v="48, FC Road"/>
    <x v="4"/>
    <x v="4"/>
    <s v="529205"/>
    <s v="9460513699"/>
    <s v="rahul.sharma370@gmail.com"/>
    <x v="1"/>
    <s v="CRS06"/>
    <x v="0"/>
    <x v="1"/>
    <n v="4"/>
    <x v="0"/>
  </r>
  <r>
    <s v="STU0199"/>
    <s v="Ira Iyer"/>
    <x v="1"/>
    <d v="2002-03-11T00:00:00"/>
    <s v="A+"/>
    <s v="Diya Iyer"/>
    <s v="Rahul Kumar"/>
    <s v="448, Brigade Road"/>
    <x v="2"/>
    <x v="2"/>
    <s v="744178"/>
    <s v="9748513953"/>
    <s v="ira.iyer956@gmail.com"/>
    <x v="2"/>
    <s v="CRS07"/>
    <x v="1"/>
    <x v="2"/>
    <n v="2"/>
    <x v="1"/>
  </r>
  <r>
    <s v="STU0200"/>
    <s v="Harsha Nair"/>
    <x v="0"/>
    <d v="2000-12-17T00:00:00"/>
    <s v="B-"/>
    <s v="Nisha Kumar"/>
    <s v="Varun Rao"/>
    <s v="387, Park Street"/>
    <x v="8"/>
    <x v="5"/>
    <s v="824835"/>
    <s v="9472713661"/>
    <s v="harsha.nair682@gmail.com"/>
    <x v="3"/>
    <s v="CRS08"/>
    <x v="7"/>
    <x v="2"/>
    <n v="2"/>
    <x v="7"/>
  </r>
  <r>
    <s v="STU0201"/>
    <s v="Surya Mukherjee"/>
    <x v="1"/>
    <d v="2001-09-29T00:00:00"/>
    <s v="B+"/>
    <s v="Aarav Verma"/>
    <s v="Neeraj Nair"/>
    <s v="253, Brigade Road"/>
    <x v="7"/>
    <x v="7"/>
    <s v="558646"/>
    <s v="9155810381"/>
    <s v="surya.mukherjee168@student.college.edu"/>
    <x v="0"/>
    <s v="CRS07"/>
    <x v="1"/>
    <x v="0"/>
    <n v="6"/>
    <x v="1"/>
  </r>
  <r>
    <s v="STU0202"/>
    <s v="Harsha Iyer"/>
    <x v="1"/>
    <d v="2002-04-02T00:00:00"/>
    <s v="A-"/>
    <s v="Rahul Das"/>
    <s v="Harsha Verma"/>
    <s v="264, Ring Road"/>
    <x v="9"/>
    <x v="0"/>
    <s v="513387"/>
    <s v="9263531127"/>
    <s v="harsha.iyer422@gmail.com"/>
    <x v="2"/>
    <s v="CRS04"/>
    <x v="3"/>
    <x v="2"/>
    <n v="2"/>
    <x v="3"/>
  </r>
  <r>
    <s v="STU0203"/>
    <s v="Arjun Das"/>
    <x v="1"/>
    <d v="2001-02-10T00:00:00"/>
    <s v="O+"/>
    <s v="Pooja Das"/>
    <s v="Kavya Mukherjee"/>
    <s v="426, Brigade Road"/>
    <x v="2"/>
    <x v="2"/>
    <s v="911036"/>
    <s v="9149591371"/>
    <s v="arjun.das132@student.college.edu"/>
    <x v="3"/>
    <s v="CRS05"/>
    <x v="5"/>
    <x v="2"/>
    <n v="2"/>
    <x v="5"/>
  </r>
  <r>
    <s v="STU0204"/>
    <s v="Arjun Reddy"/>
    <x v="1"/>
    <d v="1999-11-18T00:00:00"/>
    <s v="A+"/>
    <s v="Meera Mukherjee"/>
    <s v="Neeraj Verma"/>
    <s v="40, MG Road"/>
    <x v="6"/>
    <x v="6"/>
    <s v="017501"/>
    <s v="9206779291"/>
    <s v="arjun.reddy360@student.college.edu"/>
    <x v="3"/>
    <s v="CRS05"/>
    <x v="5"/>
    <x v="2"/>
    <n v="2"/>
    <x v="5"/>
  </r>
  <r>
    <s v="STU0205"/>
    <s v="Shreya Iyer"/>
    <x v="0"/>
    <d v="2000-10-19T00:00:00"/>
    <s v="A-"/>
    <s v="Leela Das"/>
    <s v="Neeraj Mukherjee"/>
    <s v="314, Ring Road"/>
    <x v="9"/>
    <x v="0"/>
    <s v="050212"/>
    <s v="9959025735"/>
    <s v="shreya.iyer451@student.college.edu"/>
    <x v="0"/>
    <s v="CRS07"/>
    <x v="1"/>
    <x v="0"/>
    <n v="6"/>
    <x v="1"/>
  </r>
  <r>
    <s v="STU0206"/>
    <s v="Meera Reddy"/>
    <x v="0"/>
    <d v="2001-07-21T00:00:00"/>
    <s v="O-"/>
    <s v="Meera Verma"/>
    <s v="Neeraj Iyer"/>
    <s v="64, LBS Marg"/>
    <x v="8"/>
    <x v="5"/>
    <s v="432704"/>
    <s v="9347682494"/>
    <s v="meera.reddy878@student.college.edu"/>
    <x v="1"/>
    <s v="CRS06"/>
    <x v="0"/>
    <x v="1"/>
    <n v="4"/>
    <x v="0"/>
  </r>
  <r>
    <s v="STU0207"/>
    <s v="Sai Sharma"/>
    <x v="1"/>
    <d v="2004-07-06T00:00:00"/>
    <s v="O-"/>
    <s v="Tanvi Verma"/>
    <s v="Ira Kumar"/>
    <s v="268, Brigade Road"/>
    <x v="8"/>
    <x v="5"/>
    <s v="369781"/>
    <s v="9312842447"/>
    <s v="sai.sharma785@gmail.com"/>
    <x v="1"/>
    <s v="CRS06"/>
    <x v="0"/>
    <x v="1"/>
    <n v="4"/>
    <x v="0"/>
  </r>
  <r>
    <s v="STU0208"/>
    <s v="Saanvi Banerjee"/>
    <x v="0"/>
    <d v="2003-07-15T00:00:00"/>
    <s v="O-"/>
    <s v="Saanvi Das"/>
    <s v="Kunal Gupta"/>
    <s v="394, LBS Marg"/>
    <x v="9"/>
    <x v="0"/>
    <s v="246100"/>
    <s v="9069361600"/>
    <s v="saanvi.banerjee770@gmail.com"/>
    <x v="1"/>
    <s v="CRS04"/>
    <x v="3"/>
    <x v="1"/>
    <n v="4"/>
    <x v="3"/>
  </r>
  <r>
    <s v="STU0209"/>
    <s v="Rahul Banerjee"/>
    <x v="0"/>
    <d v="2004-07-01T00:00:00"/>
    <s v="O+"/>
    <s v="Priya Nair"/>
    <s v="Nisha Iyer"/>
    <s v="415, MG Road"/>
    <x v="6"/>
    <x v="6"/>
    <s v="814840"/>
    <s v="9167814337"/>
    <s v="rahul.banerjee583@gmail.com"/>
    <x v="1"/>
    <s v="CRS08"/>
    <x v="7"/>
    <x v="1"/>
    <n v="4"/>
    <x v="7"/>
  </r>
  <r>
    <s v="STU0210"/>
    <s v="Nisha Gupta"/>
    <x v="1"/>
    <d v="1999-08-17T00:00:00"/>
    <s v="A-"/>
    <s v="Ira Nair"/>
    <s v="Saanvi Rao"/>
    <s v="498, Charminar Rd"/>
    <x v="7"/>
    <x v="7"/>
    <s v="720513"/>
    <s v="9857634940"/>
    <s v="nisha.gupta251@student.college.edu"/>
    <x v="0"/>
    <s v="CRS02"/>
    <x v="6"/>
    <x v="0"/>
    <n v="6"/>
    <x v="6"/>
  </r>
  <r>
    <s v="STU0211"/>
    <s v="Surya Mukherjee"/>
    <x v="1"/>
    <d v="2002-06-02T00:00:00"/>
    <s v="A-"/>
    <s v="Kabir Iyer"/>
    <s v="Sai Sharma"/>
    <s v="276, FC Road"/>
    <x v="2"/>
    <x v="2"/>
    <s v="645404"/>
    <s v="9035304624"/>
    <s v="surya.mukherjee831@gmail.com"/>
    <x v="0"/>
    <s v="CRS06"/>
    <x v="0"/>
    <x v="0"/>
    <n v="6"/>
    <x v="0"/>
  </r>
  <r>
    <s v="STU0212"/>
    <s v="Meera Reddy"/>
    <x v="0"/>
    <d v="2006-02-15T00:00:00"/>
    <s v="B-"/>
    <s v="Leela Verma"/>
    <s v="Sujith Das"/>
    <s v="110, Anna Salai"/>
    <x v="1"/>
    <x v="1"/>
    <s v="258697"/>
    <s v="9552554308"/>
    <s v="meera.reddy517@gmail.com"/>
    <x v="0"/>
    <s v="CRS04"/>
    <x v="3"/>
    <x v="0"/>
    <n v="6"/>
    <x v="3"/>
  </r>
  <r>
    <s v="STU0213"/>
    <s v="Meera Patel"/>
    <x v="0"/>
    <d v="2006-01-03T00:00:00"/>
    <s v="O-"/>
    <s v="Priya Kumar"/>
    <s v="Tanvi Das"/>
    <s v="93, MG Road"/>
    <x v="8"/>
    <x v="5"/>
    <s v="529749"/>
    <s v="9567456531"/>
    <s v="meera.patel155@gmail.com"/>
    <x v="1"/>
    <s v="CRS07"/>
    <x v="1"/>
    <x v="1"/>
    <n v="4"/>
    <x v="1"/>
  </r>
  <r>
    <s v="STU0214"/>
    <s v="Ananya Verma"/>
    <x v="0"/>
    <d v="2001-04-13T00:00:00"/>
    <s v="O+"/>
    <s v="Leela Patel"/>
    <s v="Kunal Nair"/>
    <s v="331, Park Street"/>
    <x v="4"/>
    <x v="4"/>
    <s v="411284"/>
    <s v="9546011286"/>
    <s v="ananya.verma181@student.college.edu"/>
    <x v="1"/>
    <s v="CRS01"/>
    <x v="2"/>
    <x v="1"/>
    <n v="4"/>
    <x v="2"/>
  </r>
  <r>
    <s v="STU0215"/>
    <s v="Vihaan Verma"/>
    <x v="0"/>
    <d v="2005-09-30T00:00:00"/>
    <s v="O-"/>
    <s v="Rahul Verma"/>
    <s v="Amrita Patel"/>
    <s v="460, FC Road"/>
    <x v="6"/>
    <x v="6"/>
    <s v="971179"/>
    <s v="9589928218"/>
    <s v="vihaan.verma338@gmail.com"/>
    <x v="3"/>
    <s v="CRS07"/>
    <x v="1"/>
    <x v="2"/>
    <n v="2"/>
    <x v="1"/>
  </r>
  <r>
    <s v="STU0216"/>
    <s v="Ishaan Gupta"/>
    <x v="1"/>
    <d v="2000-12-18T00:00:00"/>
    <s v="O+"/>
    <s v="Ishaan Nair"/>
    <s v="Riya Patel"/>
    <s v="131, MG Road"/>
    <x v="7"/>
    <x v="7"/>
    <s v="615422"/>
    <s v="9714336907"/>
    <s v="ishaan.gupta819@student.college.edu"/>
    <x v="3"/>
    <s v="CRS05"/>
    <x v="5"/>
    <x v="2"/>
    <n v="2"/>
    <x v="5"/>
  </r>
  <r>
    <s v="STU0217"/>
    <s v="Nisha Patel"/>
    <x v="0"/>
    <d v="2006-03-02T00:00:00"/>
    <s v="O-"/>
    <s v="Varun Iyer"/>
    <s v="Amrita Banerjee"/>
    <s v="63, Ring Road"/>
    <x v="6"/>
    <x v="6"/>
    <s v="099939"/>
    <s v="9728143867"/>
    <s v="nisha.patel281@student.college.edu"/>
    <x v="1"/>
    <s v="CRS08"/>
    <x v="7"/>
    <x v="1"/>
    <n v="4"/>
    <x v="7"/>
  </r>
  <r>
    <s v="STU0218"/>
    <s v="Aditi Patel"/>
    <x v="0"/>
    <d v="2007-01-17T00:00:00"/>
    <s v="AB+"/>
    <s v="Meera Verma"/>
    <s v="Sujith Gupta"/>
    <s v="358, Anna Salai"/>
    <x v="9"/>
    <x v="0"/>
    <s v="368740"/>
    <s v="9066714630"/>
    <s v="aditi.patel162@student.college.edu"/>
    <x v="3"/>
    <s v="CRS07"/>
    <x v="1"/>
    <x v="2"/>
    <n v="2"/>
    <x v="1"/>
  </r>
  <r>
    <s v="STU0219"/>
    <s v="Pooja Iyer"/>
    <x v="0"/>
    <d v="2004-05-13T00:00:00"/>
    <s v="AB+"/>
    <s v="Leela Mukherjee"/>
    <s v="Arjun Nair"/>
    <s v="89, FC Road"/>
    <x v="4"/>
    <x v="4"/>
    <s v="033385"/>
    <s v="9005620428"/>
    <s v="pooja.iyer51@gmail.com"/>
    <x v="1"/>
    <s v="CRS05"/>
    <x v="5"/>
    <x v="1"/>
    <n v="4"/>
    <x v="5"/>
  </r>
  <r>
    <s v="STU0220"/>
    <s v="Arjun Verma"/>
    <x v="0"/>
    <d v="2000-11-27T00:00:00"/>
    <s v="B+"/>
    <s v="Shreya Verma"/>
    <s v="Aarav Mukherjee"/>
    <s v="270, Charminar Rd"/>
    <x v="2"/>
    <x v="2"/>
    <s v="171872"/>
    <s v="9418692644"/>
    <s v="arjun.verma150@student.college.edu"/>
    <x v="0"/>
    <s v="CRS04"/>
    <x v="3"/>
    <x v="0"/>
    <n v="6"/>
    <x v="3"/>
  </r>
  <r>
    <s v="STU0221"/>
    <s v="Kavya Kumar"/>
    <x v="1"/>
    <d v="2003-02-23T00:00:00"/>
    <s v="A+"/>
    <s v="Shreya Banerjee"/>
    <s v="Harsha Kumar"/>
    <s v="44, MG Road"/>
    <x v="8"/>
    <x v="5"/>
    <s v="893234"/>
    <s v="9505094366"/>
    <s v="kavya.kumar822@student.college.edu"/>
    <x v="0"/>
    <s v="CRS07"/>
    <x v="1"/>
    <x v="0"/>
    <n v="6"/>
    <x v="1"/>
  </r>
  <r>
    <s v="STU0222"/>
    <s v="Rahul Patel"/>
    <x v="1"/>
    <d v="2003-02-28T00:00:00"/>
    <s v="AB+"/>
    <s v="Arjun Das"/>
    <s v="Vihaan Rao"/>
    <s v="92, Anna Salai"/>
    <x v="2"/>
    <x v="2"/>
    <s v="981351"/>
    <s v="9101887928"/>
    <s v="rahul.patel628@gmail.com"/>
    <x v="0"/>
    <s v="CRS07"/>
    <x v="1"/>
    <x v="0"/>
    <n v="6"/>
    <x v="1"/>
  </r>
  <r>
    <s v="STU0223"/>
    <s v="Amrita Gupta"/>
    <x v="0"/>
    <d v="2007-04-07T00:00:00"/>
    <s v="A+"/>
    <s v="Saanvi Gupta"/>
    <s v="Nisha Banerjee"/>
    <s v="326, LBS Marg"/>
    <x v="4"/>
    <x v="4"/>
    <s v="120274"/>
    <s v="9990374488"/>
    <s v="amrita.gupta127@gmail.com"/>
    <x v="3"/>
    <s v="CRS05"/>
    <x v="5"/>
    <x v="2"/>
    <n v="2"/>
    <x v="5"/>
  </r>
  <r>
    <s v="STU0224"/>
    <s v="Sai Gupta"/>
    <x v="1"/>
    <d v="2004-09-14T00:00:00"/>
    <s v="O-"/>
    <s v="Sujith Nair"/>
    <s v="Shreya Banerjee"/>
    <s v="300, Ring Road"/>
    <x v="1"/>
    <x v="1"/>
    <s v="554076"/>
    <s v="9806635981"/>
    <s v="sai.gupta84@gmail.com"/>
    <x v="1"/>
    <s v="CRS08"/>
    <x v="7"/>
    <x v="1"/>
    <n v="4"/>
    <x v="7"/>
  </r>
  <r>
    <s v="STU0225"/>
    <s v="Harsha Nair"/>
    <x v="1"/>
    <d v="2006-05-19T00:00:00"/>
    <s v="B+"/>
    <s v="Aarav Iyer"/>
    <s v="Vihaan Banerjee"/>
    <s v="319, LBS Marg"/>
    <x v="8"/>
    <x v="5"/>
    <s v="206300"/>
    <s v="9933198081"/>
    <s v="harsha.nair799@gmail.com"/>
    <x v="3"/>
    <s v="CRS02"/>
    <x v="6"/>
    <x v="2"/>
    <n v="2"/>
    <x v="6"/>
  </r>
  <r>
    <s v="STU0226"/>
    <s v="Rahul Kumar"/>
    <x v="0"/>
    <d v="2007-04-03T00:00:00"/>
    <s v="B-"/>
    <s v="Pooja Nair"/>
    <s v="Amrita Banerjee"/>
    <s v="309, Park Street"/>
    <x v="9"/>
    <x v="0"/>
    <s v="854845"/>
    <s v="9478644034"/>
    <s v="rahul.kumar230@student.college.edu"/>
    <x v="2"/>
    <s v="CRS05"/>
    <x v="5"/>
    <x v="2"/>
    <n v="2"/>
    <x v="5"/>
  </r>
  <r>
    <s v="STU0227"/>
    <s v="Riya Patel"/>
    <x v="1"/>
    <d v="2007-12-28T00:00:00"/>
    <s v="O-"/>
    <s v="Saanvi Nair"/>
    <s v="Arjun Gupta"/>
    <s v="351, Anna Salai"/>
    <x v="6"/>
    <x v="6"/>
    <s v="200014"/>
    <s v="9065220516"/>
    <s v="riya.patel184@student.college.edu"/>
    <x v="1"/>
    <s v="CRS01"/>
    <x v="2"/>
    <x v="1"/>
    <n v="4"/>
    <x v="2"/>
  </r>
  <r>
    <s v="STU0228"/>
    <s v="Aditya Patel"/>
    <x v="1"/>
    <d v="2002-05-04T00:00:00"/>
    <s v="B+"/>
    <s v="Ananya Rao"/>
    <s v="Aditi Kumar"/>
    <s v="388, LBS Marg"/>
    <x v="3"/>
    <x v="3"/>
    <s v="398209"/>
    <s v="9264030644"/>
    <s v="aditya.patel674@gmail.com"/>
    <x v="0"/>
    <s v="CRS07"/>
    <x v="1"/>
    <x v="0"/>
    <n v="6"/>
    <x v="1"/>
  </r>
  <r>
    <s v="STU0229"/>
    <s v="Pooja Nair"/>
    <x v="1"/>
    <d v="2000-05-27T00:00:00"/>
    <s v="O-"/>
    <s v="Arjun Sharma"/>
    <s v="Ishaan Verma"/>
    <s v="418, MG Road"/>
    <x v="1"/>
    <x v="1"/>
    <s v="266467"/>
    <s v="9134401179"/>
    <s v="pooja.nair483@student.college.edu"/>
    <x v="1"/>
    <s v="CRS04"/>
    <x v="3"/>
    <x v="1"/>
    <n v="4"/>
    <x v="3"/>
  </r>
  <r>
    <s v="STU0230"/>
    <s v="Ishaan Nair"/>
    <x v="1"/>
    <d v="2003-05-24T00:00:00"/>
    <s v="O+"/>
    <s v="Vihaan Iyer"/>
    <s v="Aarav Verma"/>
    <s v="323, Charminar Rd"/>
    <x v="2"/>
    <x v="2"/>
    <s v="755244"/>
    <s v="9566847543"/>
    <s v="ishaan.nair66@gmail.com"/>
    <x v="1"/>
    <s v="CRS08"/>
    <x v="7"/>
    <x v="1"/>
    <n v="4"/>
    <x v="7"/>
  </r>
  <r>
    <s v="STU0231"/>
    <s v="Kabir Kumar"/>
    <x v="1"/>
    <d v="2006-03-31T00:00:00"/>
    <s v="O-"/>
    <s v="Diya Kumar"/>
    <s v="Varun Patel"/>
    <s v="11, Park Street"/>
    <x v="4"/>
    <x v="4"/>
    <s v="445569"/>
    <s v="9874873496"/>
    <s v="kabir.kumar369@gmail.com"/>
    <x v="3"/>
    <s v="CRS04"/>
    <x v="3"/>
    <x v="2"/>
    <n v="2"/>
    <x v="3"/>
  </r>
  <r>
    <s v="STU0232"/>
    <s v="Rahul Mukherjee"/>
    <x v="1"/>
    <d v="1999-12-20T00:00:00"/>
    <s v="A+"/>
    <s v="Tanvi Kumar"/>
    <s v="Arjun Gupta"/>
    <s v="103, Park Street"/>
    <x v="2"/>
    <x v="2"/>
    <s v="149320"/>
    <s v="9083188004"/>
    <s v="rahul.mukherjee633@student.college.edu"/>
    <x v="3"/>
    <s v="CRS08"/>
    <x v="7"/>
    <x v="2"/>
    <n v="2"/>
    <x v="7"/>
  </r>
  <r>
    <s v="STU0233"/>
    <s v="Kunal Iyer"/>
    <x v="0"/>
    <d v="2007-08-18T00:00:00"/>
    <s v="O-"/>
    <s v="Vihaan Das"/>
    <s v="Kunal Gupta"/>
    <s v="437, Brigade Road"/>
    <x v="2"/>
    <x v="2"/>
    <s v="797976"/>
    <s v="9815511237"/>
    <s v="kunal.iyer726@gmail.com"/>
    <x v="1"/>
    <s v="CRS02"/>
    <x v="6"/>
    <x v="1"/>
    <n v="4"/>
    <x v="6"/>
  </r>
  <r>
    <s v="STU0234"/>
    <s v="Arjun Banerjee"/>
    <x v="0"/>
    <d v="2002-10-02T00:00:00"/>
    <s v="O-"/>
    <s v="Sujith Gupta"/>
    <s v="Kabir Reddy"/>
    <s v="225, Charminar Rd"/>
    <x v="4"/>
    <x v="4"/>
    <s v="842127"/>
    <s v="9462757149"/>
    <s v="arjun.banerjee920@gmail.com"/>
    <x v="0"/>
    <s v="CRS01"/>
    <x v="2"/>
    <x v="0"/>
    <n v="6"/>
    <x v="2"/>
  </r>
  <r>
    <s v="STU0235"/>
    <s v="Riya Gupta"/>
    <x v="1"/>
    <d v="2007-01-18T00:00:00"/>
    <s v="B+"/>
    <s v="Pooja Das"/>
    <s v="Aditya Verma"/>
    <s v="174, FC Road"/>
    <x v="5"/>
    <x v="5"/>
    <s v="430915"/>
    <s v="9997894878"/>
    <s v="riya.gupta739@gmail.com"/>
    <x v="2"/>
    <s v="CRS05"/>
    <x v="5"/>
    <x v="2"/>
    <n v="2"/>
    <x v="5"/>
  </r>
  <r>
    <s v="STU0236"/>
    <s v="Amrita Das"/>
    <x v="1"/>
    <d v="2000-08-24T00:00:00"/>
    <s v="A-"/>
    <s v="Varun Patel"/>
    <s v="Riya Banerjee"/>
    <s v="106, LBS Marg"/>
    <x v="6"/>
    <x v="6"/>
    <s v="780537"/>
    <s v="9855253360"/>
    <s v="amrita.das912@gmail.com"/>
    <x v="0"/>
    <s v="CRS07"/>
    <x v="1"/>
    <x v="0"/>
    <n v="6"/>
    <x v="1"/>
  </r>
  <r>
    <s v="STU0237"/>
    <s v="Priya Verma"/>
    <x v="0"/>
    <d v="1999-09-03T00:00:00"/>
    <s v="O+"/>
    <s v="Sujith Iyer"/>
    <s v="Kunal Banerjee"/>
    <s v="260, FC Road"/>
    <x v="1"/>
    <x v="1"/>
    <s v="794503"/>
    <s v="9275796822"/>
    <s v="priya.verma683@student.college.edu"/>
    <x v="1"/>
    <s v="CRS04"/>
    <x v="3"/>
    <x v="1"/>
    <n v="4"/>
    <x v="3"/>
  </r>
  <r>
    <s v="STU0238"/>
    <s v="Kabir Iyer"/>
    <x v="2"/>
    <d v="2005-07-13T00:00:00"/>
    <s v="O-"/>
    <s v="Ishaan Iyer"/>
    <s v="Riya Verma"/>
    <s v="76, Charminar Rd"/>
    <x v="9"/>
    <x v="0"/>
    <s v="041206"/>
    <s v="9457856969"/>
    <s v="kabir.iyer750@gmail.com"/>
    <x v="3"/>
    <s v="CRS03"/>
    <x v="4"/>
    <x v="2"/>
    <n v="2"/>
    <x v="4"/>
  </r>
  <r>
    <s v="STU0239"/>
    <s v="Priya Gupta"/>
    <x v="0"/>
    <d v="2006-12-22T00:00:00"/>
    <s v="A-"/>
    <s v="Riya Gupta"/>
    <s v="Varun Das"/>
    <s v="442, Brigade Road"/>
    <x v="2"/>
    <x v="2"/>
    <s v="479396"/>
    <s v="9415013934"/>
    <s v="priya.gupta811@student.college.edu"/>
    <x v="1"/>
    <s v="CRS01"/>
    <x v="2"/>
    <x v="1"/>
    <n v="4"/>
    <x v="2"/>
  </r>
  <r>
    <s v="STU0240"/>
    <s v="Surya Nair"/>
    <x v="0"/>
    <d v="2001-06-02T00:00:00"/>
    <s v="B-"/>
    <s v="Sai Mukherjee"/>
    <s v="Saanvi Sharma"/>
    <s v="63, FC Road"/>
    <x v="1"/>
    <x v="1"/>
    <s v="455974"/>
    <s v="9767544483"/>
    <s v="surya.nair820@gmail.com"/>
    <x v="3"/>
    <s v="CRS07"/>
    <x v="1"/>
    <x v="2"/>
    <n v="2"/>
    <x v="1"/>
  </r>
  <r>
    <s v="STU0241"/>
    <s v="Ananya Das"/>
    <x v="1"/>
    <d v="2006-07-09T00:00:00"/>
    <s v="A+"/>
    <s v="Amrita Kumar"/>
    <s v="Aditi Nair"/>
    <s v="331, Brigade Road"/>
    <x v="1"/>
    <x v="1"/>
    <s v="577515"/>
    <s v="9165051481"/>
    <s v="ananya.das959@student.college.edu"/>
    <x v="0"/>
    <s v="CRS04"/>
    <x v="3"/>
    <x v="0"/>
    <n v="6"/>
    <x v="3"/>
  </r>
  <r>
    <s v="STU0242"/>
    <s v="Rohan Mukherjee"/>
    <x v="2"/>
    <d v="2003-12-25T00:00:00"/>
    <s v="A-"/>
    <s v="Aditya Das"/>
    <s v="Kavya Iyer"/>
    <s v="206, MG Road"/>
    <x v="1"/>
    <x v="1"/>
    <s v="310530"/>
    <s v="9952171960"/>
    <s v="rohan.mukherjee985@gmail.com"/>
    <x v="2"/>
    <s v="CRS01"/>
    <x v="2"/>
    <x v="2"/>
    <n v="2"/>
    <x v="2"/>
  </r>
  <r>
    <s v="STU0243"/>
    <s v="Rahul Patel"/>
    <x v="1"/>
    <d v="2002-08-03T00:00:00"/>
    <s v="A-"/>
    <s v="Arjun Patel"/>
    <s v="Amrita Iyer"/>
    <s v="133, Charminar Rd"/>
    <x v="1"/>
    <x v="1"/>
    <s v="275473"/>
    <s v="9104444282"/>
    <s v="rahul.patel987@student.college.edu"/>
    <x v="3"/>
    <s v="CRS05"/>
    <x v="5"/>
    <x v="2"/>
    <n v="2"/>
    <x v="5"/>
  </r>
  <r>
    <s v="STU0244"/>
    <s v="Shreya Patel"/>
    <x v="0"/>
    <d v="1999-12-10T00:00:00"/>
    <s v="O-"/>
    <s v="Leela Banerjee"/>
    <s v="Priya Reddy"/>
    <s v="401, Park Street"/>
    <x v="5"/>
    <x v="5"/>
    <s v="754940"/>
    <s v="9482909458"/>
    <s v="shreya.patel390@gmail.com"/>
    <x v="3"/>
    <s v="CRS05"/>
    <x v="5"/>
    <x v="2"/>
    <n v="2"/>
    <x v="5"/>
  </r>
  <r>
    <s v="STU0245"/>
    <s v="Vihaan Gupta"/>
    <x v="1"/>
    <d v="2004-12-27T00:00:00"/>
    <s v="O+"/>
    <s v="Shreya Verma"/>
    <s v="Rahul Verma"/>
    <s v="203, Brigade Road"/>
    <x v="3"/>
    <x v="3"/>
    <s v="825889"/>
    <s v="9697263293"/>
    <s v="vihaan.gupta936@student.college.edu"/>
    <x v="2"/>
    <s v="CRS08"/>
    <x v="7"/>
    <x v="2"/>
    <n v="2"/>
    <x v="7"/>
  </r>
  <r>
    <s v="STU0246"/>
    <s v="Aarav Sharma"/>
    <x v="1"/>
    <d v="2000-12-11T00:00:00"/>
    <s v="A-"/>
    <s v="Meera Das"/>
    <s v="Amrita Mukherjee"/>
    <s v="361, LBS Marg"/>
    <x v="9"/>
    <x v="0"/>
    <s v="760086"/>
    <s v="9638831760"/>
    <s v="aarav.sharma474@gmail.com"/>
    <x v="1"/>
    <s v="CRS01"/>
    <x v="2"/>
    <x v="1"/>
    <n v="4"/>
    <x v="2"/>
  </r>
  <r>
    <s v="STU0247"/>
    <s v="Rohan Mukherjee"/>
    <x v="1"/>
    <d v="2007-07-04T00:00:00"/>
    <s v="A+"/>
    <s v="Kunal Banerjee"/>
    <s v="Surya Mukherjee"/>
    <s v="184, Ring Road"/>
    <x v="3"/>
    <x v="3"/>
    <s v="829904"/>
    <s v="9760961251"/>
    <s v="rohan.mukherjee199@student.college.edu"/>
    <x v="3"/>
    <s v="CRS02"/>
    <x v="6"/>
    <x v="2"/>
    <n v="2"/>
    <x v="6"/>
  </r>
  <r>
    <s v="STU0248"/>
    <s v="Arjun Nair"/>
    <x v="1"/>
    <d v="2001-07-22T00:00:00"/>
    <s v="A+"/>
    <s v="Amrita Das"/>
    <s v="Aditi Nair"/>
    <s v="99, MG Road"/>
    <x v="3"/>
    <x v="3"/>
    <s v="680466"/>
    <s v="9838415450"/>
    <s v="arjun.nair739@student.college.edu"/>
    <x v="0"/>
    <s v="CRS07"/>
    <x v="1"/>
    <x v="0"/>
    <n v="6"/>
    <x v="1"/>
  </r>
  <r>
    <s v="STU0249"/>
    <s v="Nisha Kumar"/>
    <x v="0"/>
    <d v="1999-01-22T00:00:00"/>
    <s v="O-"/>
    <s v="Ira Reddy"/>
    <s v="Ananya Verma"/>
    <s v="451, MG Road"/>
    <x v="6"/>
    <x v="6"/>
    <s v="991306"/>
    <s v="9040798249"/>
    <s v="nisha.kumar853@student.college.edu"/>
    <x v="0"/>
    <s v="CRS04"/>
    <x v="3"/>
    <x v="0"/>
    <n v="6"/>
    <x v="3"/>
  </r>
  <r>
    <s v="STU0250"/>
    <s v="Aditya Rao"/>
    <x v="1"/>
    <d v="2003-12-02T00:00:00"/>
    <s v="A-"/>
    <s v="Neeraj Verma"/>
    <s v="Harsha Kumar"/>
    <s v="297, Brigade Road"/>
    <x v="1"/>
    <x v="1"/>
    <s v="938670"/>
    <s v="9806410084"/>
    <s v="aditya.rao633@gmail.com"/>
    <x v="2"/>
    <s v="CRS08"/>
    <x v="7"/>
    <x v="2"/>
    <n v="2"/>
    <x v="7"/>
  </r>
  <r>
    <s v="STU0251"/>
    <s v="Ira Kumar"/>
    <x v="0"/>
    <d v="2005-12-15T00:00:00"/>
    <s v="AB+"/>
    <s v="Kavya Verma"/>
    <s v="Ananya Banerjee"/>
    <s v="481, MG Road"/>
    <x v="7"/>
    <x v="7"/>
    <s v="510758"/>
    <s v="9915346110"/>
    <s v="ira.kumar131@gmail.com"/>
    <x v="1"/>
    <s v="CRS06"/>
    <x v="0"/>
    <x v="1"/>
    <n v="4"/>
    <x v="0"/>
  </r>
  <r>
    <s v="STU0252"/>
    <s v="Rahul Rao"/>
    <x v="1"/>
    <d v="2007-09-12T00:00:00"/>
    <s v="AB+"/>
    <s v="Arjun Gupta"/>
    <s v="Saanvi Nair"/>
    <s v="309, FC Road"/>
    <x v="7"/>
    <x v="7"/>
    <s v="956128"/>
    <s v="9503962014"/>
    <s v="rahul.rao709@gmail.com"/>
    <x v="0"/>
    <s v="CRS06"/>
    <x v="0"/>
    <x v="0"/>
    <n v="6"/>
    <x v="0"/>
  </r>
  <r>
    <s v="STU0253"/>
    <s v="Kavya Nair"/>
    <x v="0"/>
    <d v="2002-09-08T00:00:00"/>
    <s v="O+"/>
    <s v="Sai Verma"/>
    <s v="Riya Sharma"/>
    <s v="254, Ring Road"/>
    <x v="4"/>
    <x v="4"/>
    <s v="642478"/>
    <s v="9834800351"/>
    <s v="kavya.nair451@student.college.edu"/>
    <x v="0"/>
    <s v="CRS01"/>
    <x v="2"/>
    <x v="0"/>
    <n v="6"/>
    <x v="2"/>
  </r>
  <r>
    <s v="STU0254"/>
    <s v="Aarav Reddy"/>
    <x v="1"/>
    <d v="2002-03-09T00:00:00"/>
    <s v="O+"/>
    <s v="Sai Reddy"/>
    <s v="Amrita Nair"/>
    <s v="369, Park Street"/>
    <x v="4"/>
    <x v="4"/>
    <s v="108906"/>
    <s v="9371932869"/>
    <s v="aarav.reddy819@gmail.com"/>
    <x v="2"/>
    <s v="CRS02"/>
    <x v="6"/>
    <x v="2"/>
    <n v="2"/>
    <x v="6"/>
  </r>
  <r>
    <s v="STU0255"/>
    <s v="Arjun Gupta"/>
    <x v="1"/>
    <d v="2001-02-24T00:00:00"/>
    <s v="A-"/>
    <s v="Nisha Patel"/>
    <s v="Varun Iyer"/>
    <s v="163, Charminar Rd"/>
    <x v="1"/>
    <x v="1"/>
    <s v="758212"/>
    <s v="9621554777"/>
    <s v="arjun.gupta630@student.college.edu"/>
    <x v="1"/>
    <s v="CRS06"/>
    <x v="0"/>
    <x v="1"/>
    <n v="4"/>
    <x v="0"/>
  </r>
  <r>
    <s v="STU0256"/>
    <s v="Saanvi Das"/>
    <x v="0"/>
    <d v="2001-01-03T00:00:00"/>
    <s v="B+"/>
    <s v="Ananya Mukherjee"/>
    <s v="Diya Das"/>
    <s v="356, LBS Marg"/>
    <x v="2"/>
    <x v="2"/>
    <s v="249502"/>
    <s v="9283385935"/>
    <s v="saanvi.das138@student.college.edu"/>
    <x v="1"/>
    <s v="CRS06"/>
    <x v="0"/>
    <x v="1"/>
    <n v="4"/>
    <x v="0"/>
  </r>
  <r>
    <s v="STU0257"/>
    <s v="Rohan Rao"/>
    <x v="1"/>
    <d v="2004-03-20T00:00:00"/>
    <s v="AB+"/>
    <s v="Priya Rao"/>
    <s v="Ananya Patel"/>
    <s v="231, LBS Marg"/>
    <x v="6"/>
    <x v="6"/>
    <s v="342042"/>
    <s v="9092550221"/>
    <s v="rohan.rao369@student.college.edu"/>
    <x v="3"/>
    <s v="CRS06"/>
    <x v="0"/>
    <x v="2"/>
    <n v="2"/>
    <x v="0"/>
  </r>
  <r>
    <s v="STU0258"/>
    <s v="Ishaan Banerjee"/>
    <x v="0"/>
    <d v="2001-10-21T00:00:00"/>
    <s v="A-"/>
    <s v="Rahul Mukherjee"/>
    <s v="Sujith Banerjee"/>
    <s v="433, Anna Salai"/>
    <x v="5"/>
    <x v="5"/>
    <s v="977902"/>
    <s v="9874456457"/>
    <s v="ishaan.banerjee153@gmail.com"/>
    <x v="3"/>
    <s v="CRS04"/>
    <x v="3"/>
    <x v="2"/>
    <n v="2"/>
    <x v="3"/>
  </r>
  <r>
    <s v="STU0259"/>
    <s v="Saanvi Reddy"/>
    <x v="0"/>
    <d v="2005-08-01T00:00:00"/>
    <s v="O+"/>
    <s v="Pooja Das"/>
    <s v="Neeraj Kumar"/>
    <s v="370, LBS Marg"/>
    <x v="9"/>
    <x v="0"/>
    <s v="317624"/>
    <s v="9535190883"/>
    <s v="saanvi.reddy430@gmail.com"/>
    <x v="1"/>
    <s v="CRS05"/>
    <x v="5"/>
    <x v="1"/>
    <n v="4"/>
    <x v="5"/>
  </r>
  <r>
    <s v="STU0260"/>
    <s v="Ananya Rao"/>
    <x v="1"/>
    <d v="2005-05-13T00:00:00"/>
    <s v="A+"/>
    <s v="Pooja Sharma"/>
    <s v="Surya Gupta"/>
    <s v="79, FC Road"/>
    <x v="6"/>
    <x v="6"/>
    <s v="923511"/>
    <s v="9548015064"/>
    <s v="ananya.rao192@student.college.edu"/>
    <x v="1"/>
    <s v="CRS05"/>
    <x v="5"/>
    <x v="1"/>
    <n v="4"/>
    <x v="5"/>
  </r>
  <r>
    <s v="STU0261"/>
    <s v="Ishaan Reddy"/>
    <x v="0"/>
    <d v="2006-05-25T00:00:00"/>
    <s v="AB+"/>
    <s v="Priya Verma"/>
    <s v="Riya Sharma"/>
    <s v="189, MG Road"/>
    <x v="7"/>
    <x v="7"/>
    <s v="841154"/>
    <s v="9098124746"/>
    <s v="ishaan.reddy962@gmail.com"/>
    <x v="3"/>
    <s v="CRS08"/>
    <x v="7"/>
    <x v="2"/>
    <n v="2"/>
    <x v="7"/>
  </r>
  <r>
    <s v="STU0262"/>
    <s v="Kunal Reddy"/>
    <x v="1"/>
    <d v="2000-08-07T00:00:00"/>
    <s v="B-"/>
    <s v="Riya Verma"/>
    <s v="Sujith Patel"/>
    <s v="310, Ring Road"/>
    <x v="7"/>
    <x v="7"/>
    <s v="984572"/>
    <s v="9847726812"/>
    <s v="kunal.reddy922@gmail.com"/>
    <x v="1"/>
    <s v="CRS03"/>
    <x v="4"/>
    <x v="1"/>
    <n v="4"/>
    <x v="4"/>
  </r>
  <r>
    <s v="STU0263"/>
    <s v="Varun Rao"/>
    <x v="1"/>
    <d v="2003-05-31T00:00:00"/>
    <s v="B+"/>
    <s v="Varun Sharma"/>
    <s v="Rohan Gupta"/>
    <s v="141, Anna Salai"/>
    <x v="4"/>
    <x v="4"/>
    <s v="947137"/>
    <s v="9574120066"/>
    <s v="varun.rao473@gmail.com"/>
    <x v="1"/>
    <s v="CRS04"/>
    <x v="3"/>
    <x v="1"/>
    <n v="4"/>
    <x v="3"/>
  </r>
  <r>
    <s v="STU0264"/>
    <s v="Ira Sharma"/>
    <x v="1"/>
    <d v="2001-10-23T00:00:00"/>
    <s v="A-"/>
    <s v="Kabir Mukherjee"/>
    <s v="Surya Gupta"/>
    <s v="168, LBS Marg"/>
    <x v="2"/>
    <x v="2"/>
    <s v="052918"/>
    <s v="9810125307"/>
    <s v="ira.sharma694@gmail.com"/>
    <x v="1"/>
    <s v="CRS06"/>
    <x v="0"/>
    <x v="1"/>
    <n v="4"/>
    <x v="0"/>
  </r>
  <r>
    <s v="STU0265"/>
    <s v="Sai Reddy"/>
    <x v="1"/>
    <d v="1999-05-22T00:00:00"/>
    <s v="O-"/>
    <s v="Amrita Banerjee"/>
    <s v="Nisha Reddy"/>
    <s v="227, MG Road"/>
    <x v="9"/>
    <x v="0"/>
    <s v="330077"/>
    <s v="9932049316"/>
    <s v="sai.reddy226@student.college.edu"/>
    <x v="3"/>
    <s v="CRS03"/>
    <x v="4"/>
    <x v="2"/>
    <n v="2"/>
    <x v="4"/>
  </r>
  <r>
    <s v="STU0266"/>
    <s v="Vihaan Patel"/>
    <x v="1"/>
    <d v="2000-03-17T00:00:00"/>
    <s v="B-"/>
    <s v="Sujith Iyer"/>
    <s v="Ananya Das"/>
    <s v="321, Ring Road"/>
    <x v="4"/>
    <x v="4"/>
    <s v="934213"/>
    <s v="9060226260"/>
    <s v="vihaan.patel907@student.college.edu"/>
    <x v="0"/>
    <s v="CRS08"/>
    <x v="7"/>
    <x v="0"/>
    <n v="6"/>
    <x v="7"/>
  </r>
  <r>
    <s v="STU0267"/>
    <s v="Kabir Mukherjee"/>
    <x v="1"/>
    <d v="2007-11-16T00:00:00"/>
    <s v="AB+"/>
    <s v="Surya Rao"/>
    <s v="Sai Nair"/>
    <s v="492, Brigade Road"/>
    <x v="7"/>
    <x v="7"/>
    <s v="966963"/>
    <s v="9683843653"/>
    <s v="kabir.mukherjee656@student.college.edu"/>
    <x v="2"/>
    <s v="CRS04"/>
    <x v="3"/>
    <x v="2"/>
    <n v="2"/>
    <x v="3"/>
  </r>
  <r>
    <s v="STU0268"/>
    <s v="Aarav Rao"/>
    <x v="1"/>
    <d v="2002-06-19T00:00:00"/>
    <s v="O-"/>
    <s v="Rohan Mukherjee"/>
    <s v="Meera Reddy"/>
    <s v="318, Brigade Road"/>
    <x v="5"/>
    <x v="5"/>
    <s v="321209"/>
    <s v="9597326759"/>
    <s v="aarav.rao664@gmail.com"/>
    <x v="2"/>
    <s v="CRS04"/>
    <x v="3"/>
    <x v="2"/>
    <n v="2"/>
    <x v="3"/>
  </r>
  <r>
    <s v="STU0269"/>
    <s v="Leela Mukherjee"/>
    <x v="0"/>
    <d v="2002-11-04T00:00:00"/>
    <s v="B+"/>
    <s v="Rohan Reddy"/>
    <s v="Nisha Sharma"/>
    <s v="465, Ring Road"/>
    <x v="6"/>
    <x v="6"/>
    <s v="516049"/>
    <s v="9099115725"/>
    <s v="leela.mukherjee437@gmail.com"/>
    <x v="3"/>
    <s v="CRS04"/>
    <x v="3"/>
    <x v="2"/>
    <n v="2"/>
    <x v="3"/>
  </r>
  <r>
    <s v="STU0270"/>
    <s v="Rohan Patel"/>
    <x v="1"/>
    <d v="2005-10-17T00:00:00"/>
    <s v="AB+"/>
    <s v="Rohan Nair"/>
    <s v="Rahul Rao"/>
    <s v="230, Ring Road"/>
    <x v="2"/>
    <x v="2"/>
    <s v="093145"/>
    <s v="9778703879"/>
    <s v="rohan.patel610@student.college.edu"/>
    <x v="3"/>
    <s v="CRS05"/>
    <x v="5"/>
    <x v="2"/>
    <n v="2"/>
    <x v="5"/>
  </r>
  <r>
    <s v="STU0271"/>
    <s v="Ira Kumar"/>
    <x v="0"/>
    <d v="2004-02-01T00:00:00"/>
    <s v="A+"/>
    <s v="Rahul Patel"/>
    <s v="Nisha Rao"/>
    <s v="247, Brigade Road"/>
    <x v="5"/>
    <x v="5"/>
    <s v="719087"/>
    <s v="9344373390"/>
    <s v="ira.kumar907@student.college.edu"/>
    <x v="1"/>
    <s v="CRS03"/>
    <x v="4"/>
    <x v="1"/>
    <n v="4"/>
    <x v="4"/>
  </r>
  <r>
    <s v="STU0272"/>
    <s v="Ishaan Patel"/>
    <x v="0"/>
    <d v="2007-08-26T00:00:00"/>
    <s v="A+"/>
    <s v="Surya Mukherjee"/>
    <s v="Diya Das"/>
    <s v="364, LBS Marg"/>
    <x v="1"/>
    <x v="1"/>
    <s v="697208"/>
    <s v="9666624626"/>
    <s v="ishaan.patel975@student.college.edu"/>
    <x v="2"/>
    <s v="CRS02"/>
    <x v="6"/>
    <x v="2"/>
    <n v="2"/>
    <x v="6"/>
  </r>
  <r>
    <s v="STU0273"/>
    <s v="Harsha Mukherjee"/>
    <x v="0"/>
    <d v="2003-06-17T00:00:00"/>
    <s v="O+"/>
    <s v="Varun Rao"/>
    <s v="Amrita Verma"/>
    <s v="266, Ring Road"/>
    <x v="5"/>
    <x v="5"/>
    <s v="823963"/>
    <s v="9348706731"/>
    <s v="harsha.mukherjee767@student.college.edu"/>
    <x v="1"/>
    <s v="CRS05"/>
    <x v="5"/>
    <x v="1"/>
    <n v="4"/>
    <x v="5"/>
  </r>
  <r>
    <s v="STU0274"/>
    <s v="Aarav Gupta"/>
    <x v="0"/>
    <d v="1999-01-07T00:00:00"/>
    <s v="O-"/>
    <s v="Kabir Verma"/>
    <s v="Neeraj Mukherjee"/>
    <s v="214, Charminar Rd"/>
    <x v="6"/>
    <x v="6"/>
    <s v="137119"/>
    <s v="9481017294"/>
    <s v="aarav.gupta642@student.college.edu"/>
    <x v="3"/>
    <s v="CRS02"/>
    <x v="6"/>
    <x v="2"/>
    <n v="2"/>
    <x v="6"/>
  </r>
  <r>
    <s v="STU0275"/>
    <s v="Rahul Verma"/>
    <x v="0"/>
    <d v="2000-05-25T00:00:00"/>
    <s v="B+"/>
    <s v="Kunal Verma"/>
    <s v="Ananya Sharma"/>
    <s v="300, Ring Road"/>
    <x v="2"/>
    <x v="2"/>
    <s v="610705"/>
    <s v="9905069794"/>
    <s v="rahul.verma346@gmail.com"/>
    <x v="0"/>
    <s v="CRS06"/>
    <x v="0"/>
    <x v="0"/>
    <n v="6"/>
    <x v="0"/>
  </r>
  <r>
    <s v="STU0276"/>
    <s v="Ananya Reddy"/>
    <x v="0"/>
    <d v="2006-06-17T00:00:00"/>
    <s v="A+"/>
    <s v="Ira Patel"/>
    <s v="Kavya Sharma"/>
    <s v="500, FC Road"/>
    <x v="9"/>
    <x v="0"/>
    <s v="084890"/>
    <s v="9159724685"/>
    <s v="ananya.reddy677@student.college.edu"/>
    <x v="0"/>
    <s v="CRS01"/>
    <x v="2"/>
    <x v="0"/>
    <n v="6"/>
    <x v="2"/>
  </r>
  <r>
    <s v="STU0277"/>
    <s v="Harsha Iyer"/>
    <x v="1"/>
    <d v="2007-04-02T00:00:00"/>
    <s v="B+"/>
    <s v="Ananya Banerjee"/>
    <s v="Riya Reddy"/>
    <s v="311, LBS Marg"/>
    <x v="9"/>
    <x v="0"/>
    <s v="399466"/>
    <s v="9136788770"/>
    <s v="harsha.iyer510@student.college.edu"/>
    <x v="1"/>
    <s v="CRS03"/>
    <x v="4"/>
    <x v="1"/>
    <n v="4"/>
    <x v="4"/>
  </r>
  <r>
    <s v="STU0278"/>
    <s v="Amrita Kumar"/>
    <x v="1"/>
    <d v="2004-05-28T00:00:00"/>
    <s v="O-"/>
    <s v="Tanvi Das"/>
    <s v="Rohan Reddy"/>
    <s v="109, Park Street"/>
    <x v="9"/>
    <x v="0"/>
    <s v="471997"/>
    <s v="9224811570"/>
    <s v="amrita.kumar709@gmail.com"/>
    <x v="3"/>
    <s v="CRS02"/>
    <x v="6"/>
    <x v="2"/>
    <n v="2"/>
    <x v="6"/>
  </r>
  <r>
    <s v="STU0279"/>
    <s v="Harsha Iyer"/>
    <x v="0"/>
    <d v="2007-01-17T00:00:00"/>
    <s v="B+"/>
    <s v="Aditi Mukherjee"/>
    <s v="Aditi Patel"/>
    <s v="335, Charminar Rd"/>
    <x v="4"/>
    <x v="4"/>
    <s v="221351"/>
    <s v="9951337351"/>
    <s v="harsha.iyer398@gmail.com"/>
    <x v="0"/>
    <s v="CRS03"/>
    <x v="4"/>
    <x v="0"/>
    <n v="6"/>
    <x v="4"/>
  </r>
  <r>
    <s v="STU0280"/>
    <s v="Priya Banerjee"/>
    <x v="0"/>
    <d v="2005-08-16T00:00:00"/>
    <s v="O+"/>
    <s v="Rohan Verma"/>
    <s v="Ira Sharma"/>
    <s v="276, LBS Marg"/>
    <x v="5"/>
    <x v="5"/>
    <s v="822612"/>
    <s v="9788035628"/>
    <s v="priya.banerjee588@gmail.com"/>
    <x v="3"/>
    <s v="CRS08"/>
    <x v="7"/>
    <x v="2"/>
    <n v="2"/>
    <x v="7"/>
  </r>
  <r>
    <s v="STU0281"/>
    <s v="Rahul Mukherjee"/>
    <x v="0"/>
    <d v="1999-08-29T00:00:00"/>
    <s v="O+"/>
    <s v="Pooja Iyer"/>
    <s v="Arjun Mukherjee"/>
    <s v="108, Ring Road"/>
    <x v="5"/>
    <x v="5"/>
    <s v="872891"/>
    <s v="9034433072"/>
    <s v="rahul.mukherjee946@student.college.edu"/>
    <x v="1"/>
    <s v="CRS02"/>
    <x v="6"/>
    <x v="1"/>
    <n v="4"/>
    <x v="6"/>
  </r>
  <r>
    <s v="STU0282"/>
    <s v="Arjun Iyer"/>
    <x v="1"/>
    <d v="1999-08-10T00:00:00"/>
    <s v="A+"/>
    <s v="Leela Mukherjee"/>
    <s v="Rahul Kumar"/>
    <s v="336, Park Street"/>
    <x v="5"/>
    <x v="5"/>
    <s v="448281"/>
    <s v="9638178396"/>
    <s v="arjun.iyer173@student.college.edu"/>
    <x v="0"/>
    <s v="CRS08"/>
    <x v="7"/>
    <x v="0"/>
    <n v="6"/>
    <x v="7"/>
  </r>
  <r>
    <s v="STU0283"/>
    <s v="Sai Sharma"/>
    <x v="1"/>
    <d v="2004-10-12T00:00:00"/>
    <s v="A+"/>
    <s v="Harsha Iyer"/>
    <s v="Shreya Patel"/>
    <s v="497, Park Street"/>
    <x v="4"/>
    <x v="4"/>
    <s v="024696"/>
    <s v="9367678626"/>
    <s v="sai.sharma377@student.college.edu"/>
    <x v="2"/>
    <s v="CRS02"/>
    <x v="6"/>
    <x v="2"/>
    <n v="2"/>
    <x v="6"/>
  </r>
  <r>
    <s v="STU0284"/>
    <s v="Kabir Kumar"/>
    <x v="2"/>
    <d v="2006-07-02T00:00:00"/>
    <s v="A+"/>
    <s v="Surya Das"/>
    <s v="Rohan Sharma"/>
    <s v="301, LBS Marg"/>
    <x v="0"/>
    <x v="0"/>
    <s v="714645"/>
    <s v="9009718055"/>
    <s v="kabir.kumar832@gmail.com"/>
    <x v="2"/>
    <s v="CRS04"/>
    <x v="3"/>
    <x v="2"/>
    <n v="2"/>
    <x v="3"/>
  </r>
  <r>
    <s v="STU0285"/>
    <s v="Tanvi Verma"/>
    <x v="1"/>
    <d v="2005-09-19T00:00:00"/>
    <s v="O+"/>
    <s v="Varun Gupta"/>
    <s v="Aarav Das"/>
    <s v="229, FC Road"/>
    <x v="1"/>
    <x v="1"/>
    <s v="121580"/>
    <s v="9953549039"/>
    <s v="tanvi.verma532@gmail.com"/>
    <x v="1"/>
    <s v="CRS03"/>
    <x v="4"/>
    <x v="1"/>
    <n v="4"/>
    <x v="4"/>
  </r>
  <r>
    <s v="STU0286"/>
    <s v="Shreya Kumar"/>
    <x v="2"/>
    <d v="2002-07-05T00:00:00"/>
    <s v="O+"/>
    <s v="Priya Iyer"/>
    <s v="Kavya Das"/>
    <s v="262, Ring Road"/>
    <x v="1"/>
    <x v="1"/>
    <s v="212896"/>
    <s v="9231602394"/>
    <s v="shreya.kumar86@gmail.com"/>
    <x v="1"/>
    <s v="CRS03"/>
    <x v="4"/>
    <x v="1"/>
    <n v="4"/>
    <x v="4"/>
  </r>
  <r>
    <s v="STU0287"/>
    <s v="Nisha Reddy"/>
    <x v="1"/>
    <d v="2006-01-22T00:00:00"/>
    <s v="B+"/>
    <s v="Aditi Nair"/>
    <s v="Harsha Mukherjee"/>
    <s v="331, Ring Road"/>
    <x v="5"/>
    <x v="5"/>
    <s v="419406"/>
    <s v="9011506332"/>
    <s v="nisha.reddy890@student.college.edu"/>
    <x v="2"/>
    <s v="CRS02"/>
    <x v="6"/>
    <x v="2"/>
    <n v="2"/>
    <x v="6"/>
  </r>
  <r>
    <s v="STU0288"/>
    <s v="Ira Reddy"/>
    <x v="0"/>
    <d v="2000-03-06T00:00:00"/>
    <s v="AB+"/>
    <s v="Pooja Verma"/>
    <s v="Sai Das"/>
    <s v="373, Anna Salai"/>
    <x v="2"/>
    <x v="2"/>
    <s v="035220"/>
    <s v="9037186758"/>
    <s v="ira.reddy413@gmail.com"/>
    <x v="3"/>
    <s v="CRS05"/>
    <x v="5"/>
    <x v="2"/>
    <n v="2"/>
    <x v="5"/>
  </r>
  <r>
    <s v="STU0289"/>
    <s v="Aarav Banerjee"/>
    <x v="1"/>
    <d v="2006-12-31T00:00:00"/>
    <s v="B-"/>
    <s v="Arjun Banerjee"/>
    <s v="Arjun Gupta"/>
    <s v="194, Anna Salai"/>
    <x v="7"/>
    <x v="7"/>
    <s v="726719"/>
    <s v="9752498838"/>
    <s v="aarav.banerjee971@gmail.com"/>
    <x v="0"/>
    <s v="CRS02"/>
    <x v="6"/>
    <x v="0"/>
    <n v="6"/>
    <x v="6"/>
  </r>
  <r>
    <s v="STU0290"/>
    <s v="Harsha Verma"/>
    <x v="1"/>
    <d v="2007-03-09T00:00:00"/>
    <s v="A-"/>
    <s v="Rohan Verma"/>
    <s v="Sai Rao"/>
    <s v="30, Brigade Road"/>
    <x v="2"/>
    <x v="2"/>
    <s v="809691"/>
    <s v="9466510180"/>
    <s v="harsha.verma436@gmail.com"/>
    <x v="2"/>
    <s v="CRS08"/>
    <x v="7"/>
    <x v="2"/>
    <n v="2"/>
    <x v="7"/>
  </r>
  <r>
    <s v="STU0291"/>
    <s v="Sai Banerjee"/>
    <x v="1"/>
    <d v="2001-07-10T00:00:00"/>
    <s v="B-"/>
    <s v="Sai Verma"/>
    <s v="Diya Gupta"/>
    <s v="264, FC Road"/>
    <x v="6"/>
    <x v="6"/>
    <s v="419368"/>
    <s v="9882420639"/>
    <s v="sai.banerjee952@student.college.edu"/>
    <x v="1"/>
    <s v="CRS01"/>
    <x v="2"/>
    <x v="1"/>
    <n v="4"/>
    <x v="2"/>
  </r>
  <r>
    <s v="STU0292"/>
    <s v="Diya Sharma"/>
    <x v="0"/>
    <d v="2004-02-29T00:00:00"/>
    <s v="A+"/>
    <s v="Ananya Nair"/>
    <s v="Diya Verma"/>
    <s v="3, FC Road"/>
    <x v="6"/>
    <x v="6"/>
    <s v="314051"/>
    <s v="9141623241"/>
    <s v="diya.sharma832@gmail.com"/>
    <x v="1"/>
    <s v="CRS08"/>
    <x v="7"/>
    <x v="1"/>
    <n v="4"/>
    <x v="7"/>
  </r>
  <r>
    <s v="STU0293"/>
    <s v="Sai Gupta"/>
    <x v="0"/>
    <d v="2007-05-19T00:00:00"/>
    <s v="AB+"/>
    <s v="Meera Sharma"/>
    <s v="Diya Mukherjee"/>
    <s v="102, Brigade Road"/>
    <x v="3"/>
    <x v="3"/>
    <s v="037911"/>
    <s v="9462457737"/>
    <s v="sai.gupta903@gmail.com"/>
    <x v="1"/>
    <s v="CRS03"/>
    <x v="4"/>
    <x v="1"/>
    <n v="4"/>
    <x v="4"/>
  </r>
  <r>
    <s v="STU0294"/>
    <s v="Kabir Verma"/>
    <x v="1"/>
    <d v="2000-05-31T00:00:00"/>
    <s v="B-"/>
    <s v="Arjun Iyer"/>
    <s v="Priya Sharma"/>
    <s v="393, Ring Road"/>
    <x v="7"/>
    <x v="7"/>
    <s v="450420"/>
    <s v="9467121276"/>
    <s v="kabir.verma440@student.college.edu"/>
    <x v="2"/>
    <s v="CRS03"/>
    <x v="4"/>
    <x v="2"/>
    <n v="2"/>
    <x v="4"/>
  </r>
  <r>
    <s v="STU0295"/>
    <s v="Ishaan Rao"/>
    <x v="1"/>
    <d v="2006-02-11T00:00:00"/>
    <s v="O+"/>
    <s v="Arjun Reddy"/>
    <s v="Kabir Gupta"/>
    <s v="206, MG Road"/>
    <x v="4"/>
    <x v="4"/>
    <s v="946004"/>
    <s v="9362345632"/>
    <s v="ishaan.rao288@gmail.com"/>
    <x v="1"/>
    <s v="CRS04"/>
    <x v="3"/>
    <x v="1"/>
    <n v="4"/>
    <x v="3"/>
  </r>
  <r>
    <s v="STU0296"/>
    <s v="Ananya Sharma"/>
    <x v="1"/>
    <d v="1999-06-17T00:00:00"/>
    <s v="A-"/>
    <s v="Aarav Sharma"/>
    <s v="Tanvi Mukherjee"/>
    <s v="165, Ring Road"/>
    <x v="2"/>
    <x v="2"/>
    <s v="264243"/>
    <s v="9166713875"/>
    <s v="ananya.sharma620@gmail.com"/>
    <x v="0"/>
    <s v="CRS04"/>
    <x v="3"/>
    <x v="0"/>
    <n v="6"/>
    <x v="3"/>
  </r>
  <r>
    <s v="STU0297"/>
    <s v="Shreya Patel"/>
    <x v="1"/>
    <d v="2000-03-11T00:00:00"/>
    <s v="B+"/>
    <s v="Arjun Banerjee"/>
    <s v="Aditi Rao"/>
    <s v="62, MG Road"/>
    <x v="4"/>
    <x v="4"/>
    <s v="140963"/>
    <s v="9475114787"/>
    <s v="shreya.patel867@gmail.com"/>
    <x v="1"/>
    <s v="CRS02"/>
    <x v="6"/>
    <x v="1"/>
    <n v="4"/>
    <x v="6"/>
  </r>
  <r>
    <s v="STU0298"/>
    <s v="Surya Patel"/>
    <x v="1"/>
    <d v="2004-05-31T00:00:00"/>
    <s v="A-"/>
    <s v="Meera Das"/>
    <s v="Surya Das"/>
    <s v="405, MG Road"/>
    <x v="3"/>
    <x v="3"/>
    <s v="610576"/>
    <s v="9736891737"/>
    <s v="surya.patel411@gmail.com"/>
    <x v="3"/>
    <s v="CRS01"/>
    <x v="2"/>
    <x v="2"/>
    <n v="2"/>
    <x v="2"/>
  </r>
  <r>
    <s v="STU0299"/>
    <s v="Sai Rao"/>
    <x v="1"/>
    <d v="2005-08-22T00:00:00"/>
    <s v="O+"/>
    <s v="Varun Sharma"/>
    <s v="Amrita Das"/>
    <s v="234, Anna Salai"/>
    <x v="4"/>
    <x v="4"/>
    <s v="221252"/>
    <s v="9692180992"/>
    <s v="sai.rao119@student.college.edu"/>
    <x v="0"/>
    <s v="CRS06"/>
    <x v="0"/>
    <x v="0"/>
    <n v="6"/>
    <x v="0"/>
  </r>
  <r>
    <s v="STU0300"/>
    <s v="Ananya Verma"/>
    <x v="0"/>
    <d v="2005-02-27T00:00:00"/>
    <s v="O-"/>
    <s v="Kunal Mukherjee"/>
    <s v="Arjun Patel"/>
    <s v="460, Anna Salai"/>
    <x v="1"/>
    <x v="1"/>
    <s v="603722"/>
    <s v="9068957692"/>
    <s v="ananya.verma642@student.college.edu"/>
    <x v="1"/>
    <s v="CRS04"/>
    <x v="3"/>
    <x v="1"/>
    <n v="4"/>
    <x v="3"/>
  </r>
  <r>
    <s v="STU0301"/>
    <s v="Ananya Nair"/>
    <x v="1"/>
    <d v="2005-07-10T00:00:00"/>
    <s v="A-"/>
    <s v="Harsha Patel"/>
    <s v="Arjun Kumar"/>
    <s v="119, Charminar Rd"/>
    <x v="5"/>
    <x v="5"/>
    <s v="901181"/>
    <s v="9476011360"/>
    <s v="ananya.nair74@gmail.com"/>
    <x v="1"/>
    <s v="CRS07"/>
    <x v="1"/>
    <x v="1"/>
    <n v="4"/>
    <x v="1"/>
  </r>
  <r>
    <s v="STU0302"/>
    <s v="Kabir Mukherjee"/>
    <x v="1"/>
    <d v="2000-07-16T00:00:00"/>
    <s v="B-"/>
    <s v="Aditi Sharma"/>
    <s v="Kavya Verma"/>
    <s v="194, Charminar Rd"/>
    <x v="0"/>
    <x v="0"/>
    <s v="876020"/>
    <s v="9160991737"/>
    <s v="kabir.mukherjee208@student.college.edu"/>
    <x v="1"/>
    <s v="CRS03"/>
    <x v="4"/>
    <x v="1"/>
    <n v="4"/>
    <x v="4"/>
  </r>
  <r>
    <s v="STU0303"/>
    <s v="Rahul Iyer"/>
    <x v="0"/>
    <d v="2000-09-24T00:00:00"/>
    <s v="A-"/>
    <s v="Rohan Sharma"/>
    <s v="Nisha Mukherjee"/>
    <s v="137, Brigade Road"/>
    <x v="1"/>
    <x v="1"/>
    <s v="125819"/>
    <s v="9041628388"/>
    <s v="rahul.iyer116@gmail.com"/>
    <x v="2"/>
    <s v="CRS04"/>
    <x v="3"/>
    <x v="2"/>
    <n v="2"/>
    <x v="3"/>
  </r>
  <r>
    <s v="STU0304"/>
    <s v="Kabir Nair"/>
    <x v="0"/>
    <d v="1999-11-09T00:00:00"/>
    <s v="O-"/>
    <s v="Kavya Iyer"/>
    <s v="Kabir Iyer"/>
    <s v="473, Brigade Road"/>
    <x v="5"/>
    <x v="5"/>
    <s v="155616"/>
    <s v="9383196987"/>
    <s v="kabir.nair79@student.college.edu"/>
    <x v="3"/>
    <s v="CRS03"/>
    <x v="4"/>
    <x v="2"/>
    <n v="2"/>
    <x v="4"/>
  </r>
  <r>
    <s v="STU0305"/>
    <s v="Ananya Gupta"/>
    <x v="0"/>
    <d v="2004-01-04T00:00:00"/>
    <s v="AB+"/>
    <s v="Aditi Kumar"/>
    <s v="Sujith Verma"/>
    <s v="58, Charminar Rd"/>
    <x v="5"/>
    <x v="5"/>
    <s v="091334"/>
    <s v="9647386244"/>
    <s v="ananya.gupta547@gmail.com"/>
    <x v="3"/>
    <s v="CRS07"/>
    <x v="1"/>
    <x v="2"/>
    <n v="2"/>
    <x v="1"/>
  </r>
  <r>
    <s v="STU0306"/>
    <s v="Aditya Rao"/>
    <x v="1"/>
    <d v="2003-09-24T00:00:00"/>
    <s v="A-"/>
    <s v="Priya Rao"/>
    <s v="Neeraj Mukherjee"/>
    <s v="416, Ring Road"/>
    <x v="4"/>
    <x v="4"/>
    <s v="328341"/>
    <s v="9193871485"/>
    <s v="aditya.rao954@gmail.com"/>
    <x v="3"/>
    <s v="CRS04"/>
    <x v="3"/>
    <x v="2"/>
    <n v="2"/>
    <x v="3"/>
  </r>
  <r>
    <s v="STU0307"/>
    <s v="Vihaan Mukherjee"/>
    <x v="1"/>
    <d v="2000-04-25T00:00:00"/>
    <s v="B-"/>
    <s v="Varun Mukherjee"/>
    <s v="Arjun Patel"/>
    <s v="376, MG Road"/>
    <x v="7"/>
    <x v="7"/>
    <s v="015451"/>
    <s v="9112084741"/>
    <s v="vihaan.mukherjee541@gmail.com"/>
    <x v="1"/>
    <s v="CRS06"/>
    <x v="0"/>
    <x v="1"/>
    <n v="4"/>
    <x v="0"/>
  </r>
  <r>
    <s v="STU0308"/>
    <s v="Riya Banerjee"/>
    <x v="0"/>
    <d v="1999-02-24T00:00:00"/>
    <s v="B-"/>
    <s v="Rahul Verma"/>
    <s v="Arjun Sharma"/>
    <s v="452, MG Road"/>
    <x v="5"/>
    <x v="5"/>
    <s v="508685"/>
    <s v="9895741959"/>
    <s v="riya.banerjee129@student.college.edu"/>
    <x v="2"/>
    <s v="CRS04"/>
    <x v="3"/>
    <x v="2"/>
    <n v="2"/>
    <x v="3"/>
  </r>
  <r>
    <s v="STU0309"/>
    <s v="Ira Gupta"/>
    <x v="1"/>
    <d v="2005-04-09T00:00:00"/>
    <s v="AB+"/>
    <s v="Kavya Verma"/>
    <s v="Sujith Mukherjee"/>
    <s v="240, LBS Marg"/>
    <x v="6"/>
    <x v="6"/>
    <s v="818611"/>
    <s v="9068025057"/>
    <s v="ira.gupta317@student.college.edu"/>
    <x v="3"/>
    <s v="CRS01"/>
    <x v="2"/>
    <x v="2"/>
    <n v="2"/>
    <x v="2"/>
  </r>
  <r>
    <s v="STU0310"/>
    <s v="Rohan Nair"/>
    <x v="1"/>
    <d v="2005-05-24T00:00:00"/>
    <s v="AB+"/>
    <s v="Shreya Sharma"/>
    <s v="Shreya Kumar"/>
    <s v="24, MG Road"/>
    <x v="0"/>
    <x v="0"/>
    <s v="903231"/>
    <s v="9779704718"/>
    <s v="rohan.nair154@student.college.edu"/>
    <x v="1"/>
    <s v="CRS08"/>
    <x v="7"/>
    <x v="1"/>
    <n v="4"/>
    <x v="7"/>
  </r>
  <r>
    <s v="STU0311"/>
    <s v="Shreya Sharma"/>
    <x v="0"/>
    <d v="2000-10-22T00:00:00"/>
    <s v="A-"/>
    <s v="Arjun Banerjee"/>
    <s v="Riya Verma"/>
    <s v="454, Brigade Road"/>
    <x v="4"/>
    <x v="4"/>
    <s v="867195"/>
    <s v="9769373384"/>
    <s v="shreya.sharma913@gmail.com"/>
    <x v="3"/>
    <s v="CRS02"/>
    <x v="6"/>
    <x v="2"/>
    <n v="2"/>
    <x v="6"/>
  </r>
  <r>
    <s v="STU0312"/>
    <s v="Arjun Rao"/>
    <x v="1"/>
    <d v="2004-07-30T00:00:00"/>
    <s v="A+"/>
    <s v="Kabir Sharma"/>
    <s v="Arjun Nair"/>
    <s v="281, Brigade Road"/>
    <x v="0"/>
    <x v="0"/>
    <s v="412053"/>
    <s v="9074997499"/>
    <s v="arjun.rao996@gmail.com"/>
    <x v="0"/>
    <s v="CRS05"/>
    <x v="5"/>
    <x v="0"/>
    <n v="6"/>
    <x v="5"/>
  </r>
  <r>
    <s v="STU0313"/>
    <s v="Ira Patel"/>
    <x v="0"/>
    <d v="2006-08-19T00:00:00"/>
    <s v="B-"/>
    <s v="Arjun Kumar"/>
    <s v="Diya Das"/>
    <s v="433, FC Road"/>
    <x v="0"/>
    <x v="0"/>
    <s v="652866"/>
    <s v="9672808213"/>
    <s v="ira.patel75@student.college.edu"/>
    <x v="1"/>
    <s v="CRS02"/>
    <x v="6"/>
    <x v="1"/>
    <n v="4"/>
    <x v="6"/>
  </r>
  <r>
    <s v="STU0314"/>
    <s v="Diya Kumar"/>
    <x v="0"/>
    <d v="2006-03-16T00:00:00"/>
    <s v="O-"/>
    <s v="Nisha Kumar"/>
    <s v="Kabir Verma"/>
    <s v="93, Brigade Road"/>
    <x v="6"/>
    <x v="6"/>
    <s v="133947"/>
    <s v="9420146306"/>
    <s v="diya.kumar390@student.college.edu"/>
    <x v="0"/>
    <s v="CRS07"/>
    <x v="1"/>
    <x v="0"/>
    <n v="6"/>
    <x v="1"/>
  </r>
  <r>
    <s v="STU0315"/>
    <s v="Saanvi Reddy"/>
    <x v="1"/>
    <d v="2001-05-16T00:00:00"/>
    <s v="B-"/>
    <s v="Leela Sharma"/>
    <s v="Neeraj Banerjee"/>
    <s v="217, Anna Salai"/>
    <x v="5"/>
    <x v="5"/>
    <s v="004278"/>
    <s v="9562809371"/>
    <s v="saanvi.reddy358@gmail.com"/>
    <x v="1"/>
    <s v="CRS03"/>
    <x v="4"/>
    <x v="1"/>
    <n v="4"/>
    <x v="4"/>
  </r>
  <r>
    <s v="STU0316"/>
    <s v="Varun Patel"/>
    <x v="0"/>
    <d v="2006-10-09T00:00:00"/>
    <s v="O+"/>
    <s v="Shreya Patel"/>
    <s v="Sujith Sharma"/>
    <s v="288, Ring Road"/>
    <x v="5"/>
    <x v="5"/>
    <s v="399773"/>
    <s v="9141819450"/>
    <s v="varun.patel462@student.college.edu"/>
    <x v="1"/>
    <s v="CRS02"/>
    <x v="6"/>
    <x v="1"/>
    <n v="4"/>
    <x v="6"/>
  </r>
  <r>
    <s v="STU0317"/>
    <s v="Vihaan Reddy"/>
    <x v="1"/>
    <d v="2001-02-07T00:00:00"/>
    <s v="A+"/>
    <s v="Meera Mukherjee"/>
    <s v="Nisha Gupta"/>
    <s v="308, Charminar Rd"/>
    <x v="7"/>
    <x v="7"/>
    <s v="216933"/>
    <s v="9338149438"/>
    <s v="vihaan.reddy437@gmail.com"/>
    <x v="3"/>
    <s v="CRS08"/>
    <x v="7"/>
    <x v="2"/>
    <n v="2"/>
    <x v="7"/>
  </r>
  <r>
    <s v="STU0318"/>
    <s v="Meera Iyer"/>
    <x v="1"/>
    <d v="2005-03-14T00:00:00"/>
    <s v="O+"/>
    <s v="Kavya Gupta"/>
    <s v="Nisha Patel"/>
    <s v="196, Anna Salai"/>
    <x v="3"/>
    <x v="3"/>
    <s v="799008"/>
    <s v="9009176565"/>
    <s v="meera.iyer826@student.college.edu"/>
    <x v="0"/>
    <s v="CRS07"/>
    <x v="1"/>
    <x v="0"/>
    <n v="6"/>
    <x v="1"/>
  </r>
  <r>
    <s v="STU0319"/>
    <s v="Ishaan Reddy"/>
    <x v="0"/>
    <d v="2005-03-09T00:00:00"/>
    <s v="A+"/>
    <s v="Ira Verma"/>
    <s v="Ishaan Kumar"/>
    <s v="487, Brigade Road"/>
    <x v="2"/>
    <x v="2"/>
    <s v="487703"/>
    <s v="9228287429"/>
    <s v="ishaan.reddy425@student.college.edu"/>
    <x v="2"/>
    <s v="CRS03"/>
    <x v="4"/>
    <x v="2"/>
    <n v="2"/>
    <x v="4"/>
  </r>
  <r>
    <s v="STU0320"/>
    <s v="Pooja Iyer"/>
    <x v="0"/>
    <d v="2007-04-25T00:00:00"/>
    <s v="O-"/>
    <s v="Kavya Iyer"/>
    <s v="Ananya Gupta"/>
    <s v="492, Charminar Rd"/>
    <x v="6"/>
    <x v="6"/>
    <s v="168851"/>
    <s v="9691954085"/>
    <s v="pooja.iyer647@gmail.com"/>
    <x v="0"/>
    <s v="CRS03"/>
    <x v="4"/>
    <x v="0"/>
    <n v="6"/>
    <x v="4"/>
  </r>
  <r>
    <s v="STU0321"/>
    <s v="Ananya Reddy"/>
    <x v="1"/>
    <d v="2000-01-18T00:00:00"/>
    <s v="A+"/>
    <s v="Aarav Patel"/>
    <s v="Aarav Banerjee"/>
    <s v="395, Park Street"/>
    <x v="0"/>
    <x v="0"/>
    <s v="507967"/>
    <s v="9162187832"/>
    <s v="ananya.reddy53@gmail.com"/>
    <x v="3"/>
    <s v="CRS01"/>
    <x v="2"/>
    <x v="2"/>
    <n v="2"/>
    <x v="2"/>
  </r>
  <r>
    <s v="STU0322"/>
    <s v="Harsha Rao"/>
    <x v="1"/>
    <d v="2000-03-30T00:00:00"/>
    <s v="A+"/>
    <s v="Riya Rao"/>
    <s v="Kabir Verma"/>
    <s v="73, Anna Salai"/>
    <x v="5"/>
    <x v="5"/>
    <s v="043834"/>
    <s v="9009063398"/>
    <s v="harsha.rao185@gmail.com"/>
    <x v="3"/>
    <s v="CRS01"/>
    <x v="2"/>
    <x v="2"/>
    <n v="2"/>
    <x v="2"/>
  </r>
  <r>
    <s v="STU0323"/>
    <s v="Kabir Iyer"/>
    <x v="0"/>
    <d v="2004-06-05T00:00:00"/>
    <s v="B-"/>
    <s v="Kavya Rao"/>
    <s v="Nisha Sharma"/>
    <s v="82, Anna Salai"/>
    <x v="4"/>
    <x v="4"/>
    <s v="655723"/>
    <s v="9801061210"/>
    <s v="kabir.iyer726@gmail.com"/>
    <x v="1"/>
    <s v="CRS07"/>
    <x v="1"/>
    <x v="1"/>
    <n v="4"/>
    <x v="1"/>
  </r>
  <r>
    <s v="STU0324"/>
    <s v="Priya Patel"/>
    <x v="1"/>
    <d v="2001-10-21T00:00:00"/>
    <s v="AB+"/>
    <s v="Sai Reddy"/>
    <s v="Tanvi Mukherjee"/>
    <s v="144, Charminar Rd"/>
    <x v="3"/>
    <x v="3"/>
    <s v="127445"/>
    <s v="9231313884"/>
    <s v="priya.patel911@student.college.edu"/>
    <x v="0"/>
    <s v="CRS07"/>
    <x v="1"/>
    <x v="0"/>
    <n v="6"/>
    <x v="1"/>
  </r>
  <r>
    <s v="STU0325"/>
    <s v="Rahul Rao"/>
    <x v="1"/>
    <d v="2004-12-12T00:00:00"/>
    <s v="A+"/>
    <s v="Diya Patel"/>
    <s v="Aarav Verma"/>
    <s v="93, FC Road"/>
    <x v="5"/>
    <x v="5"/>
    <s v="306371"/>
    <s v="9303478536"/>
    <s v="rahul.rao540@student.college.edu"/>
    <x v="0"/>
    <s v="CRS02"/>
    <x v="6"/>
    <x v="0"/>
    <n v="6"/>
    <x v="6"/>
  </r>
  <r>
    <s v="STU0326"/>
    <s v="Shreya Banerjee"/>
    <x v="0"/>
    <d v="2006-08-26T00:00:00"/>
    <s v="AB+"/>
    <s v="Neeraj Patel"/>
    <s v="Ananya Iyer"/>
    <s v="102, Ring Road"/>
    <x v="2"/>
    <x v="2"/>
    <s v="494113"/>
    <s v="9352689928"/>
    <s v="shreya.banerjee413@student.college.edu"/>
    <x v="2"/>
    <s v="CRS06"/>
    <x v="0"/>
    <x v="2"/>
    <n v="2"/>
    <x v="0"/>
  </r>
  <r>
    <s v="STU0327"/>
    <s v="Harsha Sharma"/>
    <x v="1"/>
    <d v="2004-04-08T00:00:00"/>
    <s v="A-"/>
    <s v="Kabir Patel"/>
    <s v="Aditi Nair"/>
    <s v="141, FC Road"/>
    <x v="6"/>
    <x v="6"/>
    <s v="074029"/>
    <s v="9469891281"/>
    <s v="harsha.sharma331@gmail.com"/>
    <x v="3"/>
    <s v="CRS02"/>
    <x v="6"/>
    <x v="2"/>
    <n v="2"/>
    <x v="6"/>
  </r>
  <r>
    <s v="STU0328"/>
    <s v="Ishaan Mukherjee"/>
    <x v="0"/>
    <d v="2005-01-10T00:00:00"/>
    <s v="AB+"/>
    <s v="Aarav Mukherjee"/>
    <s v="Leela Sharma"/>
    <s v="133, MG Road"/>
    <x v="1"/>
    <x v="1"/>
    <s v="903682"/>
    <s v="9114187894"/>
    <s v="ishaan.mukherjee458@student.college.edu"/>
    <x v="3"/>
    <s v="CRS08"/>
    <x v="7"/>
    <x v="2"/>
    <n v="2"/>
    <x v="7"/>
  </r>
  <r>
    <s v="STU0329"/>
    <s v="Tanvi Kumar"/>
    <x v="0"/>
    <d v="2002-08-11T00:00:00"/>
    <s v="O-"/>
    <s v="Neeraj Mukherjee"/>
    <s v="Saanvi Reddy"/>
    <s v="48, Anna Salai"/>
    <x v="0"/>
    <x v="0"/>
    <s v="382686"/>
    <s v="9042643438"/>
    <s v="tanvi.kumar780@gmail.com"/>
    <x v="0"/>
    <s v="CRS08"/>
    <x v="7"/>
    <x v="0"/>
    <n v="6"/>
    <x v="7"/>
  </r>
  <r>
    <s v="STU0330"/>
    <s v="Harsha Gupta"/>
    <x v="1"/>
    <d v="2000-03-08T00:00:00"/>
    <s v="B+"/>
    <s v="Surya Gupta"/>
    <s v="Rohan Iyer"/>
    <s v="198, LBS Marg"/>
    <x v="4"/>
    <x v="4"/>
    <s v="712138"/>
    <s v="9618728106"/>
    <s v="harsha.gupta464@gmail.com"/>
    <x v="2"/>
    <s v="CRS02"/>
    <x v="6"/>
    <x v="2"/>
    <n v="2"/>
    <x v="6"/>
  </r>
  <r>
    <s v="STU0331"/>
    <s v="Diya Patel"/>
    <x v="1"/>
    <d v="2000-09-08T00:00:00"/>
    <s v="AB+"/>
    <s v="Ira Das"/>
    <s v="Meera Das"/>
    <s v="171, MG Road"/>
    <x v="3"/>
    <x v="3"/>
    <s v="303911"/>
    <s v="9126510211"/>
    <s v="diya.patel917@student.college.edu"/>
    <x v="0"/>
    <s v="CRS04"/>
    <x v="3"/>
    <x v="0"/>
    <n v="6"/>
    <x v="3"/>
  </r>
  <r>
    <s v="STU0332"/>
    <s v="Aditya Das"/>
    <x v="1"/>
    <d v="2002-02-02T00:00:00"/>
    <s v="A-"/>
    <s v="Rohan Rao"/>
    <s v="Varun Mukherjee"/>
    <s v="208, Charminar Rd"/>
    <x v="0"/>
    <x v="0"/>
    <s v="286412"/>
    <s v="9672019678"/>
    <s v="aditya.das705@student.college.edu"/>
    <x v="0"/>
    <s v="CRS02"/>
    <x v="6"/>
    <x v="0"/>
    <n v="6"/>
    <x v="6"/>
  </r>
  <r>
    <s v="STU0333"/>
    <s v="Sai Gupta"/>
    <x v="0"/>
    <d v="2004-02-08T00:00:00"/>
    <s v="O-"/>
    <s v="Arjun Sharma"/>
    <s v="Tanvi Kumar"/>
    <s v="220, FC Road"/>
    <x v="5"/>
    <x v="5"/>
    <s v="981703"/>
    <s v="9408400622"/>
    <s v="sai.gupta516@student.college.edu"/>
    <x v="3"/>
    <s v="CRS02"/>
    <x v="6"/>
    <x v="2"/>
    <n v="2"/>
    <x v="6"/>
  </r>
  <r>
    <s v="STU0334"/>
    <s v="Kabir Nair"/>
    <x v="1"/>
    <d v="2002-10-06T00:00:00"/>
    <s v="B+"/>
    <s v="Riya Kumar"/>
    <s v="Aditi Iyer"/>
    <s v="280, Anna Salai"/>
    <x v="3"/>
    <x v="3"/>
    <s v="303787"/>
    <s v="9895167098"/>
    <s v="kabir.nair676@student.college.edu"/>
    <x v="1"/>
    <s v="CRS01"/>
    <x v="2"/>
    <x v="1"/>
    <n v="4"/>
    <x v="2"/>
  </r>
  <r>
    <s v="STU0335"/>
    <s v="Rohan Rao"/>
    <x v="1"/>
    <d v="2006-10-21T00:00:00"/>
    <s v="O-"/>
    <s v="Meera Iyer"/>
    <s v="Ishaan Mukherjee"/>
    <s v="46, Ring Road"/>
    <x v="0"/>
    <x v="0"/>
    <s v="986849"/>
    <s v="9526834930"/>
    <s v="rohan.rao533@gmail.com"/>
    <x v="2"/>
    <s v="CRS07"/>
    <x v="1"/>
    <x v="2"/>
    <n v="2"/>
    <x v="1"/>
  </r>
  <r>
    <s v="STU0336"/>
    <s v="Pooja Kumar"/>
    <x v="0"/>
    <d v="2007-11-21T00:00:00"/>
    <s v="A+"/>
    <s v="Pooja Iyer"/>
    <s v="Rahul Verma"/>
    <s v="497, MG Road"/>
    <x v="5"/>
    <x v="5"/>
    <s v="419663"/>
    <s v="9270025034"/>
    <s v="pooja.kumar677@student.college.edu"/>
    <x v="0"/>
    <s v="CRS03"/>
    <x v="4"/>
    <x v="0"/>
    <n v="6"/>
    <x v="4"/>
  </r>
  <r>
    <s v="STU0337"/>
    <s v="Diya Nair"/>
    <x v="0"/>
    <d v="2006-06-18T00:00:00"/>
    <s v="O-"/>
    <s v="Neeraj Das"/>
    <s v="Arjun Verma"/>
    <s v="366, Anna Salai"/>
    <x v="4"/>
    <x v="4"/>
    <s v="492092"/>
    <s v="9633989514"/>
    <s v="diya.nair897@gmail.com"/>
    <x v="3"/>
    <s v="CRS04"/>
    <x v="3"/>
    <x v="2"/>
    <n v="2"/>
    <x v="3"/>
  </r>
  <r>
    <s v="STU0338"/>
    <s v="Kunal Gupta"/>
    <x v="0"/>
    <d v="2005-03-20T00:00:00"/>
    <s v="O-"/>
    <s v="Ishaan Nair"/>
    <s v="Rahul Verma"/>
    <s v="153, LBS Marg"/>
    <x v="8"/>
    <x v="5"/>
    <s v="384143"/>
    <s v="9974444059"/>
    <s v="kunal.gupta432@student.college.edu"/>
    <x v="3"/>
    <s v="CRS05"/>
    <x v="5"/>
    <x v="2"/>
    <n v="2"/>
    <x v="5"/>
  </r>
  <r>
    <s v="STU0339"/>
    <s v="Pooja Reddy"/>
    <x v="0"/>
    <d v="2004-09-28T00:00:00"/>
    <s v="O+"/>
    <s v="Diya Gupta"/>
    <s v="Kavya Das"/>
    <s v="461, Anna Salai"/>
    <x v="6"/>
    <x v="6"/>
    <s v="164758"/>
    <s v="9029158568"/>
    <s v="pooja.reddy125@student.college.edu"/>
    <x v="3"/>
    <s v="CRS03"/>
    <x v="4"/>
    <x v="2"/>
    <n v="2"/>
    <x v="4"/>
  </r>
  <r>
    <s v="STU0340"/>
    <s v="Nisha Mukherjee"/>
    <x v="0"/>
    <d v="2000-07-12T00:00:00"/>
    <s v="O-"/>
    <s v="Rohan Banerjee"/>
    <s v="Harsha Gupta"/>
    <s v="155, Anna Salai"/>
    <x v="2"/>
    <x v="2"/>
    <s v="620185"/>
    <s v="9210539241"/>
    <s v="nisha.mukherjee241@gmail.com"/>
    <x v="1"/>
    <s v="CRS02"/>
    <x v="6"/>
    <x v="1"/>
    <n v="4"/>
    <x v="6"/>
  </r>
  <r>
    <s v="STU0341"/>
    <s v="Meera Gupta"/>
    <x v="0"/>
    <d v="1999-03-30T00:00:00"/>
    <s v="O+"/>
    <s v="Sai Gupta"/>
    <s v="Sujith Mukherjee"/>
    <s v="337, Ring Road"/>
    <x v="4"/>
    <x v="4"/>
    <s v="426946"/>
    <s v="9361440450"/>
    <s v="meera.gupta311@student.college.edu"/>
    <x v="1"/>
    <s v="CRS01"/>
    <x v="2"/>
    <x v="1"/>
    <n v="4"/>
    <x v="2"/>
  </r>
  <r>
    <s v="STU0342"/>
    <s v="Surya Iyer"/>
    <x v="1"/>
    <d v="2004-03-31T00:00:00"/>
    <s v="B-"/>
    <s v="Amrita Mukherjee"/>
    <s v="Riya Nair"/>
    <s v="5, Park Street"/>
    <x v="4"/>
    <x v="4"/>
    <s v="373063"/>
    <s v="9737727339"/>
    <s v="surya.iyer661@gmail.com"/>
    <x v="1"/>
    <s v="CRS03"/>
    <x v="4"/>
    <x v="1"/>
    <n v="4"/>
    <x v="4"/>
  </r>
  <r>
    <s v="STU0343"/>
    <s v="Shreya Mukherjee"/>
    <x v="0"/>
    <d v="2007-09-12T00:00:00"/>
    <s v="O+"/>
    <s v="Tanvi Das"/>
    <s v="Kunal Gupta"/>
    <s v="358, FC Road"/>
    <x v="7"/>
    <x v="7"/>
    <s v="580072"/>
    <s v="9646327971"/>
    <s v="shreya.mukherjee902@student.college.edu"/>
    <x v="1"/>
    <s v="CRS07"/>
    <x v="1"/>
    <x v="1"/>
    <n v="4"/>
    <x v="1"/>
  </r>
  <r>
    <s v="STU0344"/>
    <s v="Surya Verma"/>
    <x v="1"/>
    <d v="2005-11-11T00:00:00"/>
    <s v="O+"/>
    <s v="Kunal Verma"/>
    <s v="Vihaan Mukherjee"/>
    <s v="38, LBS Marg"/>
    <x v="1"/>
    <x v="1"/>
    <s v="936395"/>
    <s v="9124221881"/>
    <s v="surya.verma597@student.college.edu"/>
    <x v="2"/>
    <s v="CRS04"/>
    <x v="3"/>
    <x v="2"/>
    <n v="2"/>
    <x v="3"/>
  </r>
  <r>
    <s v="STU0345"/>
    <s v="Vihaan Gupta"/>
    <x v="1"/>
    <d v="2003-01-12T00:00:00"/>
    <s v="A-"/>
    <s v="Neeraj Patel"/>
    <s v="Shreya Das"/>
    <s v="443, Brigade Road"/>
    <x v="8"/>
    <x v="5"/>
    <s v="697512"/>
    <s v="9853888468"/>
    <s v="vihaan.gupta583@student.college.edu"/>
    <x v="0"/>
    <s v="CRS02"/>
    <x v="6"/>
    <x v="0"/>
    <n v="6"/>
    <x v="6"/>
  </r>
  <r>
    <s v="STU0346"/>
    <s v="Kabir Kumar"/>
    <x v="1"/>
    <d v="1999-07-30T00:00:00"/>
    <s v="A+"/>
    <s v="Kavya Das"/>
    <s v="Ananya Sharma"/>
    <s v="115, Anna Salai"/>
    <x v="6"/>
    <x v="6"/>
    <s v="708905"/>
    <s v="9895306149"/>
    <s v="kabir.kumar270@student.college.edu"/>
    <x v="0"/>
    <s v="CRS07"/>
    <x v="1"/>
    <x v="0"/>
    <n v="6"/>
    <x v="1"/>
  </r>
  <r>
    <s v="STU0347"/>
    <s v="Kunal Reddy"/>
    <x v="0"/>
    <d v="2007-07-30T00:00:00"/>
    <s v="B-"/>
    <s v="Vihaan Gupta"/>
    <s v="Ishaan Das"/>
    <s v="419, FC Road"/>
    <x v="4"/>
    <x v="4"/>
    <s v="485688"/>
    <s v="9304798417"/>
    <s v="kunal.reddy107@student.college.edu"/>
    <x v="3"/>
    <s v="CRS06"/>
    <x v="0"/>
    <x v="2"/>
    <n v="2"/>
    <x v="0"/>
  </r>
  <r>
    <s v="STU0348"/>
    <s v="Meera Kumar"/>
    <x v="0"/>
    <d v="2007-10-07T00:00:00"/>
    <s v="A-"/>
    <s v="Leela Reddy"/>
    <s v="Aarav Sharma"/>
    <s v="14, Ring Road"/>
    <x v="6"/>
    <x v="6"/>
    <s v="675076"/>
    <s v="9441489314"/>
    <s v="meera.kumar60@student.college.edu"/>
    <x v="2"/>
    <s v="CRS01"/>
    <x v="2"/>
    <x v="2"/>
    <n v="2"/>
    <x v="2"/>
  </r>
  <r>
    <s v="STU0349"/>
    <s v="Rohan Patel"/>
    <x v="1"/>
    <d v="2007-06-10T00:00:00"/>
    <s v="O-"/>
    <s v="Amrita Das"/>
    <s v="Shreya Sharma"/>
    <s v="411, MG Road"/>
    <x v="1"/>
    <x v="1"/>
    <s v="011036"/>
    <s v="9226410254"/>
    <s v="rohan.patel753@gmail.com"/>
    <x v="3"/>
    <s v="CRS08"/>
    <x v="7"/>
    <x v="2"/>
    <n v="2"/>
    <x v="7"/>
  </r>
  <r>
    <s v="STU0350"/>
    <s v="Varun Nair"/>
    <x v="0"/>
    <d v="2007-10-01T00:00:00"/>
    <s v="O+"/>
    <s v="Nisha Nair"/>
    <s v="Leela Banerjee"/>
    <s v="126, Anna Salai"/>
    <x v="0"/>
    <x v="0"/>
    <s v="097622"/>
    <s v="9192723819"/>
    <s v="varun.nair716@gmail.com"/>
    <x v="1"/>
    <s v="CRS02"/>
    <x v="6"/>
    <x v="1"/>
    <n v="4"/>
    <x v="6"/>
  </r>
  <r>
    <s v="STU0351"/>
    <s v="Aarav Kumar"/>
    <x v="1"/>
    <d v="2002-01-12T00:00:00"/>
    <s v="O-"/>
    <s v="Kunal Rao"/>
    <s v="Ira Nair"/>
    <s v="424, Brigade Road"/>
    <x v="3"/>
    <x v="3"/>
    <s v="830342"/>
    <s v="9365607997"/>
    <s v="aarav.kumar345@gmail.com"/>
    <x v="3"/>
    <s v="CRS01"/>
    <x v="2"/>
    <x v="2"/>
    <n v="2"/>
    <x v="2"/>
  </r>
  <r>
    <s v="STU0352"/>
    <s v="Ananya Mukherjee"/>
    <x v="0"/>
    <d v="2003-11-13T00:00:00"/>
    <s v="A+"/>
    <s v="Leela Patel"/>
    <s v="Pooja Mukherjee"/>
    <s v="476, MG Road"/>
    <x v="6"/>
    <x v="6"/>
    <s v="992954"/>
    <s v="9772949292"/>
    <s v="ananya.mukherjee699@gmail.com"/>
    <x v="3"/>
    <s v="CRS05"/>
    <x v="5"/>
    <x v="2"/>
    <n v="2"/>
    <x v="5"/>
  </r>
  <r>
    <s v="STU0353"/>
    <s v="Ananya Rao"/>
    <x v="0"/>
    <d v="1999-06-08T00:00:00"/>
    <s v="A+"/>
    <s v="Kavya Nair"/>
    <s v="Diya Nair"/>
    <s v="338, Anna Salai"/>
    <x v="1"/>
    <x v="1"/>
    <s v="153214"/>
    <s v="9449482092"/>
    <s v="ananya.rao625@gmail.com"/>
    <x v="1"/>
    <s v="CRS03"/>
    <x v="4"/>
    <x v="1"/>
    <n v="4"/>
    <x v="4"/>
  </r>
  <r>
    <s v="STU0354"/>
    <s v="Kunal Nair"/>
    <x v="0"/>
    <d v="2004-07-20T00:00:00"/>
    <s v="A+"/>
    <s v="Arjun Reddy"/>
    <s v="Harsha Gupta"/>
    <s v="76, MG Road"/>
    <x v="0"/>
    <x v="0"/>
    <s v="615435"/>
    <s v="9299908850"/>
    <s v="kunal.nair241@gmail.com"/>
    <x v="2"/>
    <s v="CRS08"/>
    <x v="7"/>
    <x v="2"/>
    <n v="2"/>
    <x v="7"/>
  </r>
  <r>
    <s v="STU0355"/>
    <s v="Kabir Das"/>
    <x v="1"/>
    <d v="2001-08-28T00:00:00"/>
    <s v="O-"/>
    <s v="Ishaan Iyer"/>
    <s v="Shreya Iyer"/>
    <s v="425, Charminar Rd"/>
    <x v="6"/>
    <x v="6"/>
    <s v="813734"/>
    <s v="9649610990"/>
    <s v="kabir.das624@student.college.edu"/>
    <x v="0"/>
    <s v="CRS06"/>
    <x v="0"/>
    <x v="0"/>
    <n v="6"/>
    <x v="0"/>
  </r>
  <r>
    <s v="STU0356"/>
    <s v="Ishaan Patel"/>
    <x v="1"/>
    <d v="1999-05-14T00:00:00"/>
    <s v="O-"/>
    <s v="Tanvi Mukherjee"/>
    <s v="Arjun Patel"/>
    <s v="391, Brigade Road"/>
    <x v="4"/>
    <x v="4"/>
    <s v="596751"/>
    <s v="9876653159"/>
    <s v="ishaan.patel337@student.college.edu"/>
    <x v="0"/>
    <s v="CRS04"/>
    <x v="3"/>
    <x v="0"/>
    <n v="6"/>
    <x v="3"/>
  </r>
  <r>
    <s v="STU0357"/>
    <s v="Riya Iyer"/>
    <x v="0"/>
    <d v="2000-04-17T00:00:00"/>
    <s v="B+"/>
    <s v="Varun Reddy"/>
    <s v="Riya Mukherjee"/>
    <s v="491, Charminar Rd"/>
    <x v="0"/>
    <x v="0"/>
    <s v="359664"/>
    <s v="9458157451"/>
    <s v="riya.iyer267@gmail.com"/>
    <x v="0"/>
    <s v="CRS02"/>
    <x v="6"/>
    <x v="0"/>
    <n v="6"/>
    <x v="6"/>
  </r>
  <r>
    <s v="STU0358"/>
    <s v="Aditya Patel"/>
    <x v="0"/>
    <d v="2004-08-30T00:00:00"/>
    <s v="B-"/>
    <s v="Arjun Rao"/>
    <s v="Saanvi Banerjee"/>
    <s v="452, Ring Road"/>
    <x v="2"/>
    <x v="2"/>
    <s v="012597"/>
    <s v="9104691899"/>
    <s v="aditya.patel363@student.college.edu"/>
    <x v="3"/>
    <s v="CRS05"/>
    <x v="5"/>
    <x v="2"/>
    <n v="2"/>
    <x v="5"/>
  </r>
  <r>
    <s v="STU0359"/>
    <s v="Kabir Iyer"/>
    <x v="0"/>
    <d v="2005-08-19T00:00:00"/>
    <s v="B+"/>
    <s v="Kavya Rao"/>
    <s v="Kabir Mukherjee"/>
    <s v="24, Brigade Road"/>
    <x v="2"/>
    <x v="2"/>
    <s v="967477"/>
    <s v="9775851056"/>
    <s v="kabir.iyer465@gmail.com"/>
    <x v="1"/>
    <s v="CRS03"/>
    <x v="4"/>
    <x v="1"/>
    <n v="4"/>
    <x v="4"/>
  </r>
  <r>
    <s v="STU0360"/>
    <s v="Priya Mukherjee"/>
    <x v="0"/>
    <d v="2002-02-18T00:00:00"/>
    <s v="A-"/>
    <s v="Neeraj Verma"/>
    <s v="Rohan Nair"/>
    <s v="253, FC Road"/>
    <x v="6"/>
    <x v="6"/>
    <s v="237909"/>
    <s v="9874283312"/>
    <s v="priya.mukherjee499@gmail.com"/>
    <x v="3"/>
    <s v="CRS05"/>
    <x v="5"/>
    <x v="2"/>
    <n v="2"/>
    <x v="5"/>
  </r>
  <r>
    <s v="STU0361"/>
    <s v="Surya Nair"/>
    <x v="1"/>
    <d v="2007-06-14T00:00:00"/>
    <s v="B-"/>
    <s v="Kabir Reddy"/>
    <s v="Tanvi Nair"/>
    <s v="73, Brigade Road"/>
    <x v="8"/>
    <x v="5"/>
    <s v="099570"/>
    <s v="9802957582"/>
    <s v="surya.nair113@student.college.edu"/>
    <x v="1"/>
    <s v="CRS08"/>
    <x v="7"/>
    <x v="1"/>
    <n v="4"/>
    <x v="7"/>
  </r>
  <r>
    <s v="STU0362"/>
    <s v="Kunal Verma"/>
    <x v="1"/>
    <d v="2002-02-14T00:00:00"/>
    <s v="O+"/>
    <s v="Aditi Banerjee"/>
    <s v="Kabir Iyer"/>
    <s v="412, Brigade Road"/>
    <x v="0"/>
    <x v="0"/>
    <s v="352657"/>
    <s v="9739497386"/>
    <s v="kunal.verma899@student.college.edu"/>
    <x v="2"/>
    <s v="CRS04"/>
    <x v="3"/>
    <x v="2"/>
    <n v="2"/>
    <x v="3"/>
  </r>
  <r>
    <s v="STU0363"/>
    <s v="Arjun Rao"/>
    <x v="0"/>
    <d v="2001-06-20T00:00:00"/>
    <s v="B-"/>
    <s v="Tanvi Reddy"/>
    <s v="Kunal Kumar"/>
    <s v="78, LBS Marg"/>
    <x v="2"/>
    <x v="2"/>
    <s v="218987"/>
    <s v="9005214235"/>
    <s v="arjun.rao654@gmail.com"/>
    <x v="3"/>
    <s v="CRS05"/>
    <x v="5"/>
    <x v="2"/>
    <n v="2"/>
    <x v="5"/>
  </r>
  <r>
    <s v="STU0364"/>
    <s v="Sujith Reddy"/>
    <x v="0"/>
    <d v="2006-06-29T00:00:00"/>
    <s v="O-"/>
    <s v="Saanvi Kumar"/>
    <s v="Pooja Banerjee"/>
    <s v="201, FC Road"/>
    <x v="2"/>
    <x v="2"/>
    <s v="229874"/>
    <s v="9424196331"/>
    <s v="sujith.reddy904@gmail.com"/>
    <x v="1"/>
    <s v="CRS07"/>
    <x v="1"/>
    <x v="1"/>
    <n v="4"/>
    <x v="1"/>
  </r>
  <r>
    <s v="STU0365"/>
    <s v="Tanvi Reddy"/>
    <x v="1"/>
    <d v="2002-04-06T00:00:00"/>
    <s v="A-"/>
    <s v="Kunal Das"/>
    <s v="Ishaan Patel"/>
    <s v="32, FC Road"/>
    <x v="7"/>
    <x v="7"/>
    <s v="484204"/>
    <s v="9260428571"/>
    <s v="tanvi.reddy992@gmail.com"/>
    <x v="2"/>
    <s v="CRS01"/>
    <x v="2"/>
    <x v="2"/>
    <n v="2"/>
    <x v="2"/>
  </r>
  <r>
    <s v="STU0366"/>
    <s v="Pooja Patel"/>
    <x v="1"/>
    <d v="2007-10-02T00:00:00"/>
    <s v="O-"/>
    <s v="Varun Iyer"/>
    <s v="Surya Iyer"/>
    <s v="393, Brigade Road"/>
    <x v="4"/>
    <x v="4"/>
    <s v="311582"/>
    <s v="9893279009"/>
    <s v="pooja.patel105@gmail.com"/>
    <x v="1"/>
    <s v="CRS01"/>
    <x v="2"/>
    <x v="1"/>
    <n v="4"/>
    <x v="2"/>
  </r>
  <r>
    <s v="STU0367"/>
    <s v="Sai Nair"/>
    <x v="0"/>
    <d v="1999-04-10T00:00:00"/>
    <s v="A-"/>
    <s v="Rohan Banerjee"/>
    <s v="Neeraj Mukherjee"/>
    <s v="127, MG Road"/>
    <x v="0"/>
    <x v="0"/>
    <s v="834888"/>
    <s v="9057707590"/>
    <s v="sai.nair603@gmail.com"/>
    <x v="0"/>
    <s v="CRS06"/>
    <x v="0"/>
    <x v="0"/>
    <n v="6"/>
    <x v="0"/>
  </r>
  <r>
    <s v="STU0368"/>
    <s v="Meera Das"/>
    <x v="0"/>
    <d v="1999-04-06T00:00:00"/>
    <s v="B-"/>
    <s v="Rahul Nair"/>
    <s v="Riya Reddy"/>
    <s v="52, Anna Salai"/>
    <x v="2"/>
    <x v="2"/>
    <s v="342422"/>
    <s v="9753979774"/>
    <s v="meera.das592@student.college.edu"/>
    <x v="3"/>
    <s v="CRS08"/>
    <x v="7"/>
    <x v="2"/>
    <n v="2"/>
    <x v="7"/>
  </r>
  <r>
    <s v="STU0369"/>
    <s v="Diya Kumar"/>
    <x v="0"/>
    <d v="2000-03-22T00:00:00"/>
    <s v="O-"/>
    <s v="Harsha Nair"/>
    <s v="Ananya Gupta"/>
    <s v="415, Brigade Road"/>
    <x v="8"/>
    <x v="5"/>
    <s v="295048"/>
    <s v="9587044780"/>
    <s v="diya.kumar706@gmail.com"/>
    <x v="2"/>
    <s v="CRS05"/>
    <x v="5"/>
    <x v="2"/>
    <n v="2"/>
    <x v="5"/>
  </r>
  <r>
    <s v="STU0370"/>
    <s v="Varun Reddy"/>
    <x v="1"/>
    <d v="2007-11-30T00:00:00"/>
    <s v="A-"/>
    <s v="Saanvi Das"/>
    <s v="Saanvi Iyer"/>
    <s v="492, Ring Road"/>
    <x v="2"/>
    <x v="2"/>
    <s v="758901"/>
    <s v="9637171490"/>
    <s v="varun.reddy435@gmail.com"/>
    <x v="1"/>
    <s v="CRS03"/>
    <x v="4"/>
    <x v="1"/>
    <n v="4"/>
    <x v="4"/>
  </r>
  <r>
    <s v="STU0371"/>
    <s v="Aditi Das"/>
    <x v="0"/>
    <d v="2003-06-24T00:00:00"/>
    <s v="AB+"/>
    <s v="Aarav Nair"/>
    <s v="Kabir Patel"/>
    <s v="151, Anna Salai"/>
    <x v="7"/>
    <x v="7"/>
    <s v="636152"/>
    <s v="9675249978"/>
    <s v="aditi.das139@student.college.edu"/>
    <x v="1"/>
    <s v="CRS01"/>
    <x v="2"/>
    <x v="1"/>
    <n v="4"/>
    <x v="2"/>
  </r>
  <r>
    <s v="STU0372"/>
    <s v="Ananya Patel"/>
    <x v="1"/>
    <d v="2000-09-07T00:00:00"/>
    <s v="B+"/>
    <s v="Saanvi Verma"/>
    <s v="Aarav Nair"/>
    <s v="360, Ring Road"/>
    <x v="0"/>
    <x v="0"/>
    <s v="530413"/>
    <s v="9526928853"/>
    <s v="ananya.patel640@gmail.com"/>
    <x v="3"/>
    <s v="CRS02"/>
    <x v="6"/>
    <x v="2"/>
    <n v="2"/>
    <x v="6"/>
  </r>
  <r>
    <s v="STU0373"/>
    <s v="Shreya Gupta"/>
    <x v="1"/>
    <d v="2007-03-12T00:00:00"/>
    <s v="B+"/>
    <s v="Ishaan Nair"/>
    <s v="Sai Nair"/>
    <s v="289, Brigade Road"/>
    <x v="6"/>
    <x v="6"/>
    <s v="375288"/>
    <s v="9641790811"/>
    <s v="shreya.gupta896@student.college.edu"/>
    <x v="2"/>
    <s v="CRS01"/>
    <x v="2"/>
    <x v="2"/>
    <n v="2"/>
    <x v="2"/>
  </r>
  <r>
    <s v="STU0374"/>
    <s v="Arjun Das"/>
    <x v="0"/>
    <d v="2003-10-09T00:00:00"/>
    <s v="O+"/>
    <s v="Tanvi Kumar"/>
    <s v="Ananya Nair"/>
    <s v="257, Brigade Road"/>
    <x v="6"/>
    <x v="6"/>
    <s v="334355"/>
    <s v="9889987854"/>
    <s v="arjun.das808@gmail.com"/>
    <x v="2"/>
    <s v="CRS07"/>
    <x v="1"/>
    <x v="2"/>
    <n v="2"/>
    <x v="1"/>
  </r>
  <r>
    <s v="STU0375"/>
    <s v="Harsha Iyer"/>
    <x v="1"/>
    <d v="1999-04-14T00:00:00"/>
    <s v="A+"/>
    <s v="Leela Iyer"/>
    <s v="Leela Kumar"/>
    <s v="395, FC Road"/>
    <x v="4"/>
    <x v="4"/>
    <s v="689139"/>
    <s v="9913153995"/>
    <s v="harsha.iyer14@gmail.com"/>
    <x v="0"/>
    <s v="CRS08"/>
    <x v="7"/>
    <x v="0"/>
    <n v="6"/>
    <x v="7"/>
  </r>
  <r>
    <s v="STU0376"/>
    <s v="Ira Sharma"/>
    <x v="1"/>
    <d v="2006-11-24T00:00:00"/>
    <s v="B+"/>
    <s v="Kunal Nair"/>
    <s v="Harsha Sharma"/>
    <s v="498, MG Road"/>
    <x v="2"/>
    <x v="2"/>
    <s v="448780"/>
    <s v="9081781480"/>
    <s v="ira.sharma653@student.college.edu"/>
    <x v="2"/>
    <s v="CRS05"/>
    <x v="5"/>
    <x v="2"/>
    <n v="2"/>
    <x v="5"/>
  </r>
  <r>
    <s v="STU0377"/>
    <s v="Leela Reddy"/>
    <x v="0"/>
    <d v="2005-11-19T00:00:00"/>
    <s v="B+"/>
    <s v="Aditi Sharma"/>
    <s v="Ananya Banerjee"/>
    <s v="435, FC Road"/>
    <x v="7"/>
    <x v="7"/>
    <s v="594860"/>
    <s v="9857042151"/>
    <s v="leela.reddy765@student.college.edu"/>
    <x v="0"/>
    <s v="CRS06"/>
    <x v="0"/>
    <x v="0"/>
    <n v="6"/>
    <x v="0"/>
  </r>
  <r>
    <s v="STU0378"/>
    <s v="Kabir Iyer"/>
    <x v="0"/>
    <d v="2005-05-16T00:00:00"/>
    <s v="O+"/>
    <s v="Sujith Mukherjee"/>
    <s v="Aditya Rao"/>
    <s v="477, LBS Marg"/>
    <x v="0"/>
    <x v="0"/>
    <s v="910360"/>
    <s v="9106489369"/>
    <s v="kabir.iyer886@student.college.edu"/>
    <x v="3"/>
    <s v="CRS05"/>
    <x v="5"/>
    <x v="2"/>
    <n v="2"/>
    <x v="5"/>
  </r>
  <r>
    <s v="STU0379"/>
    <s v="Vihaan Patel"/>
    <x v="1"/>
    <d v="2002-03-21T00:00:00"/>
    <s v="O+"/>
    <s v="Sai Nair"/>
    <s v="Arjun Rao"/>
    <s v="162, Charminar Rd"/>
    <x v="4"/>
    <x v="4"/>
    <s v="219240"/>
    <s v="9337586195"/>
    <s v="vihaan.patel160@student.college.edu"/>
    <x v="1"/>
    <s v="CRS06"/>
    <x v="0"/>
    <x v="1"/>
    <n v="4"/>
    <x v="0"/>
  </r>
  <r>
    <s v="STU0380"/>
    <s v="Harsha Banerjee"/>
    <x v="0"/>
    <d v="2001-04-29T00:00:00"/>
    <s v="B-"/>
    <s v="Ananya Mukherjee"/>
    <s v="Priya Das"/>
    <s v="425, Anna Salai"/>
    <x v="4"/>
    <x v="4"/>
    <s v="240161"/>
    <s v="9153350768"/>
    <s v="harsha.banerjee9@student.college.edu"/>
    <x v="1"/>
    <s v="CRS06"/>
    <x v="0"/>
    <x v="1"/>
    <n v="4"/>
    <x v="0"/>
  </r>
  <r>
    <s v="STU0381"/>
    <s v="Ananya Banerjee"/>
    <x v="1"/>
    <d v="2001-02-05T00:00:00"/>
    <s v="B-"/>
    <s v="Surya Iyer"/>
    <s v="Rahul Gupta"/>
    <s v="240, Park Street"/>
    <x v="2"/>
    <x v="2"/>
    <s v="845438"/>
    <s v="9233639879"/>
    <s v="ananya.banerjee520@student.college.edu"/>
    <x v="1"/>
    <s v="CRS05"/>
    <x v="5"/>
    <x v="1"/>
    <n v="4"/>
    <x v="5"/>
  </r>
  <r>
    <s v="STU0382"/>
    <s v="Shreya Patel"/>
    <x v="0"/>
    <d v="1999-04-27T00:00:00"/>
    <s v="A+"/>
    <s v="Sai Das"/>
    <s v="Sai Nair"/>
    <s v="454, Ring Road"/>
    <x v="8"/>
    <x v="5"/>
    <s v="139937"/>
    <s v="9841018302"/>
    <s v="shreya.patel209@gmail.com"/>
    <x v="3"/>
    <s v="CRS03"/>
    <x v="4"/>
    <x v="2"/>
    <n v="2"/>
    <x v="4"/>
  </r>
  <r>
    <s v="STU0383"/>
    <s v="Tanvi Das"/>
    <x v="0"/>
    <d v="1999-01-21T00:00:00"/>
    <s v="A-"/>
    <s v="Saanvi Gupta"/>
    <s v="Diya Verma"/>
    <s v="242, Charminar Rd"/>
    <x v="2"/>
    <x v="2"/>
    <s v="687701"/>
    <s v="9717887430"/>
    <s v="tanvi.das501@student.college.edu"/>
    <x v="3"/>
    <s v="CRS04"/>
    <x v="3"/>
    <x v="2"/>
    <n v="2"/>
    <x v="3"/>
  </r>
  <r>
    <s v="STU0384"/>
    <s v="Diya Iyer"/>
    <x v="0"/>
    <d v="2004-08-15T00:00:00"/>
    <s v="B-"/>
    <s v="Sujith Sharma"/>
    <s v="Kavya Rao"/>
    <s v="385, Charminar Rd"/>
    <x v="4"/>
    <x v="4"/>
    <s v="112436"/>
    <s v="9423809416"/>
    <s v="diya.iyer855@student.college.edu"/>
    <x v="2"/>
    <s v="CRS06"/>
    <x v="0"/>
    <x v="2"/>
    <n v="2"/>
    <x v="0"/>
  </r>
  <r>
    <s v="STU0385"/>
    <s v="Tanvi Mukherjee"/>
    <x v="1"/>
    <d v="2006-05-10T00:00:00"/>
    <s v="A+"/>
    <s v="Leela Patel"/>
    <s v="Pooja Sharma"/>
    <s v="83, FC Road"/>
    <x v="6"/>
    <x v="6"/>
    <s v="606640"/>
    <s v="9471895778"/>
    <s v="tanvi.mukherjee996@gmail.com"/>
    <x v="3"/>
    <s v="CRS07"/>
    <x v="1"/>
    <x v="2"/>
    <n v="2"/>
    <x v="1"/>
  </r>
  <r>
    <s v="STU0386"/>
    <s v="Nisha Patel"/>
    <x v="0"/>
    <d v="1999-11-24T00:00:00"/>
    <s v="B+"/>
    <s v="Arjun Sharma"/>
    <s v="Ananya Mukherjee"/>
    <s v="303, Anna Salai"/>
    <x v="2"/>
    <x v="2"/>
    <s v="440840"/>
    <s v="9534670224"/>
    <s v="nisha.patel458@gmail.com"/>
    <x v="2"/>
    <s v="CRS02"/>
    <x v="6"/>
    <x v="2"/>
    <n v="2"/>
    <x v="6"/>
  </r>
  <r>
    <s v="STU0387"/>
    <s v="Diya Mukherjee"/>
    <x v="1"/>
    <d v="2004-12-16T00:00:00"/>
    <s v="B-"/>
    <s v="Aditi Patel"/>
    <s v="Rohan Gupta"/>
    <s v="44, Brigade Road"/>
    <x v="8"/>
    <x v="5"/>
    <s v="642962"/>
    <s v="9887540319"/>
    <s v="diya.mukherjee654@student.college.edu"/>
    <x v="2"/>
    <s v="CRS06"/>
    <x v="0"/>
    <x v="2"/>
    <n v="2"/>
    <x v="0"/>
  </r>
  <r>
    <s v="STU0388"/>
    <s v="Surya Banerjee"/>
    <x v="1"/>
    <d v="2002-05-21T00:00:00"/>
    <s v="AB+"/>
    <s v="Meera Patel"/>
    <s v="Aarav Gupta"/>
    <s v="487, Anna Salai"/>
    <x v="6"/>
    <x v="6"/>
    <s v="975965"/>
    <s v="9760529261"/>
    <s v="surya.banerjee514@student.college.edu"/>
    <x v="1"/>
    <s v="CRS03"/>
    <x v="4"/>
    <x v="1"/>
    <n v="4"/>
    <x v="4"/>
  </r>
  <r>
    <s v="STU0389"/>
    <s v="Tanvi Nair"/>
    <x v="0"/>
    <d v="1999-01-21T00:00:00"/>
    <s v="B+"/>
    <s v="Meera Reddy"/>
    <s v="Aarav Patel"/>
    <s v="337, Park Street"/>
    <x v="3"/>
    <x v="3"/>
    <s v="476027"/>
    <s v="9267644554"/>
    <s v="tanvi.nair572@student.college.edu"/>
    <x v="0"/>
    <s v="CRS06"/>
    <x v="0"/>
    <x v="0"/>
    <n v="6"/>
    <x v="0"/>
  </r>
  <r>
    <s v="STU0390"/>
    <s v="Diya Kumar"/>
    <x v="1"/>
    <d v="2004-03-07T00:00:00"/>
    <s v="AB+"/>
    <s v="Leela Mukherjee"/>
    <s v="Saanvi Reddy"/>
    <s v="273, Park Street"/>
    <x v="3"/>
    <x v="3"/>
    <s v="465049"/>
    <s v="9075374415"/>
    <s v="diya.kumar640@gmail.com"/>
    <x v="1"/>
    <s v="CRS07"/>
    <x v="1"/>
    <x v="1"/>
    <n v="4"/>
    <x v="1"/>
  </r>
  <r>
    <s v="STU0391"/>
    <s v="Neeraj Sharma"/>
    <x v="0"/>
    <d v="2005-03-29T00:00:00"/>
    <s v="AB+"/>
    <s v="Aditi Kumar"/>
    <s v="Rohan Patel"/>
    <s v="472, Park Street"/>
    <x v="0"/>
    <x v="0"/>
    <s v="029511"/>
    <s v="9774474533"/>
    <s v="neeraj.sharma109@gmail.com"/>
    <x v="1"/>
    <s v="CRS04"/>
    <x v="3"/>
    <x v="1"/>
    <n v="4"/>
    <x v="3"/>
  </r>
  <r>
    <s v="STU0392"/>
    <s v="Leela Patel"/>
    <x v="0"/>
    <d v="2007-06-27T00:00:00"/>
    <s v="A+"/>
    <s v="Riya Nair"/>
    <s v="Sujith Kumar"/>
    <s v="81, Park Street"/>
    <x v="3"/>
    <x v="3"/>
    <s v="087660"/>
    <s v="9544102650"/>
    <s v="leela.patel585@gmail.com"/>
    <x v="0"/>
    <s v="CRS04"/>
    <x v="3"/>
    <x v="0"/>
    <n v="6"/>
    <x v="3"/>
  </r>
  <r>
    <s v="STU0393"/>
    <s v="Sai Rao"/>
    <x v="1"/>
    <d v="2004-04-16T00:00:00"/>
    <s v="B-"/>
    <s v="Tanvi Verma"/>
    <s v="Diya Sharma"/>
    <s v="381, Charminar Rd"/>
    <x v="4"/>
    <x v="4"/>
    <s v="813819"/>
    <s v="9932824269"/>
    <s v="sai.rao816@student.college.edu"/>
    <x v="2"/>
    <s v="CRS06"/>
    <x v="0"/>
    <x v="2"/>
    <n v="2"/>
    <x v="0"/>
  </r>
  <r>
    <s v="STU0394"/>
    <s v="Leela Gupta"/>
    <x v="1"/>
    <d v="2004-03-08T00:00:00"/>
    <s v="B+"/>
    <s v="Aditi Verma"/>
    <s v="Aarav Mukherjee"/>
    <s v="17, Charminar Rd"/>
    <x v="2"/>
    <x v="2"/>
    <s v="804271"/>
    <s v="9765047238"/>
    <s v="leela.gupta788@student.college.edu"/>
    <x v="1"/>
    <s v="CRS08"/>
    <x v="7"/>
    <x v="1"/>
    <n v="4"/>
    <x v="7"/>
  </r>
  <r>
    <s v="STU0395"/>
    <s v="Meera Verma"/>
    <x v="1"/>
    <d v="2000-08-20T00:00:00"/>
    <s v="AB+"/>
    <s v="Leela Nair"/>
    <s v="Neeraj Rao"/>
    <s v="386, Brigade Road"/>
    <x v="7"/>
    <x v="7"/>
    <s v="439720"/>
    <s v="9608422247"/>
    <s v="meera.verma717@gmail.com"/>
    <x v="0"/>
    <s v="CRS01"/>
    <x v="2"/>
    <x v="0"/>
    <n v="6"/>
    <x v="2"/>
  </r>
  <r>
    <s v="STU0396"/>
    <s v="Neeraj Gupta"/>
    <x v="1"/>
    <d v="2004-11-07T00:00:00"/>
    <s v="B+"/>
    <s v="Rahul Sharma"/>
    <s v="Rohan Iyer"/>
    <s v="289, FC Road"/>
    <x v="3"/>
    <x v="3"/>
    <s v="916442"/>
    <s v="9761236023"/>
    <s v="neeraj.gupta599@student.college.edu"/>
    <x v="0"/>
    <s v="CRS07"/>
    <x v="1"/>
    <x v="0"/>
    <n v="6"/>
    <x v="1"/>
  </r>
  <r>
    <s v="STU0397"/>
    <s v="Saanvi Rao"/>
    <x v="1"/>
    <d v="2002-11-10T00:00:00"/>
    <s v="O-"/>
    <s v="Harsha Gupta"/>
    <s v="Shreya Das"/>
    <s v="161, FC Road"/>
    <x v="2"/>
    <x v="2"/>
    <s v="684436"/>
    <s v="9022167114"/>
    <s v="saanvi.rao584@student.college.edu"/>
    <x v="3"/>
    <s v="CRS04"/>
    <x v="3"/>
    <x v="2"/>
    <n v="2"/>
    <x v="3"/>
  </r>
  <r>
    <s v="STU0398"/>
    <s v="Diya Banerjee"/>
    <x v="1"/>
    <d v="2003-06-21T00:00:00"/>
    <s v="A-"/>
    <s v="Harsha Verma"/>
    <s v="Ananya Das"/>
    <s v="35, Anna Salai"/>
    <x v="9"/>
    <x v="0"/>
    <s v="905227"/>
    <s v="9662640650"/>
    <s v="diya.banerjee195@student.college.edu"/>
    <x v="0"/>
    <s v="CRS01"/>
    <x v="2"/>
    <x v="0"/>
    <n v="6"/>
    <x v="2"/>
  </r>
  <r>
    <s v="STU0399"/>
    <s v="Ishaan Reddy"/>
    <x v="1"/>
    <d v="2005-07-26T00:00:00"/>
    <s v="A+"/>
    <s v="Neeraj Rao"/>
    <s v="Saanvi Kumar"/>
    <s v="51, MG Road"/>
    <x v="9"/>
    <x v="0"/>
    <s v="110152"/>
    <s v="9455818718"/>
    <s v="ishaan.reddy630@gmail.com"/>
    <x v="0"/>
    <s v="CRS07"/>
    <x v="1"/>
    <x v="0"/>
    <n v="6"/>
    <x v="1"/>
  </r>
  <r>
    <s v="STU0400"/>
    <s v="Kavya Nair"/>
    <x v="0"/>
    <d v="2006-01-29T00:00:00"/>
    <s v="O-"/>
    <s v="Sai Iyer"/>
    <s v="Priya Kumar"/>
    <s v="264, Anna Salai"/>
    <x v="3"/>
    <x v="3"/>
    <s v="822534"/>
    <s v="9994394104"/>
    <s v="kavya.nair312@student.college.edu"/>
    <x v="1"/>
    <s v="CRS06"/>
    <x v="0"/>
    <x v="1"/>
    <n v="4"/>
    <x v="0"/>
  </r>
  <r>
    <s v="STU0401"/>
    <s v="Harsha Banerjee"/>
    <x v="1"/>
    <d v="2001-01-18T00:00:00"/>
    <s v="O-"/>
    <s v="Ishaan Verma"/>
    <s v="Neeraj Reddy"/>
    <s v="110, Anna Salai"/>
    <x v="3"/>
    <x v="3"/>
    <s v="351365"/>
    <s v="9117786199"/>
    <s v="harsha.banerjee670@gmail.com"/>
    <x v="0"/>
    <s v="CRS04"/>
    <x v="3"/>
    <x v="0"/>
    <n v="6"/>
    <x v="3"/>
  </r>
  <r>
    <s v="STU0402"/>
    <s v="Surya Nair"/>
    <x v="0"/>
    <d v="2002-05-28T00:00:00"/>
    <s v="A+"/>
    <s v="Diya Gupta"/>
    <s v="Rahul Iyer"/>
    <s v="373, FC Road"/>
    <x v="2"/>
    <x v="2"/>
    <s v="357090"/>
    <s v="9461428262"/>
    <s v="surya.nair853@gmail.com"/>
    <x v="0"/>
    <s v="CRS07"/>
    <x v="1"/>
    <x v="0"/>
    <n v="6"/>
    <x v="1"/>
  </r>
  <r>
    <s v="STU0403"/>
    <s v="Pooja Patel"/>
    <x v="0"/>
    <d v="2005-04-04T00:00:00"/>
    <s v="B+"/>
    <s v="Nisha Mukherjee"/>
    <s v="Ishaan Reddy"/>
    <s v="317, LBS Marg"/>
    <x v="9"/>
    <x v="0"/>
    <s v="017959"/>
    <s v="9973972950"/>
    <s v="pooja.patel58@gmail.com"/>
    <x v="0"/>
    <s v="CRS08"/>
    <x v="7"/>
    <x v="0"/>
    <n v="6"/>
    <x v="7"/>
  </r>
  <r>
    <s v="STU0404"/>
    <s v="Surya Nair"/>
    <x v="1"/>
    <d v="2004-04-16T00:00:00"/>
    <s v="O-"/>
    <s v="Arjun Mukherjee"/>
    <s v="Aditya Iyer"/>
    <s v="397, Charminar Rd"/>
    <x v="8"/>
    <x v="5"/>
    <s v="555435"/>
    <s v="9658617867"/>
    <s v="surya.nair981@gmail.com"/>
    <x v="1"/>
    <s v="CRS04"/>
    <x v="3"/>
    <x v="1"/>
    <n v="4"/>
    <x v="3"/>
  </r>
  <r>
    <s v="STU0405"/>
    <s v="Sai Iyer"/>
    <x v="0"/>
    <d v="2001-07-21T00:00:00"/>
    <s v="O+"/>
    <s v="Riya Iyer"/>
    <s v="Ananya Reddy"/>
    <s v="347, Anna Salai"/>
    <x v="1"/>
    <x v="1"/>
    <s v="164878"/>
    <s v="9093599835"/>
    <s v="sai.iyer290@gmail.com"/>
    <x v="2"/>
    <s v="CRS02"/>
    <x v="6"/>
    <x v="2"/>
    <n v="2"/>
    <x v="6"/>
  </r>
  <r>
    <s v="STU0406"/>
    <s v="Shreya Verma"/>
    <x v="0"/>
    <d v="2007-10-03T00:00:00"/>
    <s v="A+"/>
    <s v="Kabir Das"/>
    <s v="Sai Das"/>
    <s v="434, Brigade Road"/>
    <x v="2"/>
    <x v="2"/>
    <s v="697742"/>
    <s v="9487606356"/>
    <s v="shreya.verma840@gmail.com"/>
    <x v="1"/>
    <s v="CRS05"/>
    <x v="5"/>
    <x v="1"/>
    <n v="4"/>
    <x v="5"/>
  </r>
  <r>
    <s v="STU0407"/>
    <s v="Aarav Rao"/>
    <x v="0"/>
    <d v="1999-03-19T00:00:00"/>
    <s v="A+"/>
    <s v="Aarav Reddy"/>
    <s v="Ananya Patel"/>
    <s v="78, Anna Salai"/>
    <x v="7"/>
    <x v="7"/>
    <s v="562898"/>
    <s v="9751131590"/>
    <s v="aarav.rao131@gmail.com"/>
    <x v="0"/>
    <s v="CRS06"/>
    <x v="0"/>
    <x v="0"/>
    <n v="6"/>
    <x v="0"/>
  </r>
  <r>
    <s v="STU0408"/>
    <s v="Surya Reddy"/>
    <x v="2"/>
    <d v="2001-05-05T00:00:00"/>
    <s v="AB+"/>
    <s v="Ishaan Nair"/>
    <s v="Sai Patel"/>
    <s v="139, Ring Road"/>
    <x v="7"/>
    <x v="7"/>
    <s v="089190"/>
    <s v="9882041751"/>
    <s v="surya.reddy993@student.college.edu"/>
    <x v="2"/>
    <s v="CRS03"/>
    <x v="4"/>
    <x v="2"/>
    <n v="2"/>
    <x v="4"/>
  </r>
  <r>
    <s v="STU0409"/>
    <s v="Neeraj Reddy"/>
    <x v="1"/>
    <d v="2004-06-26T00:00:00"/>
    <s v="O+"/>
    <s v="Aditi Rao"/>
    <s v="Diya Mukherjee"/>
    <s v="163, Charminar Rd"/>
    <x v="4"/>
    <x v="4"/>
    <s v="973214"/>
    <s v="9084839848"/>
    <s v="neeraj.reddy308@student.college.edu"/>
    <x v="2"/>
    <s v="CRS07"/>
    <x v="1"/>
    <x v="2"/>
    <n v="2"/>
    <x v="1"/>
  </r>
  <r>
    <s v="STU0410"/>
    <s v="Amrita Kumar"/>
    <x v="1"/>
    <d v="2002-01-30T00:00:00"/>
    <s v="B+"/>
    <s v="Aditi Banerjee"/>
    <s v="Amrita Iyer"/>
    <s v="24, Park Street"/>
    <x v="8"/>
    <x v="5"/>
    <s v="511670"/>
    <s v="9886341199"/>
    <s v="amrita.kumar760@student.college.edu"/>
    <x v="2"/>
    <s v="CRS03"/>
    <x v="4"/>
    <x v="2"/>
    <n v="2"/>
    <x v="4"/>
  </r>
  <r>
    <s v="STU0411"/>
    <s v="Aarav Kumar"/>
    <x v="1"/>
    <d v="2002-06-07T00:00:00"/>
    <s v="B-"/>
    <s v="Ira Banerjee"/>
    <s v="Diya Nair"/>
    <s v="319, FC Road"/>
    <x v="1"/>
    <x v="1"/>
    <s v="380890"/>
    <s v="9355108091"/>
    <s v="aarav.kumar488@gmail.com"/>
    <x v="1"/>
    <s v="CRS03"/>
    <x v="4"/>
    <x v="1"/>
    <n v="4"/>
    <x v="4"/>
  </r>
  <r>
    <s v="STU0412"/>
    <s v="Leela Rao"/>
    <x v="1"/>
    <d v="1999-01-03T00:00:00"/>
    <s v="B+"/>
    <s v="Rahul Kumar"/>
    <s v="Saanvi Nair"/>
    <s v="66, FC Road"/>
    <x v="7"/>
    <x v="7"/>
    <s v="960485"/>
    <s v="9158167726"/>
    <s v="leela.rao256@student.college.edu"/>
    <x v="3"/>
    <s v="CRS05"/>
    <x v="5"/>
    <x v="2"/>
    <n v="2"/>
    <x v="5"/>
  </r>
  <r>
    <s v="STU0413"/>
    <s v="Ananya Mukherjee"/>
    <x v="0"/>
    <d v="2006-06-30T00:00:00"/>
    <s v="B-"/>
    <s v="Shreya Das"/>
    <s v="Priya Rao"/>
    <s v="453, Anna Salai"/>
    <x v="7"/>
    <x v="7"/>
    <s v="465909"/>
    <s v="9301110713"/>
    <s v="ananya.mukherjee586@gmail.com"/>
    <x v="0"/>
    <s v="CRS04"/>
    <x v="3"/>
    <x v="0"/>
    <n v="6"/>
    <x v="3"/>
  </r>
  <r>
    <s v="STU0414"/>
    <s v="Harsha Rao"/>
    <x v="0"/>
    <d v="2004-01-26T00:00:00"/>
    <s v="A+"/>
    <s v="Ishaan Kumar"/>
    <s v="Kavya Nair"/>
    <s v="280, LBS Marg"/>
    <x v="3"/>
    <x v="3"/>
    <s v="653913"/>
    <s v="9874087274"/>
    <s v="harsha.rao27@student.college.edu"/>
    <x v="3"/>
    <s v="CRS08"/>
    <x v="7"/>
    <x v="2"/>
    <n v="2"/>
    <x v="7"/>
  </r>
  <r>
    <s v="STU0415"/>
    <s v="Sujith Verma"/>
    <x v="1"/>
    <d v="2005-03-04T00:00:00"/>
    <s v="AB+"/>
    <s v="Varun Nair"/>
    <s v="Arjun Iyer"/>
    <s v="158, LBS Marg"/>
    <x v="9"/>
    <x v="0"/>
    <s v="991885"/>
    <s v="9167175755"/>
    <s v="sujith.verma49@gmail.com"/>
    <x v="3"/>
    <s v="CRS03"/>
    <x v="4"/>
    <x v="2"/>
    <n v="2"/>
    <x v="4"/>
  </r>
  <r>
    <s v="STU0416"/>
    <s v="Diya Gupta"/>
    <x v="1"/>
    <d v="2006-08-18T00:00:00"/>
    <s v="A+"/>
    <s v="Sai Banerjee"/>
    <s v="Harsha Rao"/>
    <s v="116, Park Street"/>
    <x v="6"/>
    <x v="6"/>
    <s v="829929"/>
    <s v="9984190253"/>
    <s v="diya.gupta946@student.college.edu"/>
    <x v="1"/>
    <s v="CRS03"/>
    <x v="4"/>
    <x v="1"/>
    <n v="4"/>
    <x v="4"/>
  </r>
  <r>
    <s v="STU0417"/>
    <s v="Arjun Kumar"/>
    <x v="1"/>
    <d v="2007-07-29T00:00:00"/>
    <s v="O-"/>
    <s v="Pooja Reddy"/>
    <s v="Ira Gupta"/>
    <s v="331, Charminar Rd"/>
    <x v="4"/>
    <x v="4"/>
    <s v="232914"/>
    <s v="9756212365"/>
    <s v="arjun.kumar537@student.college.edu"/>
    <x v="1"/>
    <s v="CRS04"/>
    <x v="3"/>
    <x v="1"/>
    <n v="4"/>
    <x v="3"/>
  </r>
  <r>
    <s v="STU0418"/>
    <s v="Tanvi Kumar"/>
    <x v="0"/>
    <d v="2000-05-26T00:00:00"/>
    <s v="A-"/>
    <s v="Nisha Mukherjee"/>
    <s v="Kavya Kumar"/>
    <s v="79, Brigade Road"/>
    <x v="3"/>
    <x v="3"/>
    <s v="908264"/>
    <s v="9178425079"/>
    <s v="tanvi.kumar886@gmail.com"/>
    <x v="1"/>
    <s v="CRS07"/>
    <x v="1"/>
    <x v="1"/>
    <n v="4"/>
    <x v="1"/>
  </r>
  <r>
    <s v="STU0419"/>
    <s v="Meera Sharma"/>
    <x v="0"/>
    <d v="2000-03-06T00:00:00"/>
    <s v="A+"/>
    <s v="Leela Nair"/>
    <s v="Sujith Mukherjee"/>
    <s v="376, Anna Salai"/>
    <x v="7"/>
    <x v="7"/>
    <s v="489018"/>
    <s v="9245617758"/>
    <s v="meera.sharma385@gmail.com"/>
    <x v="2"/>
    <s v="CRS02"/>
    <x v="6"/>
    <x v="2"/>
    <n v="2"/>
    <x v="6"/>
  </r>
  <r>
    <s v="STU0420"/>
    <s v="Shreya Verma"/>
    <x v="1"/>
    <d v="2007-07-27T00:00:00"/>
    <s v="O-"/>
    <s v="Rohan Iyer"/>
    <s v="Shreya Banerjee"/>
    <s v="364, Charminar Rd"/>
    <x v="1"/>
    <x v="1"/>
    <s v="378559"/>
    <s v="9867605090"/>
    <s v="shreya.verma943@gmail.com"/>
    <x v="2"/>
    <s v="CRS08"/>
    <x v="7"/>
    <x v="2"/>
    <n v="2"/>
    <x v="7"/>
  </r>
  <r>
    <s v="STU0421"/>
    <s v="Leela Nair"/>
    <x v="0"/>
    <d v="2006-08-29T00:00:00"/>
    <s v="B+"/>
    <s v="Diya Iyer"/>
    <s v="Rohan Nair"/>
    <s v="229, MG Road"/>
    <x v="2"/>
    <x v="2"/>
    <s v="667158"/>
    <s v="9677714035"/>
    <s v="leela.nair825@student.college.edu"/>
    <x v="0"/>
    <s v="CRS02"/>
    <x v="6"/>
    <x v="0"/>
    <n v="6"/>
    <x v="6"/>
  </r>
  <r>
    <s v="STU0422"/>
    <s v="Surya Mukherjee"/>
    <x v="1"/>
    <d v="2006-03-04T00:00:00"/>
    <s v="A-"/>
    <s v="Ira Iyer"/>
    <s v="Kavya Kumar"/>
    <s v="328, Park Street"/>
    <x v="4"/>
    <x v="4"/>
    <s v="273887"/>
    <s v="9931597575"/>
    <s v="surya.mukherjee408@student.college.edu"/>
    <x v="2"/>
    <s v="CRS02"/>
    <x v="6"/>
    <x v="2"/>
    <n v="2"/>
    <x v="6"/>
  </r>
  <r>
    <s v="STU0423"/>
    <s v="Varun Rao"/>
    <x v="1"/>
    <d v="2003-07-16T00:00:00"/>
    <s v="A-"/>
    <s v="Leela Nair"/>
    <s v="Arjun Mukherjee"/>
    <s v="175, FC Road"/>
    <x v="8"/>
    <x v="5"/>
    <s v="919882"/>
    <s v="9509405624"/>
    <s v="varun.rao854@student.college.edu"/>
    <x v="3"/>
    <s v="CRS08"/>
    <x v="7"/>
    <x v="2"/>
    <n v="2"/>
    <x v="7"/>
  </r>
  <r>
    <s v="STU0424"/>
    <s v="Harsha Reddy"/>
    <x v="1"/>
    <d v="1999-02-20T00:00:00"/>
    <s v="O+"/>
    <s v="Rahul Reddy"/>
    <s v="Aarav Rao"/>
    <s v="248, LBS Marg"/>
    <x v="4"/>
    <x v="4"/>
    <s v="485689"/>
    <s v="9779823993"/>
    <s v="harsha.reddy366@student.college.edu"/>
    <x v="3"/>
    <s v="CRS06"/>
    <x v="0"/>
    <x v="2"/>
    <n v="2"/>
    <x v="0"/>
  </r>
  <r>
    <s v="STU0425"/>
    <s v="Leela Mukherjee"/>
    <x v="1"/>
    <d v="2007-12-03T00:00:00"/>
    <s v="AB+"/>
    <s v="Nisha Rao"/>
    <s v="Arjun Verma"/>
    <s v="470, LBS Marg"/>
    <x v="7"/>
    <x v="7"/>
    <s v="182379"/>
    <s v="9822844509"/>
    <s v="leela.mukherjee23@gmail.com"/>
    <x v="2"/>
    <s v="CRS06"/>
    <x v="0"/>
    <x v="2"/>
    <n v="2"/>
    <x v="0"/>
  </r>
  <r>
    <s v="STU0426"/>
    <s v="Saanvi Mukherjee"/>
    <x v="1"/>
    <d v="1999-09-19T00:00:00"/>
    <s v="AB+"/>
    <s v="Tanvi Iyer"/>
    <s v="Aditya Mukherjee"/>
    <s v="142, Anna Salai"/>
    <x v="2"/>
    <x v="2"/>
    <s v="471363"/>
    <s v="9632754795"/>
    <s v="saanvi.mukherjee884@student.college.edu"/>
    <x v="2"/>
    <s v="CRS06"/>
    <x v="0"/>
    <x v="2"/>
    <n v="2"/>
    <x v="0"/>
  </r>
  <r>
    <s v="STU0427"/>
    <s v="Shreya Verma"/>
    <x v="1"/>
    <d v="2005-11-19T00:00:00"/>
    <s v="B+"/>
    <s v="Aditya Das"/>
    <s v="Meera Mukherjee"/>
    <s v="83, Ring Road"/>
    <x v="8"/>
    <x v="5"/>
    <s v="809730"/>
    <s v="9476834813"/>
    <s v="shreya.verma182@gmail.com"/>
    <x v="1"/>
    <s v="CRS02"/>
    <x v="6"/>
    <x v="1"/>
    <n v="4"/>
    <x v="6"/>
  </r>
  <r>
    <s v="STU0428"/>
    <s v="Sai Nair"/>
    <x v="0"/>
    <d v="2001-04-01T00:00:00"/>
    <s v="A-"/>
    <s v="Rohan Iyer"/>
    <s v="Harsha Banerjee"/>
    <s v="42, FC Road"/>
    <x v="9"/>
    <x v="0"/>
    <s v="506903"/>
    <s v="9195030958"/>
    <s v="sai.nair979@student.college.edu"/>
    <x v="1"/>
    <s v="CRS03"/>
    <x v="4"/>
    <x v="1"/>
    <n v="4"/>
    <x v="4"/>
  </r>
  <r>
    <s v="STU0429"/>
    <s v="Nisha Reddy"/>
    <x v="0"/>
    <d v="2000-02-02T00:00:00"/>
    <s v="A+"/>
    <s v="Leela Banerjee"/>
    <s v="Surya Gupta"/>
    <s v="308, FC Road"/>
    <x v="8"/>
    <x v="5"/>
    <s v="878118"/>
    <s v="9005998323"/>
    <s v="nisha.reddy185@student.college.edu"/>
    <x v="1"/>
    <s v="CRS04"/>
    <x v="3"/>
    <x v="1"/>
    <n v="4"/>
    <x v="3"/>
  </r>
  <r>
    <s v="STU0430"/>
    <s v="Kavya Gupta"/>
    <x v="0"/>
    <d v="2002-10-13T00:00:00"/>
    <s v="AB+"/>
    <s v="Riya Banerjee"/>
    <s v="Nisha Patel"/>
    <s v="402, LBS Marg"/>
    <x v="9"/>
    <x v="0"/>
    <s v="332814"/>
    <s v="9399897805"/>
    <s v="kavya.gupta680@gmail.com"/>
    <x v="1"/>
    <s v="CRS04"/>
    <x v="3"/>
    <x v="1"/>
    <n v="4"/>
    <x v="3"/>
  </r>
  <r>
    <s v="STU0431"/>
    <s v="Rahul Iyer"/>
    <x v="1"/>
    <d v="2004-01-09T00:00:00"/>
    <s v="O+"/>
    <s v="Neeraj Reddy"/>
    <s v="Rahul Banerjee"/>
    <s v="219, Charminar Rd"/>
    <x v="6"/>
    <x v="6"/>
    <s v="001563"/>
    <s v="9977650935"/>
    <s v="rahul.iyer922@student.college.edu"/>
    <x v="0"/>
    <s v="CRS01"/>
    <x v="2"/>
    <x v="0"/>
    <n v="6"/>
    <x v="2"/>
  </r>
  <r>
    <s v="STU0432"/>
    <s v="Nisha Sharma"/>
    <x v="1"/>
    <d v="2002-05-25T00:00:00"/>
    <s v="A+"/>
    <s v="Ira Reddy"/>
    <s v="Diya Das"/>
    <s v="27, Charminar Rd"/>
    <x v="8"/>
    <x v="5"/>
    <s v="560241"/>
    <s v="9237456039"/>
    <s v="nisha.sharma120@gmail.com"/>
    <x v="3"/>
    <s v="CRS06"/>
    <x v="0"/>
    <x v="2"/>
    <n v="2"/>
    <x v="0"/>
  </r>
  <r>
    <s v="STU0433"/>
    <s v="Sai Patel"/>
    <x v="1"/>
    <d v="2003-03-03T00:00:00"/>
    <s v="AB+"/>
    <s v="Surya Patel"/>
    <s v="Vihaan Gupta"/>
    <s v="73, Ring Road"/>
    <x v="3"/>
    <x v="3"/>
    <s v="845862"/>
    <s v="9872644298"/>
    <s v="sai.patel500@gmail.com"/>
    <x v="2"/>
    <s v="CRS07"/>
    <x v="1"/>
    <x v="2"/>
    <n v="2"/>
    <x v="1"/>
  </r>
  <r>
    <s v="STU0434"/>
    <s v="Vihaan Mukherjee"/>
    <x v="0"/>
    <d v="2000-06-11T00:00:00"/>
    <s v="A+"/>
    <s v="Tanvi Mukherjee"/>
    <s v="Rohan Verma"/>
    <s v="327, Brigade Road"/>
    <x v="5"/>
    <x v="5"/>
    <s v="941392"/>
    <s v="9693525118"/>
    <s v="vihaan.mukherjee906@student.college.edu"/>
    <x v="1"/>
    <s v="CRS04"/>
    <x v="3"/>
    <x v="1"/>
    <n v="4"/>
    <x v="3"/>
  </r>
  <r>
    <s v="STU0435"/>
    <s v="Arjun Das"/>
    <x v="1"/>
    <d v="2004-04-04T00:00:00"/>
    <s v="A-"/>
    <s v="Saanvi Verma"/>
    <s v="Kabir Reddy"/>
    <s v="20, Charminar Rd"/>
    <x v="0"/>
    <x v="0"/>
    <s v="782641"/>
    <s v="9509712359"/>
    <s v="arjun.das350@gmail.com"/>
    <x v="0"/>
    <s v="CRS08"/>
    <x v="7"/>
    <x v="0"/>
    <n v="6"/>
    <x v="7"/>
  </r>
  <r>
    <s v="STU0436"/>
    <s v="Ishaan Banerjee"/>
    <x v="1"/>
    <d v="2003-05-22T00:00:00"/>
    <s v="B+"/>
    <s v="Ira Gupta"/>
    <s v="Rahul Das"/>
    <s v="33, Ring Road"/>
    <x v="4"/>
    <x v="4"/>
    <s v="370486"/>
    <s v="9215310507"/>
    <s v="ishaan.banerjee742@gmail.com"/>
    <x v="2"/>
    <s v="CRS03"/>
    <x v="4"/>
    <x v="2"/>
    <n v="2"/>
    <x v="4"/>
  </r>
  <r>
    <s v="STU0437"/>
    <s v="Amrita Verma"/>
    <x v="0"/>
    <d v="2001-08-15T00:00:00"/>
    <s v="B-"/>
    <s v="Aarav Patel"/>
    <s v="Aarav Rao"/>
    <s v="30, Charminar Rd"/>
    <x v="0"/>
    <x v="0"/>
    <s v="870508"/>
    <s v="9453639242"/>
    <s v="amrita.verma652@gmail.com"/>
    <x v="3"/>
    <s v="CRS08"/>
    <x v="7"/>
    <x v="2"/>
    <n v="2"/>
    <x v="7"/>
  </r>
  <r>
    <s v="STU0438"/>
    <s v="Nisha Iyer"/>
    <x v="1"/>
    <d v="2000-08-14T00:00:00"/>
    <s v="B-"/>
    <s v="Rahul Banerjee"/>
    <s v="Aditi Gupta"/>
    <s v="494, Charminar Rd"/>
    <x v="5"/>
    <x v="5"/>
    <s v="308147"/>
    <s v="9524839447"/>
    <s v="nisha.iyer455@gmail.com"/>
    <x v="0"/>
    <s v="CRS06"/>
    <x v="0"/>
    <x v="0"/>
    <n v="6"/>
    <x v="0"/>
  </r>
  <r>
    <s v="STU0439"/>
    <s v="Ananya Banerjee"/>
    <x v="0"/>
    <d v="2000-06-29T00:00:00"/>
    <s v="A+"/>
    <s v="Aditi Das"/>
    <s v="Ishaan Reddy"/>
    <s v="112, Ring Road"/>
    <x v="4"/>
    <x v="4"/>
    <s v="977348"/>
    <s v="9733345499"/>
    <s v="ananya.banerjee891@gmail.com"/>
    <x v="3"/>
    <s v="CRS04"/>
    <x v="3"/>
    <x v="2"/>
    <n v="2"/>
    <x v="3"/>
  </r>
  <r>
    <s v="STU0440"/>
    <s v="Ananya Das"/>
    <x v="1"/>
    <d v="2006-05-25T00:00:00"/>
    <s v="O+"/>
    <s v="Ira Das"/>
    <s v="Meera Gupta"/>
    <s v="483, LBS Marg"/>
    <x v="4"/>
    <x v="4"/>
    <s v="362751"/>
    <s v="9471448193"/>
    <s v="ananya.das956@student.college.edu"/>
    <x v="2"/>
    <s v="CRS02"/>
    <x v="6"/>
    <x v="2"/>
    <n v="2"/>
    <x v="6"/>
  </r>
  <r>
    <s v="STU0441"/>
    <s v="Aditya Sharma"/>
    <x v="1"/>
    <d v="1999-08-05T00:00:00"/>
    <s v="O+"/>
    <s v="Ananya Verma"/>
    <s v="Ananya Iyer"/>
    <s v="104, Park Street"/>
    <x v="3"/>
    <x v="3"/>
    <s v="839584"/>
    <s v="9721591456"/>
    <s v="aditya.sharma163@gmail.com"/>
    <x v="0"/>
    <s v="CRS04"/>
    <x v="3"/>
    <x v="0"/>
    <n v="6"/>
    <x v="3"/>
  </r>
  <r>
    <s v="STU0442"/>
    <s v="Kabir Banerjee"/>
    <x v="1"/>
    <d v="2003-12-28T00:00:00"/>
    <s v="O+"/>
    <s v="Kabir Sharma"/>
    <s v="Arjun Patel"/>
    <s v="243, Charminar Rd"/>
    <x v="5"/>
    <x v="5"/>
    <s v="759345"/>
    <s v="9404633031"/>
    <s v="kabir.banerjee640@gmail.com"/>
    <x v="1"/>
    <s v="CRS03"/>
    <x v="4"/>
    <x v="1"/>
    <n v="4"/>
    <x v="4"/>
  </r>
  <r>
    <s v="STU0443"/>
    <s v="Kabir Banerjee"/>
    <x v="1"/>
    <d v="2006-02-10T00:00:00"/>
    <s v="O+"/>
    <s v="Ananya Nair"/>
    <s v="Varun Verma"/>
    <s v="182, LBS Marg"/>
    <x v="6"/>
    <x v="6"/>
    <s v="932599"/>
    <s v="9031672932"/>
    <s v="kabir.banerjee778@gmail.com"/>
    <x v="2"/>
    <s v="CRS06"/>
    <x v="0"/>
    <x v="2"/>
    <n v="2"/>
    <x v="0"/>
  </r>
  <r>
    <s v="STU0444"/>
    <s v="Nisha Sharma"/>
    <x v="1"/>
    <d v="2005-12-31T00:00:00"/>
    <s v="O+"/>
    <s v="Aarav Mukherjee"/>
    <s v="Shreya Sharma"/>
    <s v="155, Charminar Rd"/>
    <x v="2"/>
    <x v="2"/>
    <s v="306638"/>
    <s v="9874397542"/>
    <s v="nisha.sharma936@gmail.com"/>
    <x v="2"/>
    <s v="CRS06"/>
    <x v="0"/>
    <x v="2"/>
    <n v="2"/>
    <x v="0"/>
  </r>
  <r>
    <s v="STU0445"/>
    <s v="Leela Das"/>
    <x v="1"/>
    <d v="1999-04-05T00:00:00"/>
    <s v="AB+"/>
    <s v="Pooja Gupta"/>
    <s v="Pooja Verma"/>
    <s v="125, Brigade Road"/>
    <x v="7"/>
    <x v="7"/>
    <s v="052007"/>
    <s v="9739059963"/>
    <s v="leela.das681@student.college.edu"/>
    <x v="2"/>
    <s v="CRS01"/>
    <x v="2"/>
    <x v="2"/>
    <n v="2"/>
    <x v="2"/>
  </r>
  <r>
    <s v="STU0446"/>
    <s v="Varun Gupta"/>
    <x v="1"/>
    <d v="2007-05-14T00:00:00"/>
    <s v="A+"/>
    <s v="Surya Verma"/>
    <s v="Sai Verma"/>
    <s v="368, Brigade Road"/>
    <x v="6"/>
    <x v="6"/>
    <s v="720035"/>
    <s v="9419612680"/>
    <s v="varun.gupta190@student.college.edu"/>
    <x v="3"/>
    <s v="CRS04"/>
    <x v="3"/>
    <x v="2"/>
    <n v="2"/>
    <x v="3"/>
  </r>
  <r>
    <s v="STU0447"/>
    <s v="Kunal Gupta"/>
    <x v="1"/>
    <d v="2005-06-14T00:00:00"/>
    <s v="A+"/>
    <s v="Ishaan Mukherjee"/>
    <s v="Kabir Mukherjee"/>
    <s v="390, Brigade Road"/>
    <x v="8"/>
    <x v="5"/>
    <s v="872382"/>
    <s v="9462232086"/>
    <s v="kunal.gupta289@student.college.edu"/>
    <x v="2"/>
    <s v="CRS02"/>
    <x v="6"/>
    <x v="2"/>
    <n v="2"/>
    <x v="6"/>
  </r>
  <r>
    <s v="STU0448"/>
    <s v="Saanvi Iyer"/>
    <x v="0"/>
    <d v="1999-09-05T00:00:00"/>
    <s v="A-"/>
    <s v="Kavya Patel"/>
    <s v="Aditya Banerjee"/>
    <s v="392, LBS Marg"/>
    <x v="0"/>
    <x v="0"/>
    <s v="379669"/>
    <s v="9573383345"/>
    <s v="saanvi.iyer763@student.college.edu"/>
    <x v="3"/>
    <s v="CRS01"/>
    <x v="2"/>
    <x v="2"/>
    <n v="2"/>
    <x v="2"/>
  </r>
  <r>
    <s v="STU0449"/>
    <s v="Varun Iyer"/>
    <x v="0"/>
    <d v="2004-03-19T00:00:00"/>
    <s v="B-"/>
    <s v="Amrita Kumar"/>
    <s v="Ananya Patel"/>
    <s v="238, LBS Marg"/>
    <x v="8"/>
    <x v="5"/>
    <s v="174013"/>
    <s v="9963076151"/>
    <s v="varun.iyer98@student.college.edu"/>
    <x v="1"/>
    <s v="CRS03"/>
    <x v="4"/>
    <x v="1"/>
    <n v="4"/>
    <x v="4"/>
  </r>
  <r>
    <s v="STU0450"/>
    <s v="Kunal Iyer"/>
    <x v="1"/>
    <d v="1999-03-30T00:00:00"/>
    <s v="A+"/>
    <s v="Saanvi Patel"/>
    <s v="Sai Nair"/>
    <s v="425, Anna Salai"/>
    <x v="4"/>
    <x v="4"/>
    <s v="474919"/>
    <s v="9090342298"/>
    <s v="kunal.iyer427@gmail.com"/>
    <x v="0"/>
    <s v="CRS03"/>
    <x v="4"/>
    <x v="0"/>
    <n v="6"/>
    <x v="4"/>
  </r>
  <r>
    <s v="STU0451"/>
    <s v="Ananya Banerjee"/>
    <x v="0"/>
    <d v="2006-09-02T00:00:00"/>
    <s v="AB+"/>
    <s v="Kavya Patel"/>
    <s v="Kavya Verma"/>
    <s v="307, Park Street"/>
    <x v="3"/>
    <x v="3"/>
    <s v="336154"/>
    <s v="9032969969"/>
    <s v="ananya.banerjee488@gmail.com"/>
    <x v="0"/>
    <s v="CRS06"/>
    <x v="0"/>
    <x v="0"/>
    <n v="6"/>
    <x v="0"/>
  </r>
  <r>
    <s v="STU0452"/>
    <s v="Varun Reddy"/>
    <x v="1"/>
    <d v="2002-08-11T00:00:00"/>
    <s v="O+"/>
    <s v="Pooja Banerjee"/>
    <s v="Shreya Reddy"/>
    <s v="363, Ring Road"/>
    <x v="2"/>
    <x v="2"/>
    <s v="583831"/>
    <s v="9354997031"/>
    <s v="varun.reddy789@gmail.com"/>
    <x v="3"/>
    <s v="CRS06"/>
    <x v="0"/>
    <x v="2"/>
    <n v="2"/>
    <x v="0"/>
  </r>
  <r>
    <s v="STU0453"/>
    <s v="Leela Sharma"/>
    <x v="0"/>
    <d v="2001-10-07T00:00:00"/>
    <s v="B-"/>
    <s v="Rohan Banerjee"/>
    <s v="Aarav Iyer"/>
    <s v="183, LBS Marg"/>
    <x v="8"/>
    <x v="5"/>
    <s v="794382"/>
    <s v="9819620855"/>
    <s v="leela.sharma255@gmail.com"/>
    <x v="2"/>
    <s v="CRS05"/>
    <x v="5"/>
    <x v="2"/>
    <n v="2"/>
    <x v="5"/>
  </r>
  <r>
    <s v="STU0454"/>
    <s v="Kunal Reddy"/>
    <x v="1"/>
    <d v="2002-04-27T00:00:00"/>
    <s v="O-"/>
    <s v="Aarav Sharma"/>
    <s v="Harsha Banerjee"/>
    <s v="391, Charminar Rd"/>
    <x v="7"/>
    <x v="7"/>
    <s v="491655"/>
    <s v="9712274119"/>
    <s v="kunal.reddy127@student.college.edu"/>
    <x v="0"/>
    <s v="CRS08"/>
    <x v="7"/>
    <x v="0"/>
    <n v="6"/>
    <x v="7"/>
  </r>
  <r>
    <s v="STU0455"/>
    <s v="Diya Gupta"/>
    <x v="0"/>
    <d v="2007-01-30T00:00:00"/>
    <s v="O-"/>
    <s v="Ira Das"/>
    <s v="Aarav Banerjee"/>
    <s v="223, FC Road"/>
    <x v="8"/>
    <x v="5"/>
    <s v="380255"/>
    <s v="9807100159"/>
    <s v="diya.gupta241@student.college.edu"/>
    <x v="0"/>
    <s v="CRS06"/>
    <x v="0"/>
    <x v="0"/>
    <n v="6"/>
    <x v="0"/>
  </r>
  <r>
    <s v="STU0456"/>
    <s v="Ananya Verma"/>
    <x v="0"/>
    <d v="2002-11-08T00:00:00"/>
    <s v="A-"/>
    <s v="Neeraj Verma"/>
    <s v="Saanvi Patel"/>
    <s v="280, MG Road"/>
    <x v="6"/>
    <x v="6"/>
    <s v="631884"/>
    <s v="9192265082"/>
    <s v="ananya.verma44@student.college.edu"/>
    <x v="3"/>
    <s v="CRS03"/>
    <x v="4"/>
    <x v="2"/>
    <n v="2"/>
    <x v="4"/>
  </r>
  <r>
    <s v="STU0457"/>
    <s v="Leela Gupta"/>
    <x v="0"/>
    <d v="2002-08-01T00:00:00"/>
    <s v="O+"/>
    <s v="Ananya Patel"/>
    <s v="Neeraj Banerjee"/>
    <s v="344, Charminar Rd"/>
    <x v="3"/>
    <x v="3"/>
    <s v="466505"/>
    <s v="9250753812"/>
    <s v="leela.gupta550@student.college.edu"/>
    <x v="0"/>
    <s v="CRS05"/>
    <x v="5"/>
    <x v="0"/>
    <n v="6"/>
    <x v="5"/>
  </r>
  <r>
    <s v="STU0458"/>
    <s v="Nisha Iyer"/>
    <x v="0"/>
    <d v="2003-05-10T00:00:00"/>
    <s v="O-"/>
    <s v="Sai Reddy"/>
    <s v="Neeraj Rao"/>
    <s v="132, FC Road"/>
    <x v="7"/>
    <x v="7"/>
    <s v="836449"/>
    <s v="9672131927"/>
    <s v="nisha.iyer754@gmail.com"/>
    <x v="3"/>
    <s v="CRS05"/>
    <x v="5"/>
    <x v="2"/>
    <n v="2"/>
    <x v="5"/>
  </r>
  <r>
    <s v="STU0459"/>
    <s v="Diya Kumar"/>
    <x v="1"/>
    <d v="2006-04-07T00:00:00"/>
    <s v="A+"/>
    <s v="Harsha Reddy"/>
    <s v="Shreya Nair"/>
    <s v="112, MG Road"/>
    <x v="1"/>
    <x v="1"/>
    <s v="213477"/>
    <s v="9437945769"/>
    <s v="diya.kumar80@student.college.edu"/>
    <x v="2"/>
    <s v="CRS01"/>
    <x v="2"/>
    <x v="2"/>
    <n v="2"/>
    <x v="2"/>
  </r>
  <r>
    <s v="STU0460"/>
    <s v="Leela Sharma"/>
    <x v="0"/>
    <d v="1999-01-01T00:00:00"/>
    <s v="B-"/>
    <s v="Rahul Kumar"/>
    <s v="Ira Mukherjee"/>
    <s v="291, Park Street"/>
    <x v="1"/>
    <x v="1"/>
    <s v="369732"/>
    <s v="9620114999"/>
    <s v="leela.sharma124@student.college.edu"/>
    <x v="3"/>
    <s v="CRS01"/>
    <x v="2"/>
    <x v="2"/>
    <n v="2"/>
    <x v="2"/>
  </r>
  <r>
    <s v="STU0461"/>
    <s v="Kabir Verma"/>
    <x v="1"/>
    <d v="2001-08-19T00:00:00"/>
    <s v="A-"/>
    <s v="Riya Rao"/>
    <s v="Varun Das"/>
    <s v="140, Anna Salai"/>
    <x v="2"/>
    <x v="2"/>
    <s v="062330"/>
    <s v="9441086987"/>
    <s v="kabir.verma737@gmail.com"/>
    <x v="0"/>
    <s v="CRS01"/>
    <x v="2"/>
    <x v="0"/>
    <n v="6"/>
    <x v="2"/>
  </r>
  <r>
    <s v="STU0462"/>
    <s v="Tanvi Nair"/>
    <x v="1"/>
    <d v="2001-08-19T00:00:00"/>
    <s v="B-"/>
    <s v="Varun Kumar"/>
    <s v="Pooja Sharma"/>
    <s v="333, MG Road"/>
    <x v="6"/>
    <x v="6"/>
    <s v="577772"/>
    <s v="9038539753"/>
    <s v="tanvi.nair655@gmail.com"/>
    <x v="3"/>
    <s v="CRS07"/>
    <x v="1"/>
    <x v="2"/>
    <n v="2"/>
    <x v="1"/>
  </r>
  <r>
    <s v="STU0463"/>
    <s v="Diya Kumar"/>
    <x v="0"/>
    <d v="2007-08-09T00:00:00"/>
    <s v="O-"/>
    <s v="Rahul Gupta"/>
    <s v="Sujith Banerjee"/>
    <s v="385, LBS Marg"/>
    <x v="6"/>
    <x v="6"/>
    <s v="346833"/>
    <s v="9478105865"/>
    <s v="diya.kumar554@student.college.edu"/>
    <x v="3"/>
    <s v="CRS04"/>
    <x v="3"/>
    <x v="2"/>
    <n v="2"/>
    <x v="3"/>
  </r>
  <r>
    <s v="STU0464"/>
    <s v="Sujith Mukherjee"/>
    <x v="0"/>
    <d v="1999-12-01T00:00:00"/>
    <s v="O+"/>
    <s v="Sujith Patel"/>
    <s v="Amrita Verma"/>
    <s v="257, MG Road"/>
    <x v="0"/>
    <x v="0"/>
    <s v="525976"/>
    <s v="9743839582"/>
    <s v="sujith.mukherjee360@gmail.com"/>
    <x v="2"/>
    <s v="CRS04"/>
    <x v="3"/>
    <x v="2"/>
    <n v="2"/>
    <x v="3"/>
  </r>
  <r>
    <s v="STU0465"/>
    <s v="Harsha Banerjee"/>
    <x v="0"/>
    <d v="2000-09-29T00:00:00"/>
    <s v="B-"/>
    <s v="Sujith Mukherjee"/>
    <s v="Amrita Reddy"/>
    <s v="367, MG Road"/>
    <x v="0"/>
    <x v="0"/>
    <s v="496373"/>
    <s v="9269102286"/>
    <s v="harsha.banerjee69@gmail.com"/>
    <x v="2"/>
    <s v="CRS07"/>
    <x v="1"/>
    <x v="2"/>
    <n v="2"/>
    <x v="1"/>
  </r>
  <r>
    <s v="STU0466"/>
    <s v="Diya Banerjee"/>
    <x v="0"/>
    <d v="1999-02-13T00:00:00"/>
    <s v="O+"/>
    <s v="Varun Rao"/>
    <s v="Rahul Iyer"/>
    <s v="199, FC Road"/>
    <x v="3"/>
    <x v="3"/>
    <s v="454604"/>
    <s v="9030783506"/>
    <s v="diya.banerjee636@gmail.com"/>
    <x v="1"/>
    <s v="CRS01"/>
    <x v="2"/>
    <x v="1"/>
    <n v="4"/>
    <x v="2"/>
  </r>
  <r>
    <s v="STU0467"/>
    <s v="Ira Sharma"/>
    <x v="0"/>
    <d v="2007-07-07T00:00:00"/>
    <s v="AB+"/>
    <s v="Amrita Verma"/>
    <s v="Saanvi Nair"/>
    <s v="279, Brigade Road"/>
    <x v="4"/>
    <x v="4"/>
    <s v="779472"/>
    <s v="9903782401"/>
    <s v="ira.sharma884@student.college.edu"/>
    <x v="1"/>
    <s v="CRS02"/>
    <x v="6"/>
    <x v="1"/>
    <n v="4"/>
    <x v="6"/>
  </r>
  <r>
    <s v="STU0468"/>
    <s v="Priya Gupta"/>
    <x v="0"/>
    <d v="2002-01-30T00:00:00"/>
    <s v="O-"/>
    <s v="Varun Rao"/>
    <s v="Ira Das"/>
    <s v="335, MG Road"/>
    <x v="0"/>
    <x v="0"/>
    <s v="649212"/>
    <s v="9311814078"/>
    <s v="priya.gupta928@student.college.edu"/>
    <x v="1"/>
    <s v="CRS01"/>
    <x v="2"/>
    <x v="1"/>
    <n v="4"/>
    <x v="2"/>
  </r>
  <r>
    <s v="STU0469"/>
    <s v="Rahul Gupta"/>
    <x v="1"/>
    <d v="2002-10-24T00:00:00"/>
    <s v="A+"/>
    <s v="Leela Banerjee"/>
    <s v="Shreya Kumar"/>
    <s v="118, LBS Marg"/>
    <x v="9"/>
    <x v="0"/>
    <s v="119604"/>
    <s v="9747835404"/>
    <s v="rahul.gupta719@gmail.com"/>
    <x v="2"/>
    <s v="CRS02"/>
    <x v="6"/>
    <x v="2"/>
    <n v="2"/>
    <x v="6"/>
  </r>
  <r>
    <s v="STU0470"/>
    <s v="Kunal Banerjee"/>
    <x v="0"/>
    <d v="2004-04-28T00:00:00"/>
    <s v="A+"/>
    <s v="Ira Das"/>
    <s v="Surya Reddy"/>
    <s v="465, Park Street"/>
    <x v="1"/>
    <x v="1"/>
    <s v="156493"/>
    <s v="9207145211"/>
    <s v="kunal.banerjee719@gmail.com"/>
    <x v="0"/>
    <s v="CRS01"/>
    <x v="2"/>
    <x v="0"/>
    <n v="6"/>
    <x v="2"/>
  </r>
  <r>
    <s v="STU0471"/>
    <s v="Priya Sharma"/>
    <x v="1"/>
    <d v="2004-11-18T00:00:00"/>
    <s v="AB+"/>
    <s v="Tanvi Nair"/>
    <s v="Shreya Das"/>
    <s v="5, Anna Salai"/>
    <x v="7"/>
    <x v="7"/>
    <s v="988144"/>
    <s v="9036581158"/>
    <s v="priya.sharma70@gmail.com"/>
    <x v="2"/>
    <s v="CRS03"/>
    <x v="4"/>
    <x v="2"/>
    <n v="2"/>
    <x v="4"/>
  </r>
  <r>
    <s v="STU0472"/>
    <s v="Rohan Banerjee"/>
    <x v="0"/>
    <d v="2006-01-06T00:00:00"/>
    <s v="AB+"/>
    <s v="Diya Reddy"/>
    <s v="Sujith Nair"/>
    <s v="209, MG Road"/>
    <x v="1"/>
    <x v="1"/>
    <s v="870693"/>
    <s v="9687167867"/>
    <s v="rohan.banerjee162@student.college.edu"/>
    <x v="0"/>
    <s v="CRS08"/>
    <x v="7"/>
    <x v="0"/>
    <n v="6"/>
    <x v="7"/>
  </r>
  <r>
    <s v="STU0473"/>
    <s v="Neeraj Verma"/>
    <x v="0"/>
    <d v="2005-09-22T00:00:00"/>
    <s v="B-"/>
    <s v="Aarav Patel"/>
    <s v="Aditya Das"/>
    <s v="44, Park Street"/>
    <x v="7"/>
    <x v="7"/>
    <s v="226938"/>
    <s v="9698447855"/>
    <s v="neeraj.verma699@student.college.edu"/>
    <x v="0"/>
    <s v="CRS02"/>
    <x v="6"/>
    <x v="0"/>
    <n v="6"/>
    <x v="6"/>
  </r>
  <r>
    <s v="STU0474"/>
    <s v="Varun Kumar"/>
    <x v="0"/>
    <d v="2004-12-22T00:00:00"/>
    <s v="O-"/>
    <s v="Priya Rao"/>
    <s v="Harsha Verma"/>
    <s v="129, Anna Salai"/>
    <x v="3"/>
    <x v="3"/>
    <s v="529321"/>
    <s v="9913625616"/>
    <s v="varun.kumar806@student.college.edu"/>
    <x v="0"/>
    <s v="CRS04"/>
    <x v="3"/>
    <x v="0"/>
    <n v="6"/>
    <x v="3"/>
  </r>
  <r>
    <s v="STU0475"/>
    <s v="Tanvi Banerjee"/>
    <x v="0"/>
    <d v="2006-12-28T00:00:00"/>
    <s v="B+"/>
    <s v="Nisha Das"/>
    <s v="Ananya Reddy"/>
    <s v="409, LBS Marg"/>
    <x v="8"/>
    <x v="5"/>
    <s v="172256"/>
    <s v="9388337943"/>
    <s v="tanvi.banerjee261@student.college.edu"/>
    <x v="2"/>
    <s v="CRS07"/>
    <x v="1"/>
    <x v="2"/>
    <n v="2"/>
    <x v="1"/>
  </r>
  <r>
    <s v="STU0476"/>
    <s v="Sujith Das"/>
    <x v="0"/>
    <d v="1999-01-14T00:00:00"/>
    <s v="A-"/>
    <s v="Aditya Reddy"/>
    <s v="Pooja Nair"/>
    <s v="476, LBS Marg"/>
    <x v="3"/>
    <x v="3"/>
    <s v="542964"/>
    <s v="9143117900"/>
    <s v="sujith.das111@gmail.com"/>
    <x v="2"/>
    <s v="CRS07"/>
    <x v="1"/>
    <x v="2"/>
    <n v="2"/>
    <x v="1"/>
  </r>
  <r>
    <s v="STU0477"/>
    <s v="Ishaan Sharma"/>
    <x v="1"/>
    <d v="2005-05-09T00:00:00"/>
    <s v="AB+"/>
    <s v="Vihaan Sharma"/>
    <s v="Kabir Iyer"/>
    <s v="320, Anna Salai"/>
    <x v="6"/>
    <x v="6"/>
    <s v="226793"/>
    <s v="9205719350"/>
    <s v="ishaan.sharma165@student.college.edu"/>
    <x v="0"/>
    <s v="CRS08"/>
    <x v="7"/>
    <x v="0"/>
    <n v="6"/>
    <x v="7"/>
  </r>
  <r>
    <s v="STU0478"/>
    <s v="Kabir Verma"/>
    <x v="1"/>
    <d v="2003-07-23T00:00:00"/>
    <s v="A-"/>
    <s v="Rohan Reddy"/>
    <s v="Riya Rao"/>
    <s v="85, Park Street"/>
    <x v="3"/>
    <x v="3"/>
    <s v="123553"/>
    <s v="9210747363"/>
    <s v="kabir.verma555@gmail.com"/>
    <x v="1"/>
    <s v="CRS07"/>
    <x v="1"/>
    <x v="1"/>
    <n v="4"/>
    <x v="1"/>
  </r>
  <r>
    <s v="STU0479"/>
    <s v="Pooja Das"/>
    <x v="0"/>
    <d v="2002-08-12T00:00:00"/>
    <s v="O+"/>
    <s v="Aarav Kumar"/>
    <s v="Priya Rao"/>
    <s v="199, LBS Marg"/>
    <x v="4"/>
    <x v="4"/>
    <s v="376637"/>
    <s v="9234222640"/>
    <s v="pooja.das958@student.college.edu"/>
    <x v="2"/>
    <s v="CRS08"/>
    <x v="7"/>
    <x v="2"/>
    <n v="2"/>
    <x v="7"/>
  </r>
  <r>
    <s v="STU0480"/>
    <s v="Varun Sharma"/>
    <x v="0"/>
    <d v="2005-05-30T00:00:00"/>
    <s v="A+"/>
    <s v="Diya Iyer"/>
    <s v="Ira Sharma"/>
    <s v="252, Charminar Rd"/>
    <x v="6"/>
    <x v="6"/>
    <s v="022394"/>
    <s v="9186588937"/>
    <s v="varun.sharma93@student.college.edu"/>
    <x v="2"/>
    <s v="CRS05"/>
    <x v="5"/>
    <x v="2"/>
    <n v="2"/>
    <x v="5"/>
  </r>
  <r>
    <s v="STU0481"/>
    <s v="Aditya Das"/>
    <x v="0"/>
    <d v="2004-01-30T00:00:00"/>
    <s v="A+"/>
    <s v="Arjun Nair"/>
    <s v="Arjun Patel"/>
    <s v="143, Park Street"/>
    <x v="6"/>
    <x v="6"/>
    <s v="352006"/>
    <s v="9799159828"/>
    <s v="aditya.das201@student.college.edu"/>
    <x v="2"/>
    <s v="CRS05"/>
    <x v="5"/>
    <x v="2"/>
    <n v="2"/>
    <x v="5"/>
  </r>
  <r>
    <s v="STU0482"/>
    <s v="Sujith Gupta"/>
    <x v="1"/>
    <d v="2000-05-23T00:00:00"/>
    <s v="A-"/>
    <s v="Neeraj Kumar"/>
    <s v="Nisha Iyer"/>
    <s v="371, Park Street"/>
    <x v="8"/>
    <x v="5"/>
    <s v="208750"/>
    <s v="9501011885"/>
    <s v="sujith.gupta286@gmail.com"/>
    <x v="1"/>
    <s v="CRS03"/>
    <x v="4"/>
    <x v="1"/>
    <n v="4"/>
    <x v="4"/>
  </r>
  <r>
    <s v="STU0483"/>
    <s v="Varun Verma"/>
    <x v="1"/>
    <d v="2001-10-13T00:00:00"/>
    <s v="A-"/>
    <s v="Sai Banerjee"/>
    <s v="Kavya Sharma"/>
    <s v="35, Charminar Rd"/>
    <x v="1"/>
    <x v="1"/>
    <s v="254757"/>
    <s v="9846575842"/>
    <s v="varun.verma960@gmail.com"/>
    <x v="1"/>
    <s v="CRS03"/>
    <x v="4"/>
    <x v="1"/>
    <n v="4"/>
    <x v="4"/>
  </r>
  <r>
    <s v="STU0484"/>
    <s v="Pooja Sharma"/>
    <x v="1"/>
    <d v="1999-10-28T00:00:00"/>
    <s v="B+"/>
    <s v="Kavya Iyer"/>
    <s v="Sujith Nair"/>
    <s v="60, Charminar Rd"/>
    <x v="6"/>
    <x v="6"/>
    <s v="204727"/>
    <s v="9745717319"/>
    <s v="pooja.sharma926@gmail.com"/>
    <x v="1"/>
    <s v="CRS07"/>
    <x v="1"/>
    <x v="1"/>
    <n v="4"/>
    <x v="1"/>
  </r>
  <r>
    <s v="STU0485"/>
    <s v="Riya Mukherjee"/>
    <x v="0"/>
    <d v="2003-03-02T00:00:00"/>
    <s v="A-"/>
    <s v="Amrita Reddy"/>
    <s v="Riya Gupta"/>
    <s v="213, MG Road"/>
    <x v="5"/>
    <x v="5"/>
    <s v="892043"/>
    <s v="9645354984"/>
    <s v="riya.mukherjee361@gmail.com"/>
    <x v="0"/>
    <s v="CRS03"/>
    <x v="4"/>
    <x v="0"/>
    <n v="6"/>
    <x v="4"/>
  </r>
  <r>
    <s v="STU0486"/>
    <s v="Aarav Verma"/>
    <x v="1"/>
    <d v="2007-05-07T00:00:00"/>
    <s v="A-"/>
    <s v="Varun Das"/>
    <s v="Kunal Sharma"/>
    <s v="13, Ring Road"/>
    <x v="7"/>
    <x v="7"/>
    <s v="047462"/>
    <s v="9051447077"/>
    <s v="aarav.verma580@student.college.edu"/>
    <x v="1"/>
    <s v="CRS06"/>
    <x v="0"/>
    <x v="1"/>
    <n v="4"/>
    <x v="0"/>
  </r>
  <r>
    <s v="STU0487"/>
    <s v="Tanvi Mukherjee"/>
    <x v="0"/>
    <d v="2007-03-16T00:00:00"/>
    <s v="O+"/>
    <s v="Aditi Banerjee"/>
    <s v="Kunal Gupta"/>
    <s v="73, Ring Road"/>
    <x v="6"/>
    <x v="6"/>
    <s v="220014"/>
    <s v="9178459291"/>
    <s v="tanvi.mukherjee39@gmail.com"/>
    <x v="1"/>
    <s v="CRS02"/>
    <x v="6"/>
    <x v="1"/>
    <n v="4"/>
    <x v="6"/>
  </r>
  <r>
    <s v="STU0488"/>
    <s v="Rohan Kumar"/>
    <x v="1"/>
    <d v="2006-07-18T00:00:00"/>
    <s v="O-"/>
    <s v="Saanvi Verma"/>
    <s v="Aditya Banerjee"/>
    <s v="236, FC Road"/>
    <x v="7"/>
    <x v="7"/>
    <s v="892588"/>
    <s v="9365685687"/>
    <s v="rohan.kumar252@student.college.edu"/>
    <x v="2"/>
    <s v="CRS07"/>
    <x v="1"/>
    <x v="2"/>
    <n v="2"/>
    <x v="1"/>
  </r>
  <r>
    <s v="STU0489"/>
    <s v="Saanvi Nair"/>
    <x v="0"/>
    <d v="2004-09-15T00:00:00"/>
    <s v="O-"/>
    <s v="Rahul Kumar"/>
    <s v="Aditi Patel"/>
    <s v="27, Anna Salai"/>
    <x v="0"/>
    <x v="0"/>
    <s v="858294"/>
    <s v="9105374301"/>
    <s v="saanvi.nair493@student.college.edu"/>
    <x v="0"/>
    <s v="CRS01"/>
    <x v="2"/>
    <x v="0"/>
    <n v="6"/>
    <x v="2"/>
  </r>
  <r>
    <s v="STU0490"/>
    <s v="Meera Patel"/>
    <x v="0"/>
    <d v="2000-09-22T00:00:00"/>
    <s v="A-"/>
    <s v="Meera Kumar"/>
    <s v="Aarav Iyer"/>
    <s v="481, FC Road"/>
    <x v="3"/>
    <x v="3"/>
    <s v="284954"/>
    <s v="9826113300"/>
    <s v="meera.patel816@student.college.edu"/>
    <x v="1"/>
    <s v="CRS08"/>
    <x v="7"/>
    <x v="1"/>
    <n v="4"/>
    <x v="7"/>
  </r>
  <r>
    <s v="STU0491"/>
    <s v="Amrita Verma"/>
    <x v="0"/>
    <d v="2006-04-08T00:00:00"/>
    <s v="O-"/>
    <s v="Arjun Sharma"/>
    <s v="Aarav Kumar"/>
    <s v="91, MG Road"/>
    <x v="3"/>
    <x v="3"/>
    <s v="936835"/>
    <s v="9083059681"/>
    <s v="amrita.verma175@gmail.com"/>
    <x v="1"/>
    <s v="CRS02"/>
    <x v="6"/>
    <x v="1"/>
    <n v="4"/>
    <x v="6"/>
  </r>
  <r>
    <s v="STU0492"/>
    <s v="Kunal Rao"/>
    <x v="0"/>
    <d v="2005-11-25T00:00:00"/>
    <s v="B-"/>
    <s v="Sujith Das"/>
    <s v="Aditya Rao"/>
    <s v="146, Park Street"/>
    <x v="2"/>
    <x v="2"/>
    <s v="626606"/>
    <s v="9608668352"/>
    <s v="kunal.rao723@gmail.com"/>
    <x v="3"/>
    <s v="CRS05"/>
    <x v="5"/>
    <x v="2"/>
    <n v="2"/>
    <x v="5"/>
  </r>
  <r>
    <s v="STU0493"/>
    <s v="Tanvi Iyer"/>
    <x v="1"/>
    <d v="2001-09-12T00:00:00"/>
    <s v="B-"/>
    <s v="Riya Gupta"/>
    <s v="Varun Gupta"/>
    <s v="19, Brigade Road"/>
    <x v="9"/>
    <x v="0"/>
    <s v="191723"/>
    <s v="9324496673"/>
    <s v="tanvi.iyer727@student.college.edu"/>
    <x v="2"/>
    <s v="CRS06"/>
    <x v="0"/>
    <x v="2"/>
    <n v="2"/>
    <x v="0"/>
  </r>
  <r>
    <s v="STU0494"/>
    <s v="Sai Patel"/>
    <x v="1"/>
    <d v="2002-11-14T00:00:00"/>
    <s v="B-"/>
    <s v="Aditya Sharma"/>
    <s v="Vihaan Nair"/>
    <s v="200, Park Street"/>
    <x v="2"/>
    <x v="2"/>
    <s v="637313"/>
    <s v="9943956079"/>
    <s v="sai.patel426@student.college.edu"/>
    <x v="0"/>
    <s v="CRS03"/>
    <x v="4"/>
    <x v="0"/>
    <n v="6"/>
    <x v="4"/>
  </r>
  <r>
    <s v="STU0495"/>
    <s v="Vihaan Gupta"/>
    <x v="1"/>
    <d v="2004-10-01T00:00:00"/>
    <s v="B-"/>
    <s v="Kavya Kumar"/>
    <s v="Kunal Reddy"/>
    <s v="370, Park Street"/>
    <x v="1"/>
    <x v="1"/>
    <s v="767830"/>
    <s v="9485236755"/>
    <s v="vihaan.gupta911@student.college.edu"/>
    <x v="2"/>
    <s v="CRS08"/>
    <x v="7"/>
    <x v="2"/>
    <n v="2"/>
    <x v="7"/>
  </r>
  <r>
    <s v="STU0496"/>
    <s v="Aditi Rao"/>
    <x v="2"/>
    <d v="2002-04-03T00:00:00"/>
    <s v="AB+"/>
    <s v="Nisha Kumar"/>
    <s v="Vihaan Nair"/>
    <s v="171, MG Road"/>
    <x v="9"/>
    <x v="0"/>
    <s v="489962"/>
    <s v="9354360292"/>
    <s v="aditi.rao272@student.college.edu"/>
    <x v="3"/>
    <s v="CRS01"/>
    <x v="2"/>
    <x v="2"/>
    <n v="2"/>
    <x v="2"/>
  </r>
  <r>
    <s v="STU0497"/>
    <s v="Rohan Kumar"/>
    <x v="1"/>
    <d v="2003-06-15T00:00:00"/>
    <s v="A-"/>
    <s v="Aarav Patel"/>
    <s v="Vihaan Verma"/>
    <s v="411, Anna Salai"/>
    <x v="6"/>
    <x v="6"/>
    <s v="087777"/>
    <s v="9645557893"/>
    <s v="rohan.kumar744@gmail.com"/>
    <x v="3"/>
    <s v="CRS01"/>
    <x v="2"/>
    <x v="2"/>
    <n v="2"/>
    <x v="2"/>
  </r>
  <r>
    <s v="STU0498"/>
    <s v="Tanvi Patel"/>
    <x v="1"/>
    <d v="2002-09-08T00:00:00"/>
    <s v="A+"/>
    <s v="Harsha Reddy"/>
    <s v="Saanvi Sharma"/>
    <s v="51, Park Street"/>
    <x v="8"/>
    <x v="5"/>
    <s v="664921"/>
    <s v="9093550988"/>
    <s v="tanvi.patel4@student.college.edu"/>
    <x v="0"/>
    <s v="CRS03"/>
    <x v="4"/>
    <x v="0"/>
    <n v="6"/>
    <x v="4"/>
  </r>
  <r>
    <s v="STU0499"/>
    <s v="Kabir Kumar"/>
    <x v="0"/>
    <d v="2000-05-12T00:00:00"/>
    <s v="B-"/>
    <s v="Priya Das"/>
    <s v="Riya Das"/>
    <s v="63, LBS Marg"/>
    <x v="3"/>
    <x v="3"/>
    <s v="730185"/>
    <s v="9209870011"/>
    <s v="kabir.kumar835@student.college.edu"/>
    <x v="0"/>
    <s v="CRS01"/>
    <x v="2"/>
    <x v="0"/>
    <n v="6"/>
    <x v="2"/>
  </r>
  <r>
    <s v="STU0500"/>
    <s v="Ananya Patel"/>
    <x v="0"/>
    <d v="2000-02-29T00:00:00"/>
    <s v="O+"/>
    <s v="Pooja Das"/>
    <s v="Neeraj Patel"/>
    <s v="109, Park Street"/>
    <x v="2"/>
    <x v="2"/>
    <s v="770926"/>
    <s v="9947361040"/>
    <s v="ananya.patel364@student.college.edu"/>
    <x v="0"/>
    <s v="CRS06"/>
    <x v="0"/>
    <x v="0"/>
    <n v="6"/>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FAC001"/>
    <s v="Harsha Verma"/>
    <x v="0"/>
    <d v="1986-08-19T00:00:00"/>
    <x v="0"/>
    <x v="0"/>
    <s v="CRS04"/>
    <s v="BBA"/>
    <d v="2010-01-03T00:00:00"/>
    <x v="0"/>
    <s v="72, Brigade Road"/>
    <s v="Coimbatore"/>
    <x v="0"/>
    <s v="500265"/>
    <s v="9774428714"/>
    <s v="harsha.verma285@college.edu"/>
    <s v="A-"/>
  </r>
  <r>
    <s v="FAC002"/>
    <s v="Kabir Verma"/>
    <x v="1"/>
    <d v="1972-03-03T00:00:00"/>
    <x v="0"/>
    <x v="1"/>
    <s v="CRS06"/>
    <s v="B.Tech Civil"/>
    <d v="2018-07-17T00:00:00"/>
    <x v="1"/>
    <s v="136, MG Road"/>
    <s v="Ahmedabad"/>
    <x v="0"/>
    <s v="935868"/>
    <s v="9570220212"/>
    <s v="kabir.verma651@campus.edu"/>
    <s v="A-"/>
  </r>
  <r>
    <s v="FAC003"/>
    <s v="Diya Reddy"/>
    <x v="1"/>
    <d v="1975-12-28T00:00:00"/>
    <x v="1"/>
    <x v="2"/>
    <s v="CRS02"/>
    <s v="B.Com"/>
    <d v="2018-08-31T00:00:00"/>
    <x v="1"/>
    <s v="326, Park Street"/>
    <s v="Kolkata"/>
    <x v="1"/>
    <s v="139656"/>
    <s v="9872032298"/>
    <s v="diya.reddy323@college.edu"/>
    <s v="O+"/>
  </r>
  <r>
    <s v="FAC004"/>
    <s v="Ira Banerjee"/>
    <x v="1"/>
    <d v="1973-03-16T00:00:00"/>
    <x v="0"/>
    <x v="3"/>
    <s v="CRS03"/>
    <s v="B.A English"/>
    <d v="2010-07-14T00:00:00"/>
    <x v="2"/>
    <s v="382, Anna Salai"/>
    <s v="Coimbatore"/>
    <x v="2"/>
    <s v="832950"/>
    <s v="9016740395"/>
    <s v="ira.banerjee995@college.edu"/>
    <s v="O+"/>
  </r>
  <r>
    <s v="FAC005"/>
    <s v="Kabir Banerjee"/>
    <x v="2"/>
    <d v="1986-11-04T00:00:00"/>
    <x v="0"/>
    <x v="1"/>
    <s v="CRS06"/>
    <s v="B.Tech Civil"/>
    <d v="2007-07-03T00:00:00"/>
    <x v="3"/>
    <s v="151, Charminar Rd"/>
    <s v="Kochi"/>
    <x v="3"/>
    <s v="077975"/>
    <s v="9168513199"/>
    <s v="kabir.banerjee941@college.edu"/>
    <s v="AB+"/>
  </r>
  <r>
    <s v="FAC006"/>
    <s v="Saanvi Sharma"/>
    <x v="0"/>
    <d v="1990-11-03T00:00:00"/>
    <x v="0"/>
    <x v="4"/>
    <s v="CRS05"/>
    <s v="B.Tech Mechanical"/>
    <d v="2010-05-16T00:00:00"/>
    <x v="2"/>
    <s v="30, Ring Road"/>
    <s v="Coimbatore"/>
    <x v="0"/>
    <s v="040771"/>
    <s v="9452842572"/>
    <s v="saanvi.sharma320@campus.edu"/>
    <s v="O+"/>
  </r>
  <r>
    <s v="FAC007"/>
    <s v="Diya Kumar"/>
    <x v="2"/>
    <d v="1980-02-16T00:00:00"/>
    <x v="2"/>
    <x v="0"/>
    <s v="CRS04"/>
    <s v="BBA"/>
    <d v="2010-01-15T00:00:00"/>
    <x v="4"/>
    <s v="33, FC Road"/>
    <s v="Kolkata"/>
    <x v="1"/>
    <s v="507000"/>
    <s v="9352457852"/>
    <s v="diya.kumar485@campus.edu"/>
    <s v="A-"/>
  </r>
  <r>
    <s v="FAC008"/>
    <s v="Kabir Banerjee"/>
    <x v="1"/>
    <d v="1977-12-12T00:00:00"/>
    <x v="3"/>
    <x v="5"/>
    <s v="CRS07"/>
    <s v="B.Sc Physics"/>
    <d v="2015-06-23T00:00:00"/>
    <x v="5"/>
    <s v="443, MG Road"/>
    <s v="Bengaluru"/>
    <x v="4"/>
    <s v="438214"/>
    <s v="9422948509"/>
    <s v="kabir.banerjee857@college.edu"/>
    <s v="A+"/>
  </r>
  <r>
    <s v="FAC009"/>
    <s v="Sai Patel"/>
    <x v="1"/>
    <d v="1980-10-18T00:00:00"/>
    <x v="4"/>
    <x v="5"/>
    <s v="CRS07"/>
    <s v="B.Sc Physics"/>
    <d v="2006-04-26T00:00:00"/>
    <x v="3"/>
    <s v="85, Charminar Rd"/>
    <s v="Delhi"/>
    <x v="5"/>
    <s v="274499"/>
    <s v="9571295570"/>
    <s v="sai.patel599@campus.edu"/>
    <s v="AB+"/>
  </r>
  <r>
    <s v="FAC010"/>
    <s v="Sai Sharma"/>
    <x v="0"/>
    <d v="1971-10-19T00:00:00"/>
    <x v="5"/>
    <x v="3"/>
    <s v="CRS03"/>
    <s v="B.A English"/>
    <d v="2006-07-16T00:00:00"/>
    <x v="6"/>
    <s v="305, Brigade Road"/>
    <s v="Ahmedabad"/>
    <x v="2"/>
    <s v="182564"/>
    <s v="9559272362"/>
    <s v="sai.sharma324@college.edu"/>
    <s v="A+"/>
  </r>
  <r>
    <s v="FAC011"/>
    <s v="Kavya Rao"/>
    <x v="0"/>
    <d v="1971-08-24T00:00:00"/>
    <x v="6"/>
    <x v="0"/>
    <s v="CRS04"/>
    <s v="BBA"/>
    <d v="2016-05-07T00:00:00"/>
    <x v="7"/>
    <s v="136, Park Street"/>
    <s v="Chennai"/>
    <x v="0"/>
    <s v="831876"/>
    <s v="9960826911"/>
    <s v="kavya.rao110@college.edu"/>
    <s v="B+"/>
  </r>
  <r>
    <s v="FAC012"/>
    <s v="Kavya Reddy"/>
    <x v="1"/>
    <d v="1977-09-09T00:00:00"/>
    <x v="4"/>
    <x v="4"/>
    <s v="CRS05"/>
    <s v="B.Tech Mechanical"/>
    <d v="2016-05-03T00:00:00"/>
    <x v="8"/>
    <s v="251, Anna Salai"/>
    <s v="Chennai"/>
    <x v="0"/>
    <s v="680319"/>
    <s v="9147519610"/>
    <s v="kavya.reddy379@college.edu"/>
    <s v="B-"/>
  </r>
  <r>
    <s v="FAC013"/>
    <s v="Vihaan Nair"/>
    <x v="1"/>
    <d v="1990-03-01T00:00:00"/>
    <x v="5"/>
    <x v="6"/>
    <s v="CRS01"/>
    <s v="B.Sc Computer Science"/>
    <d v="2013-01-10T00:00:00"/>
    <x v="9"/>
    <s v="108, Ring Road"/>
    <s v="Hyderbad"/>
    <x v="6"/>
    <s v="784619"/>
    <s v="9898807398"/>
    <s v="vihaan.nair885@college.edu"/>
    <s v="B+"/>
  </r>
  <r>
    <s v="FAC014"/>
    <s v="Pooja Mukherjee"/>
    <x v="1"/>
    <d v="1978-07-31T00:00:00"/>
    <x v="5"/>
    <x v="6"/>
    <s v="CRS01"/>
    <s v="B.Sc Computer Science"/>
    <d v="2024-04-04T00:00:00"/>
    <x v="10"/>
    <s v="241, Ring Road"/>
    <s v="Kochi"/>
    <x v="3"/>
    <s v="388263"/>
    <s v="9207356830"/>
    <s v="pooja.mukherjee899@campus.edu"/>
    <s v="A-"/>
  </r>
  <r>
    <s v="FAC015"/>
    <s v="Kunal Sharma"/>
    <x v="0"/>
    <d v="1983-05-20T00:00:00"/>
    <x v="3"/>
    <x v="1"/>
    <s v="CRS06"/>
    <s v="B.Tech Civil"/>
    <d v="2021-05-05T00:00:00"/>
    <x v="11"/>
    <s v="403, FC Road"/>
    <s v="Pune"/>
    <x v="7"/>
    <s v="352709"/>
    <s v="9577630633"/>
    <s v="kunal.sharma869@college.edu"/>
    <s v="O+"/>
  </r>
  <r>
    <s v="FAC016"/>
    <s v="Priya Nair"/>
    <x v="1"/>
    <d v="1979-02-28T00:00:00"/>
    <x v="0"/>
    <x v="5"/>
    <s v="CRS07"/>
    <s v="B.Sc Physics"/>
    <d v="2020-08-21T00:00:00"/>
    <x v="12"/>
    <s v="152, Park Street"/>
    <s v="Ahmedabad"/>
    <x v="2"/>
    <s v="637154"/>
    <s v="9832763465"/>
    <s v="priya.nair813@college.edu"/>
    <s v="O+"/>
  </r>
  <r>
    <s v="FAC017"/>
    <s v="Rahul Das"/>
    <x v="0"/>
    <d v="1984-03-13T00:00:00"/>
    <x v="6"/>
    <x v="1"/>
    <s v="CRS06"/>
    <s v="B.Tech Civil"/>
    <d v="2007-02-05T00:00:00"/>
    <x v="3"/>
    <s v="420, Ring Road"/>
    <s v="Mumbai"/>
    <x v="7"/>
    <s v="810967"/>
    <s v="9485733168"/>
    <s v="rahul.das882@college.edu"/>
    <s v="O-"/>
  </r>
  <r>
    <s v="FAC018"/>
    <s v="Rohan Gupta"/>
    <x v="2"/>
    <d v="1981-08-14T00:00:00"/>
    <x v="3"/>
    <x v="6"/>
    <s v="CRS01"/>
    <s v="B.Sc Computer Science"/>
    <d v="2017-07-03T00:00:00"/>
    <x v="1"/>
    <s v="128, Brigade Road"/>
    <s v="Pune"/>
    <x v="7"/>
    <s v="869598"/>
    <s v="9675858742"/>
    <s v="rohan.gupta254@campus.edu"/>
    <s v="O-"/>
  </r>
  <r>
    <s v="FAC019"/>
    <s v="Saanvi Banerjee"/>
    <x v="0"/>
    <d v="1976-02-28T00:00:00"/>
    <x v="3"/>
    <x v="2"/>
    <s v="CRS02"/>
    <s v="B.Com"/>
    <d v="2021-01-02T00:00:00"/>
    <x v="13"/>
    <s v="147, Ring Road"/>
    <s v="Hyderbad"/>
    <x v="6"/>
    <s v="351267"/>
    <s v="9045424956"/>
    <s v="saanvi.banerjee878@campus.edu"/>
    <s v="B-"/>
  </r>
  <r>
    <s v="FAC020"/>
    <s v="Diya Nair"/>
    <x v="1"/>
    <d v="1989-02-21T00:00:00"/>
    <x v="5"/>
    <x v="7"/>
    <s v="CRS07"/>
    <s v="B.Sc Mathematics"/>
    <d v="2017-01-27T00:00:00"/>
    <x v="7"/>
    <s v="383, Ring Road"/>
    <s v="Kolkata"/>
    <x v="1"/>
    <s v="243677"/>
    <s v="9899595604"/>
    <s v="diya.nair888@campus.edu"/>
    <s v="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900-000001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rowHeaderCaption="Course Name">
  <location ref="A3:B12" firstHeaderRow="1" firstDataRow="1" firstDataCol="1"/>
  <pivotFields count="18">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4"/>
        <item x="6"/>
        <item x="2"/>
        <item x="7"/>
        <item x="1"/>
        <item x="0"/>
        <item x="5"/>
        <item x="3"/>
        <item t="default"/>
      </items>
    </pivotField>
    <pivotField showAll="0"/>
    <pivotField showAll="0"/>
  </pivotFields>
  <rowFields count="1">
    <field x="15"/>
  </rowFields>
  <rowItems count="9">
    <i>
      <x/>
    </i>
    <i>
      <x v="1"/>
    </i>
    <i>
      <x v="2"/>
    </i>
    <i>
      <x v="3"/>
    </i>
    <i>
      <x v="4"/>
    </i>
    <i>
      <x v="5"/>
    </i>
    <i>
      <x v="6"/>
    </i>
    <i>
      <x v="7"/>
    </i>
    <i t="grand">
      <x/>
    </i>
  </rowItems>
  <colItems count="1">
    <i/>
  </colItems>
  <dataFields count="1">
    <dataField name="Count of Student" fld="0" subtotal="count" baseField="15" baseItem="0"/>
  </dataFields>
  <chartFormats count="2">
    <chartFormat chart="19"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900-000002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State">
  <location ref="A53:B62" firstHeaderRow="1" firstDataRow="1" firstDataCol="1"/>
  <pivotFields count="18">
    <pivotField dataField="1" showAll="0"/>
    <pivotField showAll="0"/>
    <pivotField showAll="0"/>
    <pivotField numFmtId="164" showAll="0"/>
    <pivotField showAll="0"/>
    <pivotField showAll="0"/>
    <pivotField showAll="0"/>
    <pivotField showAll="0"/>
    <pivotField showAll="0">
      <items count="11">
        <item x="4"/>
        <item x="7"/>
        <item x="1"/>
        <item x="3"/>
        <item x="0"/>
        <item x="2"/>
        <item x="9"/>
        <item x="5"/>
        <item x="8"/>
        <item x="6"/>
        <item t="default"/>
      </items>
    </pivotField>
    <pivotField axis="axisRow" showAll="0">
      <items count="9">
        <item x="3"/>
        <item x="6"/>
        <item x="1"/>
        <item x="2"/>
        <item x="5"/>
        <item x="0"/>
        <item x="7"/>
        <item x="4"/>
        <item t="default"/>
      </items>
    </pivotField>
    <pivotField showAll="0"/>
    <pivotField showAll="0"/>
    <pivotField showAll="0"/>
    <pivotField showAll="0"/>
    <pivotField showAll="0"/>
    <pivotField showAll="0"/>
    <pivotField showAll="0"/>
    <pivotField showAll="0"/>
  </pivotFields>
  <rowFields count="1">
    <field x="9"/>
  </rowFields>
  <rowItems count="9">
    <i>
      <x/>
    </i>
    <i>
      <x v="1"/>
    </i>
    <i>
      <x v="2"/>
    </i>
    <i>
      <x v="3"/>
    </i>
    <i>
      <x v="4"/>
    </i>
    <i>
      <x v="5"/>
    </i>
    <i>
      <x v="6"/>
    </i>
    <i>
      <x v="7"/>
    </i>
    <i t="grand">
      <x/>
    </i>
  </rowItems>
  <colItems count="1">
    <i/>
  </colItems>
  <dataFields count="1">
    <dataField name="Count of Student" fld="0" subtotal="count" baseField="9"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22"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rowHeaderCaption="Event Type">
  <location ref="A4:B13" firstHeaderRow="1" firstDataRow="1" firstDataCol="1"/>
  <pivotFields count="10">
    <pivotField dataField="1" showAll="0"/>
    <pivotField showAll="0"/>
    <pivotField axis="axisRow" showAll="0">
      <items count="9">
        <item x="5"/>
        <item x="1"/>
        <item x="4"/>
        <item x="3"/>
        <item x="6"/>
        <item x="2"/>
        <item x="0"/>
        <item x="7"/>
        <item t="default"/>
      </items>
    </pivotField>
    <pivotField showAll="0">
      <items count="3">
        <item x="1"/>
        <item x="0"/>
        <item t="default"/>
      </items>
    </pivotField>
    <pivotField showAll="0"/>
    <pivotField numFmtId="164" showAll="0"/>
    <pivotField numFmtId="164" showAll="0"/>
    <pivotField showAll="0"/>
    <pivotField showAll="0">
      <items count="3">
        <item x="0"/>
        <item x="1"/>
        <item t="default"/>
      </items>
    </pivotField>
    <pivotField showAll="0"/>
  </pivotFields>
  <rowFields count="1">
    <field x="2"/>
  </rowFields>
  <rowItems count="9">
    <i>
      <x/>
    </i>
    <i>
      <x v="1"/>
    </i>
    <i>
      <x v="2"/>
    </i>
    <i>
      <x v="3"/>
    </i>
    <i>
      <x v="4"/>
    </i>
    <i>
      <x v="5"/>
    </i>
    <i>
      <x v="6"/>
    </i>
    <i>
      <x v="7"/>
    </i>
    <i t="grand">
      <x/>
    </i>
  </rowItems>
  <colItems count="1">
    <i/>
  </colItems>
  <dataFields count="1">
    <dataField name="Total Events" fld="0" subtotal="count" baseField="2"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3F0753-B0EA-49FD-B8C4-9F5687AC91C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Course">
  <location ref="D3:E12" firstHeaderRow="1" firstDataRow="1" firstDataCol="1"/>
  <pivotFields count="19">
    <pivotField dataField="1" showAll="0"/>
    <pivotField showAll="0"/>
    <pivotField showAll="0">
      <items count="4">
        <item x="0"/>
        <item x="1"/>
        <item x="2"/>
        <item t="default"/>
      </items>
    </pivotField>
    <pivotField numFmtId="164" showAll="0"/>
    <pivotField showAll="0"/>
    <pivotField showAll="0"/>
    <pivotField showAll="0"/>
    <pivotField showAll="0"/>
    <pivotField showAll="0"/>
    <pivotField showAll="0">
      <items count="9">
        <item x="3"/>
        <item x="6"/>
        <item x="1"/>
        <item x="2"/>
        <item x="5"/>
        <item x="0"/>
        <item x="7"/>
        <item x="4"/>
        <item t="default"/>
      </items>
    </pivotField>
    <pivotField showAll="0"/>
    <pivotField showAll="0"/>
    <pivotField showAll="0"/>
    <pivotField showAll="0"/>
    <pivotField showAll="0"/>
    <pivotField axis="axisRow" showAll="0">
      <items count="9">
        <item x="4"/>
        <item x="6"/>
        <item x="2"/>
        <item x="7"/>
        <item x="1"/>
        <item x="0"/>
        <item x="5"/>
        <item x="3"/>
        <item t="default"/>
      </items>
    </pivotField>
    <pivotField showAll="0">
      <items count="4">
        <item x="2"/>
        <item x="1"/>
        <item x="0"/>
        <item t="default"/>
      </items>
    </pivotField>
    <pivotField showAll="0"/>
    <pivotField showAll="0"/>
  </pivotFields>
  <rowFields count="1">
    <field x="15"/>
  </rowFields>
  <rowItems count="9">
    <i>
      <x/>
    </i>
    <i>
      <x v="1"/>
    </i>
    <i>
      <x v="2"/>
    </i>
    <i>
      <x v="3"/>
    </i>
    <i>
      <x v="4"/>
    </i>
    <i>
      <x v="5"/>
    </i>
    <i>
      <x v="6"/>
    </i>
    <i>
      <x v="7"/>
    </i>
    <i t="grand">
      <x/>
    </i>
  </rowItems>
  <colItems count="1">
    <i/>
  </colItems>
  <dataFields count="1">
    <dataField name="Total Students" fld="0" subtotal="count" baseField="0" baseItem="0"/>
  </dataFields>
  <chartFormats count="3">
    <chartFormat chart="14"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0FD955-9072-4ECA-9914-AC9CB253B91F}"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tate">
  <location ref="A3:B12" firstHeaderRow="1" firstDataRow="1" firstDataCol="1"/>
  <pivotFields count="19">
    <pivotField dataField="1" showAll="0"/>
    <pivotField showAll="0"/>
    <pivotField showAll="0">
      <items count="4">
        <item x="0"/>
        <item x="1"/>
        <item x="2"/>
        <item t="default"/>
      </items>
    </pivotField>
    <pivotField numFmtId="164" showAll="0"/>
    <pivotField showAll="0"/>
    <pivotField showAll="0"/>
    <pivotField showAll="0"/>
    <pivotField showAll="0"/>
    <pivotField showAll="0">
      <items count="11">
        <item x="6"/>
        <item x="1"/>
        <item x="0"/>
        <item x="9"/>
        <item x="3"/>
        <item x="7"/>
        <item x="2"/>
        <item x="4"/>
        <item x="8"/>
        <item x="5"/>
        <item t="default"/>
      </items>
    </pivotField>
    <pivotField axis="axisRow" showAll="0">
      <items count="9">
        <item x="3"/>
        <item x="6"/>
        <item x="1"/>
        <item x="2"/>
        <item x="5"/>
        <item x="0"/>
        <item x="7"/>
        <item x="4"/>
        <item t="default"/>
      </items>
    </pivotField>
    <pivotField showAll="0"/>
    <pivotField showAll="0"/>
    <pivotField showAll="0"/>
    <pivotField showAll="0">
      <items count="5">
        <item x="2"/>
        <item x="3"/>
        <item x="0"/>
        <item x="1"/>
        <item t="default"/>
      </items>
    </pivotField>
    <pivotField showAll="0"/>
    <pivotField showAll="0">
      <items count="9">
        <item x="4"/>
        <item x="6"/>
        <item x="2"/>
        <item x="7"/>
        <item x="1"/>
        <item x="0"/>
        <item x="5"/>
        <item x="3"/>
        <item t="default"/>
      </items>
    </pivotField>
    <pivotField showAll="0">
      <items count="4">
        <item x="2"/>
        <item x="1"/>
        <item x="0"/>
        <item t="default"/>
      </items>
    </pivotField>
    <pivotField showAll="0"/>
    <pivotField showAll="0"/>
  </pivotFields>
  <rowFields count="1">
    <field x="9"/>
  </rowFields>
  <rowItems count="9">
    <i>
      <x/>
    </i>
    <i>
      <x v="1"/>
    </i>
    <i>
      <x v="2"/>
    </i>
    <i>
      <x v="3"/>
    </i>
    <i>
      <x v="4"/>
    </i>
    <i>
      <x v="5"/>
    </i>
    <i>
      <x v="6"/>
    </i>
    <i>
      <x v="7"/>
    </i>
    <i t="grand">
      <x/>
    </i>
  </rowItems>
  <colItems count="1">
    <i/>
  </colItems>
  <dataFields count="1">
    <dataField name="Total Students"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94EE28-2E59-4760-8498-0F44FF76958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Gender">
  <location ref="G3:H7" firstHeaderRow="1" firstDataRow="1" firstDataCol="1"/>
  <pivotFields count="19">
    <pivotField dataField="1" showAll="0"/>
    <pivotField showAll="0"/>
    <pivotField axis="axisRow" showAll="0">
      <items count="4">
        <item x="0"/>
        <item x="1"/>
        <item x="2"/>
        <item t="default"/>
      </items>
    </pivotField>
    <pivotField numFmtId="164" showAll="0"/>
    <pivotField showAll="0"/>
    <pivotField showAll="0"/>
    <pivotField showAll="0"/>
    <pivotField showAll="0"/>
    <pivotField showAll="0"/>
    <pivotField showAll="0">
      <items count="9">
        <item x="3"/>
        <item x="6"/>
        <item x="1"/>
        <item x="2"/>
        <item x="5"/>
        <item x="0"/>
        <item x="7"/>
        <item x="4"/>
        <item t="default"/>
      </items>
    </pivotField>
    <pivotField showAll="0"/>
    <pivotField showAll="0"/>
    <pivotField showAll="0"/>
    <pivotField showAll="0">
      <items count="5">
        <item x="2"/>
        <item x="3"/>
        <item x="0"/>
        <item x="1"/>
        <item t="default"/>
      </items>
    </pivotField>
    <pivotField showAll="0"/>
    <pivotField showAll="0">
      <items count="9">
        <item x="4"/>
        <item x="6"/>
        <item x="2"/>
        <item x="7"/>
        <item x="1"/>
        <item x="0"/>
        <item x="5"/>
        <item x="3"/>
        <item t="default"/>
      </items>
    </pivotField>
    <pivotField showAll="0">
      <items count="4">
        <item x="2"/>
        <item x="1"/>
        <item x="0"/>
        <item t="default"/>
      </items>
    </pivotField>
    <pivotField showAll="0"/>
    <pivotField showAll="0"/>
  </pivotFields>
  <rowFields count="1">
    <field x="2"/>
  </rowFields>
  <rowItems count="4">
    <i>
      <x/>
    </i>
    <i>
      <x v="1"/>
    </i>
    <i>
      <x v="2"/>
    </i>
    <i t="grand">
      <x/>
    </i>
  </rowItems>
  <colItems count="1">
    <i/>
  </colItems>
  <dataFields count="1">
    <dataField name="Total Students" fld="0" subtotal="count"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2" count="1" selected="0">
            <x v="0"/>
          </reference>
        </references>
      </pivotArea>
    </chartFormat>
    <chartFormat chart="7" format="7">
      <pivotArea type="data" outline="0" fieldPosition="0">
        <references count="2">
          <reference field="4294967294" count="1" selected="0">
            <x v="0"/>
          </reference>
          <reference field="2" count="1" selected="0">
            <x v="1"/>
          </reference>
        </references>
      </pivotArea>
    </chartFormat>
    <chartFormat chart="7"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988259-4619-4395-9D4D-A30B1AF85B19}"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Year">
  <location ref="J3:K7" firstHeaderRow="1" firstDataRow="1" firstDataCol="1"/>
  <pivotFields count="19">
    <pivotField dataField="1" showAll="0"/>
    <pivotField showAll="0"/>
    <pivotField showAll="0">
      <items count="4">
        <item x="0"/>
        <item x="1"/>
        <item x="2"/>
        <item t="default"/>
      </items>
    </pivotField>
    <pivotField numFmtId="164" showAll="0"/>
    <pivotField showAll="0"/>
    <pivotField showAll="0"/>
    <pivotField showAll="0"/>
    <pivotField showAll="0"/>
    <pivotField showAll="0"/>
    <pivotField showAll="0">
      <items count="9">
        <item x="3"/>
        <item x="6"/>
        <item x="1"/>
        <item x="2"/>
        <item x="5"/>
        <item x="0"/>
        <item x="7"/>
        <item x="4"/>
        <item t="default"/>
      </items>
    </pivotField>
    <pivotField showAll="0"/>
    <pivotField showAll="0"/>
    <pivotField showAll="0"/>
    <pivotField showAll="0">
      <items count="5">
        <item x="2"/>
        <item x="3"/>
        <item x="0"/>
        <item x="1"/>
        <item t="default"/>
      </items>
    </pivotField>
    <pivotField showAll="0"/>
    <pivotField showAll="0">
      <items count="9">
        <item x="4"/>
        <item x="6"/>
        <item x="2"/>
        <item x="7"/>
        <item x="1"/>
        <item x="0"/>
        <item x="5"/>
        <item x="3"/>
        <item t="default"/>
      </items>
    </pivotField>
    <pivotField axis="axisRow" showAll="0">
      <items count="4">
        <item x="2"/>
        <item x="1"/>
        <item x="0"/>
        <item t="default"/>
      </items>
    </pivotField>
    <pivotField showAll="0"/>
    <pivotField showAll="0"/>
  </pivotFields>
  <rowFields count="1">
    <field x="16"/>
  </rowFields>
  <rowItems count="4">
    <i>
      <x/>
    </i>
    <i>
      <x v="1"/>
    </i>
    <i>
      <x v="2"/>
    </i>
    <i t="grand">
      <x/>
    </i>
  </rowItems>
  <colItems count="1">
    <i/>
  </colItems>
  <dataFields count="1">
    <dataField name="Total Students" fld="0" subtotal="count" baseField="0" baseItem="0"/>
  </dataFields>
  <chartFormats count="4">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6" count="1" selected="0">
            <x v="0"/>
          </reference>
        </references>
      </pivotArea>
    </chartFormat>
    <chartFormat chart="10" format="7">
      <pivotArea type="data" outline="0" fieldPosition="0">
        <references count="2">
          <reference field="4294967294" count="1" selected="0">
            <x v="0"/>
          </reference>
          <reference field="16" count="1" selected="0">
            <x v="1"/>
          </reference>
        </references>
      </pivotArea>
    </chartFormat>
    <chartFormat chart="10" format="8">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B054C5-844F-42F5-A436-820E16DC9FD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ender">
  <location ref="A3:B7" firstHeaderRow="1" firstDataRow="1" firstDataCol="1"/>
  <pivotFields count="17">
    <pivotField dataField="1" showAll="0"/>
    <pivotField showAll="0"/>
    <pivotField axis="axisRow" showAll="0">
      <items count="4">
        <item x="1"/>
        <item x="0"/>
        <item x="2"/>
        <item t="default"/>
      </items>
    </pivotField>
    <pivotField numFmtId="164" showAll="0"/>
    <pivotField showAll="0">
      <items count="8">
        <item x="5"/>
        <item x="1"/>
        <item x="4"/>
        <item x="3"/>
        <item x="0"/>
        <item x="6"/>
        <item x="2"/>
        <item t="default"/>
      </items>
    </pivotField>
    <pivotField showAll="0"/>
    <pivotField showAll="0"/>
    <pivotField showAll="0"/>
    <pivotField numFmtId="164" showAll="0"/>
    <pivotField showAll="0"/>
    <pivotField showAll="0"/>
    <pivotField showAll="0"/>
    <pivotField showAll="0">
      <items count="9">
        <item x="5"/>
        <item x="2"/>
        <item x="4"/>
        <item x="3"/>
        <item x="7"/>
        <item x="0"/>
        <item x="6"/>
        <item x="1"/>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Total Faculty" fld="0" subtotal="count" baseField="0" baseItem="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2" count="1" selected="0">
            <x v="0"/>
          </reference>
        </references>
      </pivotArea>
    </chartFormat>
    <chartFormat chart="8" format="7">
      <pivotArea type="data" outline="0" fieldPosition="0">
        <references count="2">
          <reference field="4294967294" count="1" selected="0">
            <x v="0"/>
          </reference>
          <reference field="2" count="1" selected="0">
            <x v="1"/>
          </reference>
        </references>
      </pivotArea>
    </chartFormat>
    <chartFormat chart="8"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423596-72F0-4A0E-93E9-567B7F5736E3}"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e">
  <location ref="G3:H12" firstHeaderRow="1" firstDataRow="1" firstDataCol="1"/>
  <pivotFields count="17">
    <pivotField dataField="1" showAll="0"/>
    <pivotField showAll="0"/>
    <pivotField showAll="0">
      <items count="4">
        <item x="1"/>
        <item x="0"/>
        <item x="2"/>
        <item t="default"/>
      </items>
    </pivotField>
    <pivotField numFmtId="164" showAll="0"/>
    <pivotField showAll="0">
      <items count="8">
        <item x="5"/>
        <item x="1"/>
        <item x="4"/>
        <item x="3"/>
        <item x="0"/>
        <item x="6"/>
        <item x="2"/>
        <item t="default"/>
      </items>
    </pivotField>
    <pivotField showAll="0"/>
    <pivotField showAll="0"/>
    <pivotField showAll="0"/>
    <pivotField numFmtId="164" showAll="0"/>
    <pivotField showAll="0"/>
    <pivotField showAll="0"/>
    <pivotField showAll="0"/>
    <pivotField axis="axisRow" showAll="0">
      <items count="9">
        <item x="5"/>
        <item x="2"/>
        <item x="4"/>
        <item x="3"/>
        <item x="7"/>
        <item x="0"/>
        <item x="6"/>
        <item x="1"/>
        <item t="default"/>
      </items>
    </pivotField>
    <pivotField showAll="0"/>
    <pivotField showAll="0"/>
    <pivotField showAll="0"/>
    <pivotField showAll="0"/>
  </pivotFields>
  <rowFields count="1">
    <field x="12"/>
  </rowFields>
  <rowItems count="9">
    <i>
      <x/>
    </i>
    <i>
      <x v="1"/>
    </i>
    <i>
      <x v="2"/>
    </i>
    <i>
      <x v="3"/>
    </i>
    <i>
      <x v="4"/>
    </i>
    <i>
      <x v="5"/>
    </i>
    <i>
      <x v="6"/>
    </i>
    <i>
      <x v="7"/>
    </i>
    <i t="grand">
      <x/>
    </i>
  </rowItems>
  <colItems count="1">
    <i/>
  </colItems>
  <dataFields count="1">
    <dataField name="Total Faculty"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78A356-8907-41BC-8EDC-6A1588A03A7E}"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Qualification">
  <location ref="D3:E11" firstHeaderRow="1" firstDataRow="1" firstDataCol="1"/>
  <pivotFields count="17">
    <pivotField dataField="1" showAll="0"/>
    <pivotField showAll="0"/>
    <pivotField showAll="0">
      <items count="4">
        <item x="1"/>
        <item x="0"/>
        <item x="2"/>
        <item t="default"/>
      </items>
    </pivotField>
    <pivotField numFmtId="164" showAll="0"/>
    <pivotField axis="axisRow" showAll="0">
      <items count="8">
        <item x="5"/>
        <item x="1"/>
        <item x="4"/>
        <item x="3"/>
        <item x="0"/>
        <item x="6"/>
        <item x="2"/>
        <item t="default"/>
      </items>
    </pivotField>
    <pivotField showAll="0"/>
    <pivotField showAll="0"/>
    <pivotField showAll="0"/>
    <pivotField numFmtId="164" showAll="0"/>
    <pivotField showAll="0"/>
    <pivotField showAll="0"/>
    <pivotField showAll="0"/>
    <pivotField showAll="0">
      <items count="9">
        <item x="5"/>
        <item x="2"/>
        <item x="4"/>
        <item x="3"/>
        <item x="7"/>
        <item x="0"/>
        <item x="6"/>
        <item x="1"/>
        <item t="default"/>
      </items>
    </pivotField>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Total Faculty" fld="0" subtotal="count" baseField="0" baseItem="0"/>
  </dataFields>
  <chartFormats count="2">
    <chartFormat chart="10"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A1437E0-353F-4546-884A-A8E70B8F9A73}"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ourse">
  <location ref="D17:E26" firstHeaderRow="1" firstDataRow="1" firstDataCol="1"/>
  <pivotFields count="19">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4"/>
        <item x="6"/>
        <item x="2"/>
        <item x="7"/>
        <item x="1"/>
        <item x="0"/>
        <item x="5"/>
        <item x="3"/>
        <item t="default"/>
      </items>
    </pivotField>
    <pivotField showAll="0"/>
    <pivotField showAll="0"/>
    <pivotField showAll="0">
      <items count="9">
        <item x="0"/>
        <item x="6"/>
        <item x="2"/>
        <item x="4"/>
        <item x="3"/>
        <item x="7"/>
        <item x="5"/>
        <item x="1"/>
        <item t="default"/>
      </items>
    </pivotField>
  </pivotFields>
  <rowFields count="1">
    <field x="15"/>
  </rowFields>
  <rowItems count="9">
    <i>
      <x/>
    </i>
    <i>
      <x v="1"/>
    </i>
    <i>
      <x v="2"/>
    </i>
    <i>
      <x v="3"/>
    </i>
    <i>
      <x v="4"/>
    </i>
    <i>
      <x v="5"/>
    </i>
    <i>
      <x v="6"/>
    </i>
    <i>
      <x v="7"/>
    </i>
    <i t="grand">
      <x/>
    </i>
  </rowItems>
  <colItems count="1">
    <i/>
  </colItems>
  <dataFields count="1">
    <dataField name="Total Students" fld="0" subtotal="count"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B707BFF-AAD6-4036-8C9B-7196C07ABF8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partment">
  <location ref="A17:B26" firstHeaderRow="1" firstDataRow="1" firstDataCol="1"/>
  <pivotFields count="19">
    <pivotField dataField="1"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items count="9">
        <item x="4"/>
        <item x="6"/>
        <item x="2"/>
        <item x="7"/>
        <item x="1"/>
        <item x="0"/>
        <item x="5"/>
        <item x="3"/>
        <item t="default"/>
      </items>
    </pivotField>
    <pivotField showAll="0"/>
    <pivotField showAll="0"/>
    <pivotField axis="axisRow" showAll="0">
      <items count="9">
        <item x="0"/>
        <item x="6"/>
        <item x="2"/>
        <item x="4"/>
        <item x="3"/>
        <item x="7"/>
        <item x="5"/>
        <item x="1"/>
        <item t="default"/>
      </items>
    </pivotField>
  </pivotFields>
  <rowFields count="1">
    <field x="18"/>
  </rowFields>
  <rowItems count="9">
    <i>
      <x/>
    </i>
    <i>
      <x v="1"/>
    </i>
    <i>
      <x v="2"/>
    </i>
    <i>
      <x v="3"/>
    </i>
    <i>
      <x v="4"/>
    </i>
    <i>
      <x v="5"/>
    </i>
    <i>
      <x v="6"/>
    </i>
    <i>
      <x v="7"/>
    </i>
    <i t="grand">
      <x/>
    </i>
  </rowItems>
  <colItems count="1">
    <i/>
  </colItems>
  <dataFields count="1">
    <dataField name="Total Students"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5476C1E-14A8-4FD4-8439-B7625E0211BF}"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4:B13" firstHeaderRow="1" firstDataRow="1" firstDataCol="1"/>
  <pivotFields count="17">
    <pivotField showAll="0"/>
    <pivotField showAll="0"/>
    <pivotField showAll="0"/>
    <pivotField numFmtId="164" showAll="0"/>
    <pivotField showAll="0"/>
    <pivotField axis="axisRow" showAll="0">
      <items count="9">
        <item x="1"/>
        <item x="2"/>
        <item x="6"/>
        <item x="3"/>
        <item x="0"/>
        <item x="7"/>
        <item x="4"/>
        <item x="5"/>
        <item t="default"/>
      </items>
    </pivotField>
    <pivotField showAll="0"/>
    <pivotField showAll="0"/>
    <pivotField numFmtId="164" showAll="0"/>
    <pivotField dataField="1" showAll="0"/>
    <pivotField showAll="0"/>
    <pivotField showAll="0"/>
    <pivotField showAll="0"/>
    <pivotField showAll="0"/>
    <pivotField showAll="0"/>
    <pivotField showAll="0"/>
    <pivotField showAll="0"/>
  </pivotFields>
  <rowFields count="1">
    <field x="5"/>
  </rowFields>
  <rowItems count="9">
    <i>
      <x/>
    </i>
    <i>
      <x v="1"/>
    </i>
    <i>
      <x v="2"/>
    </i>
    <i>
      <x v="3"/>
    </i>
    <i>
      <x v="4"/>
    </i>
    <i>
      <x v="5"/>
    </i>
    <i>
      <x v="6"/>
    </i>
    <i>
      <x v="7"/>
    </i>
    <i t="grand">
      <x/>
    </i>
  </rowItems>
  <colItems count="1">
    <i/>
  </colItems>
  <dataFields count="1">
    <dataField name="Average of ExperienceYears" fld="9" subtotal="average" baseField="5"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DC3DD31-26CE-45BB-9A3B-E6210432E986}"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rowHeaderCaption="Organizer Type">
  <location ref="A3:B6" firstHeaderRow="1" firstDataRow="1" firstDataCol="1"/>
  <pivotFields count="10">
    <pivotField dataField="1" showAll="0"/>
    <pivotField showAll="0"/>
    <pivotField showAll="0">
      <items count="9">
        <item x="5"/>
        <item x="1"/>
        <item x="4"/>
        <item x="3"/>
        <item x="6"/>
        <item x="2"/>
        <item x="0"/>
        <item x="7"/>
        <item t="default"/>
      </items>
    </pivotField>
    <pivotField axis="axisRow" showAll="0">
      <items count="3">
        <item x="1"/>
        <item x="0"/>
        <item t="default"/>
      </items>
    </pivotField>
    <pivotField showAll="0"/>
    <pivotField numFmtId="164" showAll="0"/>
    <pivotField numFmtId="164" showAll="0"/>
    <pivotField showAll="0"/>
    <pivotField showAll="0">
      <items count="3">
        <item x="0"/>
        <item x="1"/>
        <item t="default"/>
      </items>
    </pivotField>
    <pivotField showAll="0"/>
  </pivotFields>
  <rowFields count="1">
    <field x="3"/>
  </rowFields>
  <rowItems count="3">
    <i>
      <x/>
    </i>
    <i>
      <x v="1"/>
    </i>
    <i t="grand">
      <x/>
    </i>
  </rowItems>
  <colItems count="1">
    <i/>
  </colItems>
  <dataFields count="1">
    <dataField name="Total Events" fld="0" subtotal="count" baseField="0" baseItem="0"/>
  </dataField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3" count="1" selected="0">
            <x v="0"/>
          </reference>
        </references>
      </pivotArea>
    </chartFormat>
    <chartFormat chart="11"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742FF48-1F33-41BF-A0A5-E7DD7ADC9D4B}" name="PivotTable5"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rowHeaderCaption="Academic Year">
  <location ref="G3:H6" firstHeaderRow="1" firstDataRow="1" firstDataCol="1"/>
  <pivotFields count="10">
    <pivotField showAll="0"/>
    <pivotField showAll="0"/>
    <pivotField showAll="0">
      <items count="9">
        <item x="5"/>
        <item x="1"/>
        <item x="4"/>
        <item x="3"/>
        <item x="6"/>
        <item x="2"/>
        <item x="0"/>
        <item x="7"/>
        <item t="default"/>
      </items>
    </pivotField>
    <pivotField showAll="0"/>
    <pivotField showAll="0"/>
    <pivotField numFmtId="164" showAll="0"/>
    <pivotField numFmtId="164" showAll="0"/>
    <pivotField showAll="0"/>
    <pivotField axis="axisRow" showAll="0">
      <items count="3">
        <item x="0"/>
        <item x="1"/>
        <item t="default"/>
      </items>
    </pivotField>
    <pivotField dataField="1" showAll="0"/>
  </pivotFields>
  <rowFields count="1">
    <field x="8"/>
  </rowFields>
  <rowItems count="3">
    <i>
      <x/>
    </i>
    <i>
      <x v="1"/>
    </i>
    <i t="grand">
      <x/>
    </i>
  </rowItems>
  <colItems count="1">
    <i/>
  </colItems>
  <dataFields count="1">
    <dataField name="Total Budget" fld="9"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52E3DF0-1E7F-413C-BBBE-D2894713F24E}" name="PivotTable4"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rowHeaderCaption="Event Type">
  <location ref="D3:E12" firstHeaderRow="1" firstDataRow="1" firstDataCol="1"/>
  <pivotFields count="10">
    <pivotField dataField="1" showAll="0"/>
    <pivotField showAll="0"/>
    <pivotField axis="axisRow" showAll="0">
      <items count="9">
        <item x="5"/>
        <item x="1"/>
        <item x="4"/>
        <item x="3"/>
        <item x="6"/>
        <item x="2"/>
        <item x="0"/>
        <item x="7"/>
        <item t="default"/>
      </items>
    </pivotField>
    <pivotField showAll="0">
      <items count="3">
        <item x="1"/>
        <item x="0"/>
        <item t="default"/>
      </items>
    </pivotField>
    <pivotField showAll="0"/>
    <pivotField numFmtId="164" showAll="0"/>
    <pivotField numFmtId="164" showAll="0"/>
    <pivotField showAll="0"/>
    <pivotField showAll="0">
      <items count="3">
        <item x="0"/>
        <item x="1"/>
        <item t="default"/>
      </items>
    </pivotField>
    <pivotField showAll="0"/>
  </pivotFields>
  <rowFields count="1">
    <field x="2"/>
  </rowFields>
  <rowItems count="9">
    <i>
      <x/>
    </i>
    <i>
      <x v="1"/>
    </i>
    <i>
      <x v="2"/>
    </i>
    <i>
      <x v="3"/>
    </i>
    <i>
      <x v="4"/>
    </i>
    <i>
      <x v="5"/>
    </i>
    <i>
      <x v="6"/>
    </i>
    <i>
      <x v="7"/>
    </i>
    <i t="grand">
      <x/>
    </i>
  </rowItems>
  <colItems count="1">
    <i/>
  </colItems>
  <dataFields count="1">
    <dataField name="Total Events" fld="0" subtotal="count"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DA643FA-4911-4C7E-B1A9-170DFDC482C7}" sourceName="Gender">
  <pivotTables>
    <pivotTable tabId="21" name="PivotTable4"/>
    <pivotTable tabId="21" name="PivotTable5"/>
    <pivotTable tabId="21" name="PivotTable6"/>
    <pivotTable tabId="21" name="PivotTable7"/>
  </pivotTables>
  <data>
    <tabular pivotCacheId="66385772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444FCBC-0D34-480C-B905-688849ECA910}" sourceName="State">
  <pivotTables>
    <pivotTable tabId="21" name="PivotTable4"/>
    <pivotTable tabId="21" name="PivotTable5"/>
    <pivotTable tabId="21" name="PivotTable6"/>
    <pivotTable tabId="21" name="PivotTable7"/>
  </pivotTables>
  <data>
    <tabular pivotCacheId="663857727">
      <items count="8">
        <i x="3" s="1"/>
        <i x="6" s="1"/>
        <i x="1" s="1"/>
        <i x="2" s="1"/>
        <i x="5" s="1"/>
        <i x="0" s="1"/>
        <i x="7"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Name" xr10:uid="{20040D22-301F-420F-B6B0-0CE67A928F52}" sourceName="CourseName">
  <pivotTables>
    <pivotTable tabId="21" name="PivotTable4"/>
    <pivotTable tabId="21" name="PivotTable5"/>
    <pivotTable tabId="21" name="PivotTable6"/>
    <pivotTable tabId="21" name="PivotTable7"/>
  </pivotTables>
  <data>
    <tabular pivotCacheId="663857727">
      <items count="8">
        <i x="4" s="1"/>
        <i x="6" s="1"/>
        <i x="2" s="1"/>
        <i x="7" s="1"/>
        <i x="1" s="1"/>
        <i x="0" s="1"/>
        <i x="5"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54854139-85CC-4C67-971D-1A0F01A3C84B}" sourceName="Gender">
  <pivotTables>
    <pivotTable tabId="25" name="PivotTable3"/>
    <pivotTable tabId="25" name="PivotTable1"/>
    <pivotTable tabId="25" name="PivotTable2"/>
  </pivotTables>
  <data>
    <tabular pivotCacheId="1776579359">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lification" xr10:uid="{3851291C-3F58-4735-879C-A00AE9770D19}" sourceName="Qualification">
  <pivotTables>
    <pivotTable tabId="25" name="PivotTable3"/>
    <pivotTable tabId="25" name="PivotTable1"/>
    <pivotTable tabId="25" name="PivotTable2"/>
  </pivotTables>
  <data>
    <tabular pivotCacheId="1776579359">
      <items count="7">
        <i x="5" s="1"/>
        <i x="1" s="1"/>
        <i x="4" s="1"/>
        <i x="3" s="1"/>
        <i x="0" s="1"/>
        <i x="6"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76180DC8-1775-4F57-9E77-D991C84ED4E6}" sourceName="State">
  <pivotTables>
    <pivotTable tabId="25" name="PivotTable3"/>
    <pivotTable tabId="25" name="PivotTable1"/>
    <pivotTable tabId="25" name="PivotTable2"/>
  </pivotTables>
  <data>
    <tabular pivotCacheId="1776579359">
      <items count="8">
        <i x="5" s="1"/>
        <i x="2" s="1"/>
        <i x="4" s="1"/>
        <i x="3" s="1"/>
        <i x="7" s="1"/>
        <i x="0" s="1"/>
        <i x="6"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Type" xr10:uid="{83206B31-562F-4E66-8047-767DF3060BC4}" sourceName="EventType">
  <pivotTables>
    <pivotTable tabId="28" name="PivotTable3"/>
    <pivotTable tabId="16" name="PivotTable22"/>
    <pivotTable tabId="28" name="PivotTable4"/>
  </pivotTables>
  <data>
    <tabular pivotCacheId="1727331563">
      <items count="8">
        <i x="5" s="1"/>
        <i x="1" s="1"/>
        <i x="4" s="1"/>
        <i x="3" s="1"/>
        <i x="6" s="1"/>
        <i x="2" s="1"/>
        <i x="0" s="1"/>
        <i x="7"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ganizerType" xr10:uid="{BAF50368-5583-4A70-8DC4-3308BF80D12E}" sourceName="OrganizerType">
  <pivotTables>
    <pivotTable tabId="28" name="PivotTable3"/>
    <pivotTable tabId="16" name="PivotTable22"/>
    <pivotTable tabId="28" name="PivotTable4"/>
  </pivotTables>
  <data>
    <tabular pivotCacheId="1727331563">
      <items count="2">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Year" xr10:uid="{9BE0CF3E-9DF2-4F5E-834A-30C92BECEC5A}" sourceName="AcademicYear">
  <pivotTables>
    <pivotTable tabId="28" name="PivotTable3"/>
    <pivotTable tabId="16" name="PivotTable22"/>
    <pivotTable tabId="28" name="PivotTable4"/>
  </pivotTables>
  <data>
    <tabular pivotCacheId="1727331563">
      <items count="2">
        <i x="0"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Name1" xr10:uid="{3D1F8446-BE7B-4251-8F18-F9333C6DD647}" sourceName="CourseName">
  <pivotTables>
    <pivotTable tabId="29" name="PivotTable4"/>
    <pivotTable tabId="29" name="PivotTable5"/>
  </pivotTables>
  <data>
    <tabular pivotCacheId="663857727">
      <items count="8">
        <i x="4" s="1"/>
        <i x="6" s="1"/>
        <i x="2" s="1"/>
        <i x="7" s="1"/>
        <i x="1" s="1"/>
        <i x="0" s="1"/>
        <i x="5" s="1"/>
        <i x="3"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1ABC412-7061-49C0-8601-3ED958E89377}" sourceName="Department">
  <pivotTables>
    <pivotTable tabId="29" name="PivotTable4"/>
    <pivotTable tabId="29" name="PivotTable5"/>
  </pivotTables>
  <data>
    <tabular pivotCacheId="663857727">
      <items count="8">
        <i x="0" s="1"/>
        <i x="6" s="1"/>
        <i x="2" s="1"/>
        <i x="4" s="1"/>
        <i x="3" s="1"/>
        <i x="7"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6C99B1B-F27F-445F-A4B7-A20805E131A5}" cache="Slicer_Gender" caption="Gender" rowHeight="241300"/>
  <slicer name="State" xr10:uid="{333363BD-152A-431B-AF57-7CDA13B66E66}" cache="Slicer_State" caption="State" rowHeight="241300"/>
  <slicer name="CourseName" xr10:uid="{ACF24EFF-E445-4813-A357-B67C9FFD4298}" cache="Slicer_CourseName" caption="Course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DB90B7E-E43F-4619-85F6-0E9903553122}" cache="Slicer_Gender1" caption="Gender" rowHeight="241300"/>
  <slicer name="Qualification" xr10:uid="{1CFF7389-EBF8-4DAA-AACB-4D000A832394}" cache="Slicer_Qualification" caption="Qualification" rowHeight="241300"/>
  <slicer name="State 1" xr10:uid="{A244C71B-ADBD-4D6F-BE8B-8766FF8B6F59}" cache="Slicer_State1" caption="Stat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Name 1" xr10:uid="{5EB9D755-28B4-4B31-B284-5FD6A0AB3907}" cache="Slicer_CourseName1" caption="CourseName" rowHeight="241300"/>
  <slicer name="Department" xr10:uid="{4BF2380A-4693-4B0E-91DC-C0293CED5DEA}" cache="Slicer_Department" caption="Department"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ventType" xr10:uid="{8C3FEC13-8B04-4C0D-8692-664204F0CCA8}" cache="Slicer_EventType" caption="EventType" rowHeight="241300"/>
  <slicer name="OrganizerType" xr10:uid="{D3527628-508C-418B-AC7D-688ACF5097EB}" cache="Slicer_OrganizerType" caption="OrganizerType" rowHeight="241300"/>
  <slicer name="AcademicYear" xr10:uid="{328CFF42-CD81-49AB-B8E4-C4712CEEC7E6}" cache="Slicer_AcademicYear" caption="Academic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1" displayName="Table1" ref="A22:B24" totalsRowShown="0" headerRowDxfId="35">
  <autoFilter ref="A22:B24" xr:uid="{00000000-0009-0000-0100-000001000000}"/>
  <tableColumns count="2">
    <tableColumn id="1" xr3:uid="{00000000-0010-0000-0300-000001000000}" name="Result"/>
    <tableColumn id="2" xr3:uid="{00000000-0010-0000-0300-000002000000}" name="Value">
      <calculatedColumnFormula>COUNTIF('Semester Results'!I:I,A23)</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A36:B39" totalsRowShown="0">
  <autoFilter ref="A36:B39" xr:uid="{00000000-0009-0000-0100-000002000000}"/>
  <tableColumns count="2">
    <tableColumn id="1" xr3:uid="{00000000-0010-0000-0400-000001000000}" name="Year"/>
    <tableColumn id="2" xr3:uid="{00000000-0010-0000-0400-000002000000}" name="Student Count">
      <calculatedColumnFormula>COUNTIF('Students Master'!Q:Q,A37)</calculatedColumnFormula>
    </tableColumn>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Table3" displayName="Table3" ref="A71:B74" totalsRowShown="0" headerRowDxfId="34">
  <autoFilter ref="A71:B74" xr:uid="{00000000-0009-0000-0100-000003000000}"/>
  <tableColumns count="2">
    <tableColumn id="1" xr3:uid="{00000000-0010-0000-0500-000001000000}" name="Gender"/>
    <tableColumn id="2" xr3:uid="{00000000-0010-0000-0500-000002000000}" name="Count of Student">
      <calculatedColumnFormula>COUNTIF('Students Master'!C:C,A72)</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6000000}" name="Table14" displayName="Table14" ref="A88:B96" totalsRowShown="0" headerRowDxfId="33" headerRowBorderDxfId="32" tableBorderDxfId="31">
  <autoFilter ref="A88:B96" xr:uid="{00000000-0009-0000-0100-00000E000000}"/>
  <tableColumns count="2">
    <tableColumn id="1" xr3:uid="{00000000-0010-0000-0600-000001000000}" name="State"/>
    <tableColumn id="2" xr3:uid="{00000000-0010-0000-0600-000002000000}" name="Count of Student">
      <calculatedColumnFormula>COUNTIF('Students Master'!J:J,A89)</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7000000}" name="Table4" displayName="Table4" ref="A1:C21" totalsRowShown="0" headerRowDxfId="30" headerRowBorderDxfId="29" tableBorderDxfId="28">
  <autoFilter ref="A1:C21" xr:uid="{00000000-0009-0000-0100-000004000000}"/>
  <tableColumns count="3">
    <tableColumn id="1" xr3:uid="{00000000-0010-0000-0700-000001000000}" name="Faculty ID"/>
    <tableColumn id="2" xr3:uid="{00000000-0010-0000-0700-000002000000}" name="Faculty Name"/>
    <tableColumn id="3" xr3:uid="{00000000-0010-0000-0700-000003000000}" name="Subject Count">
      <calculatedColumnFormula>COUNTIF('Faculty-Subject Map'!B:B,A2)</calculatedColumnFormula>
    </tableColumn>
  </tableColumns>
  <tableStyleInfo name="TableStyleLight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8000000}" name="Table5" displayName="Table5" ref="A25:B32" totalsRowShown="0" headerRowDxfId="27" headerRowBorderDxfId="26" tableBorderDxfId="25">
  <autoFilter ref="A25:B32" xr:uid="{00000000-0009-0000-0100-000005000000}"/>
  <tableColumns count="2">
    <tableColumn id="1" xr3:uid="{00000000-0010-0000-0800-000001000000}" name="Qualification"/>
    <tableColumn id="2" xr3:uid="{00000000-0010-0000-0800-000002000000}" name="Faculty count">
      <calculatedColumnFormula>COUNTIF('Faculty Master'!E:E,A26)</calculatedColumnFormula>
    </tableColumn>
  </tableColumns>
  <tableStyleInfo name="TableStyleMedium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9000000}" name="Table6" displayName="Table6" ref="A44:B47" totalsRowShown="0" headerRowDxfId="24">
  <autoFilter ref="A44:B47" xr:uid="{00000000-0009-0000-0100-000006000000}"/>
  <tableColumns count="2">
    <tableColumn id="1" xr3:uid="{00000000-0010-0000-0900-000001000000}" name="Gender"/>
    <tableColumn id="2" xr3:uid="{00000000-0010-0000-0900-000002000000}" name="Faculty count">
      <calculatedColumnFormula>COUNTIF('Faculty Master'!C:C,A45)</calculatedColumnFormula>
    </tableColumn>
  </tableColumns>
  <tableStyleInfo name="TableStyleMedium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A000000}" name="Table7" displayName="Table7" ref="A5:B13" totalsRowShown="0" headerRowBorderDxfId="23" tableBorderDxfId="22">
  <autoFilter ref="A5:B13" xr:uid="{00000000-0009-0000-0100-000007000000}"/>
  <tableColumns count="2">
    <tableColumn id="1" xr3:uid="{00000000-0010-0000-0A00-000001000000}" name="Department"/>
    <tableColumn id="2" xr3:uid="{00000000-0010-0000-0A00-000002000000}" name="Avg experience Years" dataDxfId="21">
      <calculatedColumnFormula>AVERAGEIF('Faculty Master'!F:F,A6,'Faculty Master'!J:J)</calculatedColumnFormula>
    </tableColumn>
  </tableColumns>
  <tableStyleInfo name="TableStyleMedium1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B000000}" name="Table8" displayName="Table8" ref="A25:B33" totalsRowShown="0" headerRowDxfId="20" headerRowBorderDxfId="19" tableBorderDxfId="18">
  <autoFilter ref="A25:B33" xr:uid="{00000000-0009-0000-0100-000008000000}"/>
  <tableColumns count="2">
    <tableColumn id="1" xr3:uid="{00000000-0010-0000-0B00-000001000000}" name="Department"/>
    <tableColumn id="2" xr3:uid="{00000000-0010-0000-0B00-000002000000}" name="Student Count" dataDxfId="17">
      <calculatedColumnFormula>COUNTIF('Students Master'!S:S,A26)</calculatedColumnFormula>
    </tableColumn>
  </tableColumns>
  <tableStyleInfo name="TableStyleMedium2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C000000}" name="Table9" displayName="Table9" ref="A42:B50" totalsRowShown="0" headerRowDxfId="16" headerRowBorderDxfId="15" tableBorderDxfId="14">
  <autoFilter ref="A42:B50" xr:uid="{00000000-0009-0000-0100-000009000000}"/>
  <tableColumns count="2">
    <tableColumn id="1" xr3:uid="{00000000-0010-0000-0C00-000001000000}" name="CourseName"/>
    <tableColumn id="2" xr3:uid="{00000000-0010-0000-0C00-000002000000}" name="StudentCount" dataDxfId="13">
      <calculatedColumnFormula>COUNTIF('Students Master'!P:P,A43)</calculatedColumnFormula>
    </tableColumn>
  </tableColumns>
  <tableStyleInfo name="TableStyleMedium1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D000000}" name="Table10" displayName="Table10" ref="A57:C65" totalsRowShown="0" headerRowDxfId="12" headerRowBorderDxfId="11" tableBorderDxfId="10">
  <autoFilter ref="A57:C65" xr:uid="{00000000-0009-0000-0100-00000A000000}"/>
  <tableColumns count="3">
    <tableColumn id="1" xr3:uid="{00000000-0010-0000-0D00-000001000000}" name="Department"/>
    <tableColumn id="2" xr3:uid="{00000000-0010-0000-0D00-000002000000}" name="Pass" dataDxfId="9">
      <calculatedColumnFormula>COUNTIFS('Semester Results'!J:J,A58,'Semester Results'!I:I,"Pass")</calculatedColumnFormula>
    </tableColumn>
    <tableColumn id="3" xr3:uid="{00000000-0010-0000-0D00-000003000000}" name="Fail">
      <calculatedColumnFormula>COUNTIFS('Semester Results'!J:J,A58,'Semester Results'!I:I,"Fail")</calculatedColumnFormula>
    </tableColumn>
  </tableColumns>
  <tableStyleInfo name="TableStyleMedium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0000000}" name="Table11" displayName="Table11" ref="A21:B23" totalsRowShown="0" headerRowDxfId="8" headerRowBorderDxfId="7" tableBorderDxfId="6">
  <autoFilter ref="A21:B23" xr:uid="{00000000-0009-0000-0100-00000B000000}"/>
  <tableColumns count="2">
    <tableColumn id="1" xr3:uid="{00000000-0010-0000-0000-000001000000}" name="AcademicYear"/>
    <tableColumn id="2" xr3:uid="{00000000-0010-0000-0000-000002000000}" name="Total Budget">
      <calculatedColumnFormula>SUMIF('Events Master'!I:I,A22,'Events Master'!J:J)</calculatedColumnFormula>
    </tableColumn>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1000000}" name="Table12" displayName="Table12" ref="A38:B40" totalsRowShown="0" headerRowDxfId="5" headerRowBorderDxfId="4" tableBorderDxfId="3">
  <autoFilter ref="A38:B40" xr:uid="{00000000-0009-0000-0100-00000C000000}"/>
  <tableColumns count="2">
    <tableColumn id="1" xr3:uid="{00000000-0010-0000-0100-000001000000}" name="OrganizerType"/>
    <tableColumn id="2" xr3:uid="{00000000-0010-0000-0100-000002000000}" name="Total count">
      <calculatedColumnFormula>COUNTIF('Events Master'!D:D,A39)</calculatedColumnFormula>
    </tableColumn>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2000000}" name="Table13" displayName="Table13" ref="A55:B59" totalsRowShown="0" headerRowDxfId="2" headerRowBorderDxfId="1" tableBorderDxfId="0">
  <autoFilter ref="A55:B59" xr:uid="{00000000-0009-0000-0100-00000D000000}"/>
  <tableColumns count="2">
    <tableColumn id="1" xr3:uid="{00000000-0010-0000-0200-000001000000}" name="Outcome"/>
    <tableColumn id="2" xr3:uid="{00000000-0010-0000-0200-000002000000}" name="Count">
      <calculatedColumnFormula>COUNTIF('Event Participants'!E:E,A56)</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printerSettings" Target="../printerSettings/printerSettings2.bin"/><Relationship Id="rId7" Type="http://schemas.openxmlformats.org/officeDocument/2006/relationships/table" Target="../tables/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2.xml"/><Relationship Id="rId4"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 Id="rId5" Type="http://schemas.openxmlformats.org/officeDocument/2006/relationships/table" Target="../tables/table11.xml"/><Relationship Id="rId4"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4.xml"/><Relationship Id="rId1" Type="http://schemas.openxmlformats.org/officeDocument/2006/relationships/pivotTable" Target="../pivotTables/pivotTable3.xml"/><Relationship Id="rId5" Type="http://schemas.openxmlformats.org/officeDocument/2006/relationships/table" Target="../tables/table14.xml"/><Relationship Id="rId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1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_rels/sheet22.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01"/>
  <sheetViews>
    <sheetView workbookViewId="0">
      <selection sqref="A1:S501"/>
    </sheetView>
  </sheetViews>
  <sheetFormatPr defaultRowHeight="15" x14ac:dyDescent="0.25"/>
  <cols>
    <col min="1" max="1" width="14.42578125" bestFit="1" customWidth="1"/>
    <col min="2" max="2" width="18" bestFit="1" customWidth="1"/>
    <col min="3" max="3" width="12.28515625" bestFit="1" customWidth="1"/>
    <col min="4" max="4" width="10.42578125" bestFit="1" customWidth="1"/>
    <col min="5" max="5" width="16.28515625" bestFit="1" customWidth="1"/>
    <col min="6" max="7" width="18" bestFit="1" customWidth="1"/>
    <col min="8" max="8" width="17" bestFit="1" customWidth="1"/>
    <col min="9" max="9" width="11.7109375" bestFit="1" customWidth="1"/>
    <col min="10" max="10" width="12" bestFit="1" customWidth="1"/>
    <col min="11" max="11" width="12.7109375" bestFit="1" customWidth="1"/>
    <col min="12" max="12" width="11.28515625" bestFit="1" customWidth="1"/>
    <col min="13" max="13" width="40.85546875" bestFit="1" customWidth="1"/>
    <col min="14" max="14" width="19" bestFit="1" customWidth="1"/>
    <col min="15" max="15" width="13.5703125" bestFit="1" customWidth="1"/>
    <col min="16" max="16" width="21.42578125" bestFit="1" customWidth="1"/>
    <col min="17" max="17" width="9.5703125" bestFit="1" customWidth="1"/>
    <col min="18" max="18" width="14" bestFit="1" customWidth="1"/>
    <col min="19" max="19" width="17.2851562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3" t="s">
        <v>2884</v>
      </c>
    </row>
    <row r="2" spans="1:19" x14ac:dyDescent="0.25">
      <c r="A2" t="s">
        <v>18</v>
      </c>
      <c r="B2" t="s">
        <v>19</v>
      </c>
      <c r="C2" t="s">
        <v>20</v>
      </c>
      <c r="D2" s="2">
        <v>37027</v>
      </c>
      <c r="E2" t="s">
        <v>21</v>
      </c>
      <c r="F2" t="s">
        <v>22</v>
      </c>
      <c r="G2" t="s">
        <v>23</v>
      </c>
      <c r="H2" t="s">
        <v>24</v>
      </c>
      <c r="I2" t="s">
        <v>39</v>
      </c>
      <c r="J2" t="s">
        <v>26</v>
      </c>
      <c r="K2" t="s">
        <v>27</v>
      </c>
      <c r="L2" t="s">
        <v>28</v>
      </c>
      <c r="M2" t="s">
        <v>29</v>
      </c>
      <c r="N2">
        <v>2023</v>
      </c>
      <c r="O2" t="s">
        <v>30</v>
      </c>
      <c r="P2" t="s">
        <v>31</v>
      </c>
      <c r="Q2">
        <v>3</v>
      </c>
      <c r="R2">
        <v>6</v>
      </c>
      <c r="S2" t="s">
        <v>2895</v>
      </c>
    </row>
    <row r="3" spans="1:19" x14ac:dyDescent="0.25">
      <c r="A3" t="s">
        <v>32</v>
      </c>
      <c r="B3" t="s">
        <v>33</v>
      </c>
      <c r="C3" t="s">
        <v>134</v>
      </c>
      <c r="D3" s="2">
        <v>39224</v>
      </c>
      <c r="E3" t="s">
        <v>35</v>
      </c>
      <c r="F3" t="s">
        <v>36</v>
      </c>
      <c r="G3" t="s">
        <v>37</v>
      </c>
      <c r="H3" t="s">
        <v>38</v>
      </c>
      <c r="I3" t="s">
        <v>200</v>
      </c>
      <c r="J3" t="s">
        <v>40</v>
      </c>
      <c r="K3" t="s">
        <v>41</v>
      </c>
      <c r="L3" t="s">
        <v>42</v>
      </c>
      <c r="M3" t="s">
        <v>43</v>
      </c>
      <c r="N3">
        <v>2024</v>
      </c>
      <c r="O3" t="s">
        <v>30</v>
      </c>
      <c r="P3" t="s">
        <v>31</v>
      </c>
      <c r="Q3">
        <v>2</v>
      </c>
      <c r="R3">
        <v>4</v>
      </c>
      <c r="S3" t="s">
        <v>2895</v>
      </c>
    </row>
    <row r="4" spans="1:19" x14ac:dyDescent="0.25">
      <c r="A4" t="s">
        <v>44</v>
      </c>
      <c r="B4" t="s">
        <v>45</v>
      </c>
      <c r="C4" t="s">
        <v>134</v>
      </c>
      <c r="D4" s="2">
        <v>37558</v>
      </c>
      <c r="E4" t="s">
        <v>35</v>
      </c>
      <c r="F4" t="s">
        <v>46</v>
      </c>
      <c r="G4" t="s">
        <v>47</v>
      </c>
      <c r="H4" t="s">
        <v>48</v>
      </c>
      <c r="I4" t="s">
        <v>368</v>
      </c>
      <c r="J4" t="s">
        <v>50</v>
      </c>
      <c r="K4" t="s">
        <v>51</v>
      </c>
      <c r="L4" t="s">
        <v>52</v>
      </c>
      <c r="M4" t="s">
        <v>53</v>
      </c>
      <c r="N4">
        <v>2024</v>
      </c>
      <c r="O4" t="s">
        <v>30</v>
      </c>
      <c r="P4" t="s">
        <v>31</v>
      </c>
      <c r="Q4">
        <v>2</v>
      </c>
      <c r="R4">
        <v>4</v>
      </c>
      <c r="S4" t="s">
        <v>2895</v>
      </c>
    </row>
    <row r="5" spans="1:19" x14ac:dyDescent="0.25">
      <c r="A5" t="s">
        <v>54</v>
      </c>
      <c r="B5" t="s">
        <v>55</v>
      </c>
      <c r="C5" t="s">
        <v>20</v>
      </c>
      <c r="D5" s="2">
        <v>36905</v>
      </c>
      <c r="E5" t="s">
        <v>35</v>
      </c>
      <c r="F5" t="s">
        <v>56</v>
      </c>
      <c r="G5" t="s">
        <v>57</v>
      </c>
      <c r="H5" t="s">
        <v>58</v>
      </c>
      <c r="I5" t="s">
        <v>25</v>
      </c>
      <c r="J5" t="s">
        <v>25</v>
      </c>
      <c r="K5" t="s">
        <v>60</v>
      </c>
      <c r="L5" t="s">
        <v>61</v>
      </c>
      <c r="M5" t="s">
        <v>62</v>
      </c>
      <c r="N5">
        <v>2023</v>
      </c>
      <c r="O5" t="s">
        <v>63</v>
      </c>
      <c r="P5" t="s">
        <v>64</v>
      </c>
      <c r="Q5">
        <v>3</v>
      </c>
      <c r="R5">
        <v>6</v>
      </c>
      <c r="S5" t="s">
        <v>2932</v>
      </c>
    </row>
    <row r="6" spans="1:19" x14ac:dyDescent="0.25">
      <c r="A6" t="s">
        <v>65</v>
      </c>
      <c r="B6" t="s">
        <v>66</v>
      </c>
      <c r="C6" t="s">
        <v>20</v>
      </c>
      <c r="D6" s="2">
        <v>37602</v>
      </c>
      <c r="E6" t="s">
        <v>67</v>
      </c>
      <c r="F6" t="s">
        <v>68</v>
      </c>
      <c r="G6" t="s">
        <v>69</v>
      </c>
      <c r="H6" t="s">
        <v>70</v>
      </c>
      <c r="I6" t="s">
        <v>91</v>
      </c>
      <c r="J6" t="s">
        <v>71</v>
      </c>
      <c r="K6" t="s">
        <v>72</v>
      </c>
      <c r="L6" t="s">
        <v>73</v>
      </c>
      <c r="M6" t="s">
        <v>74</v>
      </c>
      <c r="N6">
        <v>2021</v>
      </c>
      <c r="O6" t="s">
        <v>75</v>
      </c>
      <c r="P6" t="s">
        <v>76</v>
      </c>
      <c r="Q6">
        <v>1</v>
      </c>
      <c r="R6">
        <v>2</v>
      </c>
      <c r="S6" t="s">
        <v>2961</v>
      </c>
    </row>
    <row r="7" spans="1:19" x14ac:dyDescent="0.25">
      <c r="A7" t="s">
        <v>77</v>
      </c>
      <c r="B7" t="s">
        <v>78</v>
      </c>
      <c r="C7" t="s">
        <v>20</v>
      </c>
      <c r="D7" s="2">
        <v>36678</v>
      </c>
      <c r="E7" t="s">
        <v>35</v>
      </c>
      <c r="F7" t="s">
        <v>79</v>
      </c>
      <c r="G7" t="s">
        <v>80</v>
      </c>
      <c r="H7" t="s">
        <v>81</v>
      </c>
      <c r="I7" t="s">
        <v>368</v>
      </c>
      <c r="J7" t="s">
        <v>50</v>
      </c>
      <c r="K7" t="s">
        <v>83</v>
      </c>
      <c r="L7" t="s">
        <v>84</v>
      </c>
      <c r="M7" t="s">
        <v>85</v>
      </c>
      <c r="N7">
        <v>2022</v>
      </c>
      <c r="O7" t="s">
        <v>63</v>
      </c>
      <c r="P7" t="s">
        <v>64</v>
      </c>
      <c r="Q7">
        <v>1</v>
      </c>
      <c r="R7">
        <v>2</v>
      </c>
      <c r="S7" t="s">
        <v>2932</v>
      </c>
    </row>
    <row r="8" spans="1:19" x14ac:dyDescent="0.25">
      <c r="A8" t="s">
        <v>86</v>
      </c>
      <c r="B8" t="s">
        <v>87</v>
      </c>
      <c r="C8" t="s">
        <v>20</v>
      </c>
      <c r="D8" s="2">
        <v>38571</v>
      </c>
      <c r="E8" t="s">
        <v>21</v>
      </c>
      <c r="F8" t="s">
        <v>88</v>
      </c>
      <c r="G8" t="s">
        <v>89</v>
      </c>
      <c r="H8" t="s">
        <v>90</v>
      </c>
      <c r="I8" t="s">
        <v>91</v>
      </c>
      <c r="J8" t="s">
        <v>71</v>
      </c>
      <c r="K8" t="s">
        <v>92</v>
      </c>
      <c r="L8" t="s">
        <v>93</v>
      </c>
      <c r="M8" t="s">
        <v>94</v>
      </c>
      <c r="N8">
        <v>2021</v>
      </c>
      <c r="O8" t="s">
        <v>95</v>
      </c>
      <c r="P8" t="s">
        <v>96</v>
      </c>
      <c r="Q8">
        <v>1</v>
      </c>
      <c r="R8">
        <v>2</v>
      </c>
      <c r="S8" t="s">
        <v>2889</v>
      </c>
    </row>
    <row r="9" spans="1:19" x14ac:dyDescent="0.25">
      <c r="A9" t="s">
        <v>97</v>
      </c>
      <c r="B9" t="s">
        <v>98</v>
      </c>
      <c r="C9" t="s">
        <v>20</v>
      </c>
      <c r="D9" s="2">
        <v>36743</v>
      </c>
      <c r="E9" t="s">
        <v>35</v>
      </c>
      <c r="F9" t="s">
        <v>99</v>
      </c>
      <c r="G9" t="s">
        <v>100</v>
      </c>
      <c r="H9" t="s">
        <v>101</v>
      </c>
      <c r="I9" t="s">
        <v>39</v>
      </c>
      <c r="J9" t="s">
        <v>26</v>
      </c>
      <c r="K9" t="s">
        <v>102</v>
      </c>
      <c r="L9" t="s">
        <v>103</v>
      </c>
      <c r="M9" t="s">
        <v>104</v>
      </c>
      <c r="N9">
        <v>2021</v>
      </c>
      <c r="O9" t="s">
        <v>105</v>
      </c>
      <c r="P9" t="s">
        <v>106</v>
      </c>
      <c r="Q9">
        <v>1</v>
      </c>
      <c r="R9">
        <v>2</v>
      </c>
      <c r="S9" t="s">
        <v>2908</v>
      </c>
    </row>
    <row r="10" spans="1:19" x14ac:dyDescent="0.25">
      <c r="A10" t="s">
        <v>107</v>
      </c>
      <c r="B10" t="s">
        <v>108</v>
      </c>
      <c r="C10" t="s">
        <v>20</v>
      </c>
      <c r="D10" s="2">
        <v>37972</v>
      </c>
      <c r="E10" t="s">
        <v>109</v>
      </c>
      <c r="F10" t="s">
        <v>110</v>
      </c>
      <c r="G10" t="s">
        <v>33</v>
      </c>
      <c r="H10" t="s">
        <v>111</v>
      </c>
      <c r="I10" t="s">
        <v>368</v>
      </c>
      <c r="J10" t="s">
        <v>50</v>
      </c>
      <c r="K10" t="s">
        <v>112</v>
      </c>
      <c r="L10" t="s">
        <v>113</v>
      </c>
      <c r="M10" t="s">
        <v>114</v>
      </c>
      <c r="N10">
        <v>2024</v>
      </c>
      <c r="O10" t="s">
        <v>63</v>
      </c>
      <c r="P10" t="s">
        <v>64</v>
      </c>
      <c r="Q10">
        <v>2</v>
      </c>
      <c r="R10">
        <v>4</v>
      </c>
      <c r="S10" t="s">
        <v>2932</v>
      </c>
    </row>
    <row r="11" spans="1:19" x14ac:dyDescent="0.25">
      <c r="A11" t="s">
        <v>115</v>
      </c>
      <c r="B11" t="s">
        <v>116</v>
      </c>
      <c r="C11" t="s">
        <v>134</v>
      </c>
      <c r="D11" s="2">
        <v>37642</v>
      </c>
      <c r="E11" t="s">
        <v>21</v>
      </c>
      <c r="F11" t="s">
        <v>117</v>
      </c>
      <c r="G11" t="s">
        <v>79</v>
      </c>
      <c r="H11" t="s">
        <v>118</v>
      </c>
      <c r="I11" t="s">
        <v>25</v>
      </c>
      <c r="J11" t="s">
        <v>25</v>
      </c>
      <c r="K11" t="s">
        <v>119</v>
      </c>
      <c r="L11" t="s">
        <v>120</v>
      </c>
      <c r="M11" t="s">
        <v>121</v>
      </c>
      <c r="N11">
        <v>2023</v>
      </c>
      <c r="O11" t="s">
        <v>122</v>
      </c>
      <c r="P11" t="s">
        <v>123</v>
      </c>
      <c r="Q11">
        <v>3</v>
      </c>
      <c r="R11">
        <v>6</v>
      </c>
      <c r="S11" t="s">
        <v>2919</v>
      </c>
    </row>
    <row r="12" spans="1:19" x14ac:dyDescent="0.25">
      <c r="A12" t="s">
        <v>124</v>
      </c>
      <c r="B12" t="s">
        <v>125</v>
      </c>
      <c r="C12" t="s">
        <v>20</v>
      </c>
      <c r="D12" s="2">
        <v>37159</v>
      </c>
      <c r="E12" t="s">
        <v>67</v>
      </c>
      <c r="F12" t="s">
        <v>126</v>
      </c>
      <c r="G12" t="s">
        <v>127</v>
      </c>
      <c r="H12" t="s">
        <v>128</v>
      </c>
      <c r="I12" t="s">
        <v>25</v>
      </c>
      <c r="J12" t="s">
        <v>25</v>
      </c>
      <c r="K12" t="s">
        <v>129</v>
      </c>
      <c r="L12" t="s">
        <v>130</v>
      </c>
      <c r="M12" t="s">
        <v>131</v>
      </c>
      <c r="N12">
        <v>2022</v>
      </c>
      <c r="O12" t="s">
        <v>95</v>
      </c>
      <c r="P12" t="s">
        <v>96</v>
      </c>
      <c r="Q12">
        <v>1</v>
      </c>
      <c r="R12">
        <v>2</v>
      </c>
      <c r="S12" t="s">
        <v>2889</v>
      </c>
    </row>
    <row r="13" spans="1:19" x14ac:dyDescent="0.25">
      <c r="A13" t="s">
        <v>132</v>
      </c>
      <c r="B13" t="s">
        <v>133</v>
      </c>
      <c r="C13" t="s">
        <v>134</v>
      </c>
      <c r="D13" s="2">
        <v>39337</v>
      </c>
      <c r="E13" t="s">
        <v>109</v>
      </c>
      <c r="F13" t="s">
        <v>135</v>
      </c>
      <c r="G13" t="s">
        <v>136</v>
      </c>
      <c r="H13" t="s">
        <v>137</v>
      </c>
      <c r="I13" t="s">
        <v>138</v>
      </c>
      <c r="J13" t="s">
        <v>139</v>
      </c>
      <c r="K13" t="s">
        <v>140</v>
      </c>
      <c r="L13" t="s">
        <v>141</v>
      </c>
      <c r="M13" t="s">
        <v>142</v>
      </c>
      <c r="N13">
        <v>2021</v>
      </c>
      <c r="O13" t="s">
        <v>30</v>
      </c>
      <c r="P13" t="s">
        <v>31</v>
      </c>
      <c r="Q13">
        <v>1</v>
      </c>
      <c r="R13">
        <v>2</v>
      </c>
      <c r="S13" t="s">
        <v>2895</v>
      </c>
    </row>
    <row r="14" spans="1:19" x14ac:dyDescent="0.25">
      <c r="A14" t="s">
        <v>143</v>
      </c>
      <c r="B14" t="s">
        <v>144</v>
      </c>
      <c r="C14" t="s">
        <v>20</v>
      </c>
      <c r="D14" s="2">
        <v>37717</v>
      </c>
      <c r="E14" t="s">
        <v>145</v>
      </c>
      <c r="F14" t="s">
        <v>146</v>
      </c>
      <c r="G14" t="s">
        <v>68</v>
      </c>
      <c r="H14" t="s">
        <v>147</v>
      </c>
      <c r="I14" t="s">
        <v>39</v>
      </c>
      <c r="J14" t="s">
        <v>26</v>
      </c>
      <c r="K14" t="s">
        <v>148</v>
      </c>
      <c r="L14" t="s">
        <v>149</v>
      </c>
      <c r="M14" t="s">
        <v>150</v>
      </c>
      <c r="N14">
        <v>2024</v>
      </c>
      <c r="O14" t="s">
        <v>105</v>
      </c>
      <c r="P14" t="s">
        <v>106</v>
      </c>
      <c r="Q14">
        <v>2</v>
      </c>
      <c r="R14">
        <v>4</v>
      </c>
      <c r="S14" t="s">
        <v>2908</v>
      </c>
    </row>
    <row r="15" spans="1:19" x14ac:dyDescent="0.25">
      <c r="A15" t="s">
        <v>151</v>
      </c>
      <c r="B15" t="s">
        <v>152</v>
      </c>
      <c r="C15" t="s">
        <v>134</v>
      </c>
      <c r="D15" s="2">
        <v>38657</v>
      </c>
      <c r="E15" t="s">
        <v>21</v>
      </c>
      <c r="F15" t="s">
        <v>153</v>
      </c>
      <c r="G15" t="s">
        <v>154</v>
      </c>
      <c r="H15" t="s">
        <v>155</v>
      </c>
      <c r="I15" t="s">
        <v>138</v>
      </c>
      <c r="J15" t="s">
        <v>139</v>
      </c>
      <c r="K15" t="s">
        <v>156</v>
      </c>
      <c r="L15" t="s">
        <v>157</v>
      </c>
      <c r="M15" t="s">
        <v>158</v>
      </c>
      <c r="N15">
        <v>2024</v>
      </c>
      <c r="O15" t="s">
        <v>159</v>
      </c>
      <c r="P15" t="s">
        <v>160</v>
      </c>
      <c r="Q15">
        <v>2</v>
      </c>
      <c r="R15">
        <v>4</v>
      </c>
      <c r="S15" t="s">
        <v>2902</v>
      </c>
    </row>
    <row r="16" spans="1:19" x14ac:dyDescent="0.25">
      <c r="A16" t="s">
        <v>161</v>
      </c>
      <c r="B16" t="s">
        <v>162</v>
      </c>
      <c r="C16" t="s">
        <v>134</v>
      </c>
      <c r="D16" s="2">
        <v>37631</v>
      </c>
      <c r="E16" t="s">
        <v>109</v>
      </c>
      <c r="F16" t="s">
        <v>163</v>
      </c>
      <c r="G16" t="s">
        <v>164</v>
      </c>
      <c r="H16" t="s">
        <v>165</v>
      </c>
      <c r="I16" t="s">
        <v>200</v>
      </c>
      <c r="J16" t="s">
        <v>40</v>
      </c>
      <c r="K16" t="s">
        <v>166</v>
      </c>
      <c r="L16" t="s">
        <v>167</v>
      </c>
      <c r="M16" t="s">
        <v>168</v>
      </c>
      <c r="N16">
        <v>2021</v>
      </c>
      <c r="O16" t="s">
        <v>75</v>
      </c>
      <c r="P16" t="s">
        <v>76</v>
      </c>
      <c r="Q16">
        <v>1</v>
      </c>
      <c r="R16">
        <v>2</v>
      </c>
      <c r="S16" t="s">
        <v>2961</v>
      </c>
    </row>
    <row r="17" spans="1:19" x14ac:dyDescent="0.25">
      <c r="A17" t="s">
        <v>169</v>
      </c>
      <c r="B17" t="s">
        <v>170</v>
      </c>
      <c r="C17" t="s">
        <v>134</v>
      </c>
      <c r="D17" s="2">
        <v>38534</v>
      </c>
      <c r="E17" t="s">
        <v>171</v>
      </c>
      <c r="F17" t="s">
        <v>172</v>
      </c>
      <c r="G17" t="s">
        <v>173</v>
      </c>
      <c r="H17" t="s">
        <v>174</v>
      </c>
      <c r="I17" t="s">
        <v>82</v>
      </c>
      <c r="J17" t="s">
        <v>175</v>
      </c>
      <c r="K17" t="s">
        <v>176</v>
      </c>
      <c r="L17" t="s">
        <v>177</v>
      </c>
      <c r="M17" t="s">
        <v>178</v>
      </c>
      <c r="N17">
        <v>2024</v>
      </c>
      <c r="O17" t="s">
        <v>30</v>
      </c>
      <c r="P17" t="s">
        <v>31</v>
      </c>
      <c r="Q17">
        <v>2</v>
      </c>
      <c r="R17">
        <v>4</v>
      </c>
      <c r="S17" t="s">
        <v>2895</v>
      </c>
    </row>
    <row r="18" spans="1:19" x14ac:dyDescent="0.25">
      <c r="A18" t="s">
        <v>179</v>
      </c>
      <c r="B18" t="s">
        <v>180</v>
      </c>
      <c r="C18" t="s">
        <v>134</v>
      </c>
      <c r="D18" s="2">
        <v>37244</v>
      </c>
      <c r="E18" t="s">
        <v>67</v>
      </c>
      <c r="F18" t="s">
        <v>181</v>
      </c>
      <c r="G18" t="s">
        <v>22</v>
      </c>
      <c r="H18" t="s">
        <v>182</v>
      </c>
      <c r="I18" t="s">
        <v>82</v>
      </c>
      <c r="J18" t="s">
        <v>175</v>
      </c>
      <c r="K18" t="s">
        <v>183</v>
      </c>
      <c r="L18" t="s">
        <v>184</v>
      </c>
      <c r="M18" t="s">
        <v>185</v>
      </c>
      <c r="N18">
        <v>2024</v>
      </c>
      <c r="O18" t="s">
        <v>159</v>
      </c>
      <c r="P18" t="s">
        <v>160</v>
      </c>
      <c r="Q18">
        <v>2</v>
      </c>
      <c r="R18">
        <v>4</v>
      </c>
      <c r="S18" t="s">
        <v>2902</v>
      </c>
    </row>
    <row r="19" spans="1:19" x14ac:dyDescent="0.25">
      <c r="A19" t="s">
        <v>186</v>
      </c>
      <c r="B19" t="s">
        <v>187</v>
      </c>
      <c r="C19" t="s">
        <v>134</v>
      </c>
      <c r="D19" s="2">
        <v>36716</v>
      </c>
      <c r="E19" t="s">
        <v>67</v>
      </c>
      <c r="F19" t="s">
        <v>188</v>
      </c>
      <c r="G19" t="s">
        <v>189</v>
      </c>
      <c r="H19" t="s">
        <v>190</v>
      </c>
      <c r="I19" t="s">
        <v>138</v>
      </c>
      <c r="J19" t="s">
        <v>139</v>
      </c>
      <c r="K19" t="s">
        <v>191</v>
      </c>
      <c r="L19" t="s">
        <v>192</v>
      </c>
      <c r="M19" t="s">
        <v>193</v>
      </c>
      <c r="N19">
        <v>2022</v>
      </c>
      <c r="O19" t="s">
        <v>159</v>
      </c>
      <c r="P19" t="s">
        <v>160</v>
      </c>
      <c r="Q19">
        <v>1</v>
      </c>
      <c r="R19">
        <v>2</v>
      </c>
      <c r="S19" t="s">
        <v>2902</v>
      </c>
    </row>
    <row r="20" spans="1:19" x14ac:dyDescent="0.25">
      <c r="A20" t="s">
        <v>194</v>
      </c>
      <c r="B20" t="s">
        <v>195</v>
      </c>
      <c r="C20" t="s">
        <v>134</v>
      </c>
      <c r="D20" s="2">
        <v>38875</v>
      </c>
      <c r="E20" t="s">
        <v>196</v>
      </c>
      <c r="F20" t="s">
        <v>197</v>
      </c>
      <c r="G20" t="s">
        <v>198</v>
      </c>
      <c r="H20" t="s">
        <v>199</v>
      </c>
      <c r="I20" t="s">
        <v>49</v>
      </c>
      <c r="J20" t="s">
        <v>201</v>
      </c>
      <c r="K20" t="s">
        <v>202</v>
      </c>
      <c r="L20" t="s">
        <v>203</v>
      </c>
      <c r="M20" t="s">
        <v>204</v>
      </c>
      <c r="N20">
        <v>2021</v>
      </c>
      <c r="O20" t="s">
        <v>105</v>
      </c>
      <c r="P20" t="s">
        <v>106</v>
      </c>
      <c r="Q20">
        <v>1</v>
      </c>
      <c r="R20">
        <v>2</v>
      </c>
      <c r="S20" t="s">
        <v>2908</v>
      </c>
    </row>
    <row r="21" spans="1:19" x14ac:dyDescent="0.25">
      <c r="A21" t="s">
        <v>205</v>
      </c>
      <c r="B21" t="s">
        <v>206</v>
      </c>
      <c r="C21" t="s">
        <v>134</v>
      </c>
      <c r="D21" s="2">
        <v>38572</v>
      </c>
      <c r="E21" t="s">
        <v>109</v>
      </c>
      <c r="F21" t="s">
        <v>207</v>
      </c>
      <c r="G21" t="s">
        <v>100</v>
      </c>
      <c r="H21" t="s">
        <v>208</v>
      </c>
      <c r="I21" t="s">
        <v>39</v>
      </c>
      <c r="J21" t="s">
        <v>26</v>
      </c>
      <c r="K21" t="s">
        <v>209</v>
      </c>
      <c r="L21" t="s">
        <v>210</v>
      </c>
      <c r="M21" t="s">
        <v>211</v>
      </c>
      <c r="N21">
        <v>2021</v>
      </c>
      <c r="O21" t="s">
        <v>212</v>
      </c>
      <c r="P21" t="s">
        <v>213</v>
      </c>
      <c r="Q21">
        <v>1</v>
      </c>
      <c r="R21">
        <v>2</v>
      </c>
      <c r="S21" t="s">
        <v>3001</v>
      </c>
    </row>
    <row r="22" spans="1:19" x14ac:dyDescent="0.25">
      <c r="A22" t="s">
        <v>214</v>
      </c>
      <c r="B22" t="s">
        <v>68</v>
      </c>
      <c r="C22" t="s">
        <v>134</v>
      </c>
      <c r="D22" s="2">
        <v>36491</v>
      </c>
      <c r="E22" t="s">
        <v>109</v>
      </c>
      <c r="F22" t="s">
        <v>215</v>
      </c>
      <c r="G22" t="s">
        <v>173</v>
      </c>
      <c r="H22" t="s">
        <v>216</v>
      </c>
      <c r="I22" t="s">
        <v>49</v>
      </c>
      <c r="J22" t="s">
        <v>201</v>
      </c>
      <c r="K22" t="s">
        <v>217</v>
      </c>
      <c r="L22" t="s">
        <v>218</v>
      </c>
      <c r="M22" t="s">
        <v>219</v>
      </c>
      <c r="N22">
        <v>2021</v>
      </c>
      <c r="O22" t="s">
        <v>30</v>
      </c>
      <c r="P22" t="s">
        <v>31</v>
      </c>
      <c r="Q22">
        <v>1</v>
      </c>
      <c r="R22">
        <v>2</v>
      </c>
      <c r="S22" t="s">
        <v>2895</v>
      </c>
    </row>
    <row r="23" spans="1:19" x14ac:dyDescent="0.25">
      <c r="A23" t="s">
        <v>220</v>
      </c>
      <c r="B23" t="s">
        <v>221</v>
      </c>
      <c r="C23" t="s">
        <v>20</v>
      </c>
      <c r="D23" s="2">
        <v>37205</v>
      </c>
      <c r="E23" t="s">
        <v>196</v>
      </c>
      <c r="F23" t="s">
        <v>222</v>
      </c>
      <c r="G23" t="s">
        <v>223</v>
      </c>
      <c r="H23" t="s">
        <v>224</v>
      </c>
      <c r="I23" t="s">
        <v>39</v>
      </c>
      <c r="J23" t="s">
        <v>26</v>
      </c>
      <c r="K23" t="s">
        <v>225</v>
      </c>
      <c r="L23" t="s">
        <v>226</v>
      </c>
      <c r="M23" t="s">
        <v>227</v>
      </c>
      <c r="N23">
        <v>2022</v>
      </c>
      <c r="O23" t="s">
        <v>105</v>
      </c>
      <c r="P23" t="s">
        <v>106</v>
      </c>
      <c r="Q23">
        <v>1</v>
      </c>
      <c r="R23">
        <v>2</v>
      </c>
      <c r="S23" t="s">
        <v>2908</v>
      </c>
    </row>
    <row r="24" spans="1:19" x14ac:dyDescent="0.25">
      <c r="A24" t="s">
        <v>228</v>
      </c>
      <c r="B24" t="s">
        <v>223</v>
      </c>
      <c r="C24" t="s">
        <v>134</v>
      </c>
      <c r="D24" s="2">
        <v>36604</v>
      </c>
      <c r="E24" t="s">
        <v>35</v>
      </c>
      <c r="F24" t="s">
        <v>229</v>
      </c>
      <c r="G24" t="s">
        <v>230</v>
      </c>
      <c r="H24" t="s">
        <v>231</v>
      </c>
      <c r="I24" t="s">
        <v>91</v>
      </c>
      <c r="J24" t="s">
        <v>71</v>
      </c>
      <c r="K24" t="s">
        <v>232</v>
      </c>
      <c r="L24" t="s">
        <v>233</v>
      </c>
      <c r="M24" t="s">
        <v>234</v>
      </c>
      <c r="N24">
        <v>2024</v>
      </c>
      <c r="O24" t="s">
        <v>159</v>
      </c>
      <c r="P24" t="s">
        <v>160</v>
      </c>
      <c r="Q24">
        <v>2</v>
      </c>
      <c r="R24">
        <v>4</v>
      </c>
      <c r="S24" t="s">
        <v>2902</v>
      </c>
    </row>
    <row r="25" spans="1:19" x14ac:dyDescent="0.25">
      <c r="A25" t="s">
        <v>235</v>
      </c>
      <c r="B25" t="s">
        <v>236</v>
      </c>
      <c r="C25" t="s">
        <v>134</v>
      </c>
      <c r="D25" s="2">
        <v>36286</v>
      </c>
      <c r="E25" t="s">
        <v>67</v>
      </c>
      <c r="F25" t="s">
        <v>237</v>
      </c>
      <c r="G25" t="s">
        <v>238</v>
      </c>
      <c r="H25" t="s">
        <v>239</v>
      </c>
      <c r="I25" t="s">
        <v>49</v>
      </c>
      <c r="J25" t="s">
        <v>201</v>
      </c>
      <c r="K25" t="s">
        <v>240</v>
      </c>
      <c r="L25" t="s">
        <v>241</v>
      </c>
      <c r="M25" t="s">
        <v>242</v>
      </c>
      <c r="N25">
        <v>2024</v>
      </c>
      <c r="O25" t="s">
        <v>159</v>
      </c>
      <c r="P25" t="s">
        <v>160</v>
      </c>
      <c r="Q25">
        <v>2</v>
      </c>
      <c r="R25">
        <v>4</v>
      </c>
      <c r="S25" t="s">
        <v>2902</v>
      </c>
    </row>
    <row r="26" spans="1:19" x14ac:dyDescent="0.25">
      <c r="A26" t="s">
        <v>243</v>
      </c>
      <c r="B26" t="s">
        <v>244</v>
      </c>
      <c r="C26" t="s">
        <v>134</v>
      </c>
      <c r="D26" s="2">
        <v>38590</v>
      </c>
      <c r="E26" t="s">
        <v>21</v>
      </c>
      <c r="F26" t="s">
        <v>108</v>
      </c>
      <c r="G26" t="s">
        <v>245</v>
      </c>
      <c r="H26" t="s">
        <v>246</v>
      </c>
      <c r="I26" t="s">
        <v>200</v>
      </c>
      <c r="J26" t="s">
        <v>40</v>
      </c>
      <c r="K26" t="s">
        <v>247</v>
      </c>
      <c r="L26" t="s">
        <v>248</v>
      </c>
      <c r="M26" t="s">
        <v>249</v>
      </c>
      <c r="N26">
        <v>2021</v>
      </c>
      <c r="O26" t="s">
        <v>212</v>
      </c>
      <c r="P26" t="s">
        <v>213</v>
      </c>
      <c r="Q26">
        <v>1</v>
      </c>
      <c r="R26">
        <v>2</v>
      </c>
      <c r="S26" t="s">
        <v>3001</v>
      </c>
    </row>
    <row r="27" spans="1:19" x14ac:dyDescent="0.25">
      <c r="A27" t="s">
        <v>250</v>
      </c>
      <c r="B27" t="s">
        <v>251</v>
      </c>
      <c r="C27" t="s">
        <v>20</v>
      </c>
      <c r="D27" s="2">
        <v>38519</v>
      </c>
      <c r="E27" t="s">
        <v>196</v>
      </c>
      <c r="F27" t="s">
        <v>252</v>
      </c>
      <c r="G27" t="s">
        <v>253</v>
      </c>
      <c r="H27" t="s">
        <v>254</v>
      </c>
      <c r="I27" t="s">
        <v>39</v>
      </c>
      <c r="J27" t="s">
        <v>26</v>
      </c>
      <c r="K27" t="s">
        <v>255</v>
      </c>
      <c r="L27" t="s">
        <v>256</v>
      </c>
      <c r="M27" t="s">
        <v>257</v>
      </c>
      <c r="N27">
        <v>2021</v>
      </c>
      <c r="O27" t="s">
        <v>95</v>
      </c>
      <c r="P27" t="s">
        <v>96</v>
      </c>
      <c r="Q27">
        <v>1</v>
      </c>
      <c r="R27">
        <v>2</v>
      </c>
      <c r="S27" t="s">
        <v>2889</v>
      </c>
    </row>
    <row r="28" spans="1:19" x14ac:dyDescent="0.25">
      <c r="A28" t="s">
        <v>258</v>
      </c>
      <c r="B28" t="s">
        <v>259</v>
      </c>
      <c r="C28" t="s">
        <v>20</v>
      </c>
      <c r="D28" s="2">
        <v>39140</v>
      </c>
      <c r="E28" t="s">
        <v>145</v>
      </c>
      <c r="F28" t="s">
        <v>260</v>
      </c>
      <c r="G28" t="s">
        <v>261</v>
      </c>
      <c r="H28" t="s">
        <v>262</v>
      </c>
      <c r="I28" t="s">
        <v>25</v>
      </c>
      <c r="J28" t="s">
        <v>25</v>
      </c>
      <c r="K28" t="s">
        <v>264</v>
      </c>
      <c r="L28" t="s">
        <v>265</v>
      </c>
      <c r="M28" t="s">
        <v>266</v>
      </c>
      <c r="N28">
        <v>2024</v>
      </c>
      <c r="O28" t="s">
        <v>159</v>
      </c>
      <c r="P28" t="s">
        <v>160</v>
      </c>
      <c r="Q28">
        <v>2</v>
      </c>
      <c r="R28">
        <v>4</v>
      </c>
      <c r="S28" t="s">
        <v>2902</v>
      </c>
    </row>
    <row r="29" spans="1:19" x14ac:dyDescent="0.25">
      <c r="A29" t="s">
        <v>267</v>
      </c>
      <c r="B29" t="s">
        <v>268</v>
      </c>
      <c r="C29" t="s">
        <v>20</v>
      </c>
      <c r="D29" s="2">
        <v>37401</v>
      </c>
      <c r="E29" t="s">
        <v>35</v>
      </c>
      <c r="F29" t="s">
        <v>269</v>
      </c>
      <c r="G29" t="s">
        <v>270</v>
      </c>
      <c r="H29" t="s">
        <v>271</v>
      </c>
      <c r="I29" t="s">
        <v>368</v>
      </c>
      <c r="J29" t="s">
        <v>50</v>
      </c>
      <c r="K29" t="s">
        <v>272</v>
      </c>
      <c r="L29" t="s">
        <v>273</v>
      </c>
      <c r="M29" t="s">
        <v>274</v>
      </c>
      <c r="N29">
        <v>2022</v>
      </c>
      <c r="O29" t="s">
        <v>75</v>
      </c>
      <c r="P29" t="s">
        <v>76</v>
      </c>
      <c r="Q29">
        <v>1</v>
      </c>
      <c r="R29">
        <v>2</v>
      </c>
      <c r="S29" t="s">
        <v>2961</v>
      </c>
    </row>
    <row r="30" spans="1:19" x14ac:dyDescent="0.25">
      <c r="A30" t="s">
        <v>275</v>
      </c>
      <c r="B30" t="s">
        <v>276</v>
      </c>
      <c r="C30" t="s">
        <v>20</v>
      </c>
      <c r="D30" s="2">
        <v>39086</v>
      </c>
      <c r="E30" t="s">
        <v>67</v>
      </c>
      <c r="F30" t="s">
        <v>45</v>
      </c>
      <c r="G30" t="s">
        <v>98</v>
      </c>
      <c r="H30" t="s">
        <v>277</v>
      </c>
      <c r="I30" t="s">
        <v>368</v>
      </c>
      <c r="J30" t="s">
        <v>50</v>
      </c>
      <c r="K30" t="s">
        <v>278</v>
      </c>
      <c r="L30" t="s">
        <v>279</v>
      </c>
      <c r="M30" t="s">
        <v>280</v>
      </c>
      <c r="N30">
        <v>2021</v>
      </c>
      <c r="O30" t="s">
        <v>105</v>
      </c>
      <c r="P30" t="s">
        <v>106</v>
      </c>
      <c r="Q30">
        <v>1</v>
      </c>
      <c r="R30">
        <v>2</v>
      </c>
      <c r="S30" t="s">
        <v>2908</v>
      </c>
    </row>
    <row r="31" spans="1:19" x14ac:dyDescent="0.25">
      <c r="A31" t="s">
        <v>281</v>
      </c>
      <c r="B31" t="s">
        <v>282</v>
      </c>
      <c r="C31" t="s">
        <v>20</v>
      </c>
      <c r="D31" s="2">
        <v>38848</v>
      </c>
      <c r="E31" t="s">
        <v>145</v>
      </c>
      <c r="F31" t="s">
        <v>283</v>
      </c>
      <c r="G31" t="s">
        <v>284</v>
      </c>
      <c r="H31" t="s">
        <v>285</v>
      </c>
      <c r="I31" t="s">
        <v>82</v>
      </c>
      <c r="J31" t="s">
        <v>175</v>
      </c>
      <c r="K31" t="s">
        <v>286</v>
      </c>
      <c r="L31" t="s">
        <v>287</v>
      </c>
      <c r="M31" t="s">
        <v>288</v>
      </c>
      <c r="N31">
        <v>2022</v>
      </c>
      <c r="O31" t="s">
        <v>159</v>
      </c>
      <c r="P31" t="s">
        <v>160</v>
      </c>
      <c r="Q31">
        <v>1</v>
      </c>
      <c r="R31">
        <v>2</v>
      </c>
      <c r="S31" t="s">
        <v>2902</v>
      </c>
    </row>
    <row r="32" spans="1:19" x14ac:dyDescent="0.25">
      <c r="A32" t="s">
        <v>289</v>
      </c>
      <c r="B32" t="s">
        <v>290</v>
      </c>
      <c r="C32" t="s">
        <v>134</v>
      </c>
      <c r="D32" s="2">
        <v>39318</v>
      </c>
      <c r="E32" t="s">
        <v>171</v>
      </c>
      <c r="F32" t="s">
        <v>291</v>
      </c>
      <c r="G32" t="s">
        <v>292</v>
      </c>
      <c r="H32" t="s">
        <v>293</v>
      </c>
      <c r="I32" t="s">
        <v>138</v>
      </c>
      <c r="J32" t="s">
        <v>139</v>
      </c>
      <c r="K32" t="s">
        <v>294</v>
      </c>
      <c r="L32" t="s">
        <v>295</v>
      </c>
      <c r="M32" t="s">
        <v>296</v>
      </c>
      <c r="N32">
        <v>2024</v>
      </c>
      <c r="O32" t="s">
        <v>95</v>
      </c>
      <c r="P32" t="s">
        <v>96</v>
      </c>
      <c r="Q32">
        <v>2</v>
      </c>
      <c r="R32">
        <v>4</v>
      </c>
      <c r="S32" t="s">
        <v>2889</v>
      </c>
    </row>
    <row r="33" spans="1:19" x14ac:dyDescent="0.25">
      <c r="A33" t="s">
        <v>297</v>
      </c>
      <c r="B33" t="s">
        <v>189</v>
      </c>
      <c r="C33" t="s">
        <v>20</v>
      </c>
      <c r="D33" s="2">
        <v>37965</v>
      </c>
      <c r="E33" t="s">
        <v>171</v>
      </c>
      <c r="F33" t="s">
        <v>298</v>
      </c>
      <c r="G33" t="s">
        <v>299</v>
      </c>
      <c r="H33" t="s">
        <v>300</v>
      </c>
      <c r="I33" t="s">
        <v>91</v>
      </c>
      <c r="J33" t="s">
        <v>71</v>
      </c>
      <c r="K33" t="s">
        <v>301</v>
      </c>
      <c r="L33" t="s">
        <v>302</v>
      </c>
      <c r="M33" t="s">
        <v>303</v>
      </c>
      <c r="N33">
        <v>2024</v>
      </c>
      <c r="O33" t="s">
        <v>30</v>
      </c>
      <c r="P33" t="s">
        <v>31</v>
      </c>
      <c r="Q33">
        <v>2</v>
      </c>
      <c r="R33">
        <v>4</v>
      </c>
      <c r="S33" t="s">
        <v>2895</v>
      </c>
    </row>
    <row r="34" spans="1:19" x14ac:dyDescent="0.25">
      <c r="A34" t="s">
        <v>304</v>
      </c>
      <c r="B34" t="s">
        <v>305</v>
      </c>
      <c r="C34" t="s">
        <v>20</v>
      </c>
      <c r="D34" s="2">
        <v>36379</v>
      </c>
      <c r="E34" t="s">
        <v>35</v>
      </c>
      <c r="F34" t="s">
        <v>306</v>
      </c>
      <c r="G34" t="s">
        <v>307</v>
      </c>
      <c r="H34" t="s">
        <v>308</v>
      </c>
      <c r="I34" t="s">
        <v>91</v>
      </c>
      <c r="J34" t="s">
        <v>71</v>
      </c>
      <c r="K34" t="s">
        <v>309</v>
      </c>
      <c r="L34" t="s">
        <v>310</v>
      </c>
      <c r="M34" t="s">
        <v>311</v>
      </c>
      <c r="N34">
        <v>2024</v>
      </c>
      <c r="O34" t="s">
        <v>159</v>
      </c>
      <c r="P34" t="s">
        <v>160</v>
      </c>
      <c r="Q34">
        <v>2</v>
      </c>
      <c r="R34">
        <v>4</v>
      </c>
      <c r="S34" t="s">
        <v>2902</v>
      </c>
    </row>
    <row r="35" spans="1:19" x14ac:dyDescent="0.25">
      <c r="A35" t="s">
        <v>312</v>
      </c>
      <c r="B35" t="s">
        <v>313</v>
      </c>
      <c r="C35" t="s">
        <v>134</v>
      </c>
      <c r="D35" s="2">
        <v>37394</v>
      </c>
      <c r="E35" t="s">
        <v>21</v>
      </c>
      <c r="F35" t="s">
        <v>80</v>
      </c>
      <c r="G35" t="s">
        <v>162</v>
      </c>
      <c r="H35" t="s">
        <v>314</v>
      </c>
      <c r="I35" t="s">
        <v>39</v>
      </c>
      <c r="J35" t="s">
        <v>26</v>
      </c>
      <c r="K35" t="s">
        <v>315</v>
      </c>
      <c r="L35" t="s">
        <v>316</v>
      </c>
      <c r="M35" t="s">
        <v>317</v>
      </c>
      <c r="N35">
        <v>2024</v>
      </c>
      <c r="O35" t="s">
        <v>75</v>
      </c>
      <c r="P35" t="s">
        <v>76</v>
      </c>
      <c r="Q35">
        <v>2</v>
      </c>
      <c r="R35">
        <v>4</v>
      </c>
      <c r="S35" t="s">
        <v>2961</v>
      </c>
    </row>
    <row r="36" spans="1:19" x14ac:dyDescent="0.25">
      <c r="A36" t="s">
        <v>318</v>
      </c>
      <c r="B36" t="s">
        <v>319</v>
      </c>
      <c r="C36" t="s">
        <v>20</v>
      </c>
      <c r="D36" s="2">
        <v>37199</v>
      </c>
      <c r="E36" t="s">
        <v>67</v>
      </c>
      <c r="F36" t="s">
        <v>320</v>
      </c>
      <c r="G36" t="s">
        <v>230</v>
      </c>
      <c r="H36" t="s">
        <v>321</v>
      </c>
      <c r="I36" t="s">
        <v>49</v>
      </c>
      <c r="J36" t="s">
        <v>201</v>
      </c>
      <c r="K36" t="s">
        <v>322</v>
      </c>
      <c r="L36" t="s">
        <v>323</v>
      </c>
      <c r="M36" t="s">
        <v>324</v>
      </c>
      <c r="N36">
        <v>2023</v>
      </c>
      <c r="O36" t="s">
        <v>63</v>
      </c>
      <c r="P36" t="s">
        <v>64</v>
      </c>
      <c r="Q36">
        <v>3</v>
      </c>
      <c r="R36">
        <v>6</v>
      </c>
      <c r="S36" t="s">
        <v>2932</v>
      </c>
    </row>
    <row r="37" spans="1:19" x14ac:dyDescent="0.25">
      <c r="A37" t="s">
        <v>325</v>
      </c>
      <c r="B37" t="s">
        <v>326</v>
      </c>
      <c r="C37" t="s">
        <v>20</v>
      </c>
      <c r="D37" s="2">
        <v>37198</v>
      </c>
      <c r="E37" t="s">
        <v>35</v>
      </c>
      <c r="F37" t="s">
        <v>327</v>
      </c>
      <c r="G37" t="s">
        <v>328</v>
      </c>
      <c r="H37" t="s">
        <v>329</v>
      </c>
      <c r="I37" t="s">
        <v>25</v>
      </c>
      <c r="J37" t="s">
        <v>25</v>
      </c>
      <c r="K37" t="s">
        <v>330</v>
      </c>
      <c r="L37" t="s">
        <v>331</v>
      </c>
      <c r="M37" t="s">
        <v>332</v>
      </c>
      <c r="N37">
        <v>2023</v>
      </c>
      <c r="O37" t="s">
        <v>30</v>
      </c>
      <c r="P37" t="s">
        <v>31</v>
      </c>
      <c r="Q37">
        <v>3</v>
      </c>
      <c r="R37">
        <v>6</v>
      </c>
      <c r="S37" t="s">
        <v>2895</v>
      </c>
    </row>
    <row r="38" spans="1:19" x14ac:dyDescent="0.25">
      <c r="A38" t="s">
        <v>333</v>
      </c>
      <c r="B38" t="s">
        <v>334</v>
      </c>
      <c r="C38" t="s">
        <v>20</v>
      </c>
      <c r="D38" s="2">
        <v>38868</v>
      </c>
      <c r="E38" t="s">
        <v>196</v>
      </c>
      <c r="F38" t="s">
        <v>335</v>
      </c>
      <c r="G38" t="s">
        <v>336</v>
      </c>
      <c r="H38" t="s">
        <v>337</v>
      </c>
      <c r="I38" t="s">
        <v>368</v>
      </c>
      <c r="J38" t="s">
        <v>50</v>
      </c>
      <c r="K38" t="s">
        <v>338</v>
      </c>
      <c r="L38" t="s">
        <v>339</v>
      </c>
      <c r="M38" t="s">
        <v>340</v>
      </c>
      <c r="N38">
        <v>2022</v>
      </c>
      <c r="O38" t="s">
        <v>159</v>
      </c>
      <c r="P38" t="s">
        <v>160</v>
      </c>
      <c r="Q38">
        <v>1</v>
      </c>
      <c r="R38">
        <v>2</v>
      </c>
      <c r="S38" t="s">
        <v>2902</v>
      </c>
    </row>
    <row r="39" spans="1:19" x14ac:dyDescent="0.25">
      <c r="A39" t="s">
        <v>341</v>
      </c>
      <c r="B39" t="s">
        <v>342</v>
      </c>
      <c r="C39" t="s">
        <v>20</v>
      </c>
      <c r="D39" s="2">
        <v>37644</v>
      </c>
      <c r="E39" t="s">
        <v>109</v>
      </c>
      <c r="F39" t="s">
        <v>343</v>
      </c>
      <c r="G39" t="s">
        <v>344</v>
      </c>
      <c r="H39" t="s">
        <v>345</v>
      </c>
      <c r="I39" t="s">
        <v>49</v>
      </c>
      <c r="J39" t="s">
        <v>201</v>
      </c>
      <c r="K39" t="s">
        <v>346</v>
      </c>
      <c r="L39" t="s">
        <v>347</v>
      </c>
      <c r="M39" t="s">
        <v>348</v>
      </c>
      <c r="N39">
        <v>2024</v>
      </c>
      <c r="O39" t="s">
        <v>95</v>
      </c>
      <c r="P39" t="s">
        <v>96</v>
      </c>
      <c r="Q39">
        <v>2</v>
      </c>
      <c r="R39">
        <v>4</v>
      </c>
      <c r="S39" t="s">
        <v>2889</v>
      </c>
    </row>
    <row r="40" spans="1:19" x14ac:dyDescent="0.25">
      <c r="A40" t="s">
        <v>349</v>
      </c>
      <c r="B40" t="s">
        <v>350</v>
      </c>
      <c r="C40" t="s">
        <v>134</v>
      </c>
      <c r="D40" s="2">
        <v>38012</v>
      </c>
      <c r="E40" t="s">
        <v>35</v>
      </c>
      <c r="F40" t="s">
        <v>351</v>
      </c>
      <c r="G40" t="s">
        <v>276</v>
      </c>
      <c r="H40" t="s">
        <v>352</v>
      </c>
      <c r="I40" t="s">
        <v>39</v>
      </c>
      <c r="J40" t="s">
        <v>26</v>
      </c>
      <c r="K40" t="s">
        <v>353</v>
      </c>
      <c r="L40" t="s">
        <v>354</v>
      </c>
      <c r="M40" t="s">
        <v>355</v>
      </c>
      <c r="N40">
        <v>2021</v>
      </c>
      <c r="O40" t="s">
        <v>159</v>
      </c>
      <c r="P40" t="s">
        <v>160</v>
      </c>
      <c r="Q40">
        <v>1</v>
      </c>
      <c r="R40">
        <v>2</v>
      </c>
      <c r="S40" t="s">
        <v>2902</v>
      </c>
    </row>
    <row r="41" spans="1:19" x14ac:dyDescent="0.25">
      <c r="A41" t="s">
        <v>356</v>
      </c>
      <c r="B41" t="s">
        <v>357</v>
      </c>
      <c r="C41" t="s">
        <v>134</v>
      </c>
      <c r="D41" s="2">
        <v>39105</v>
      </c>
      <c r="E41" t="s">
        <v>67</v>
      </c>
      <c r="F41" t="s">
        <v>108</v>
      </c>
      <c r="G41" t="s">
        <v>358</v>
      </c>
      <c r="H41" t="s">
        <v>359</v>
      </c>
      <c r="I41" t="s">
        <v>49</v>
      </c>
      <c r="J41" t="s">
        <v>201</v>
      </c>
      <c r="K41" t="s">
        <v>360</v>
      </c>
      <c r="L41" t="s">
        <v>361</v>
      </c>
      <c r="M41" t="s">
        <v>362</v>
      </c>
      <c r="N41">
        <v>2023</v>
      </c>
      <c r="O41" t="s">
        <v>159</v>
      </c>
      <c r="P41" t="s">
        <v>160</v>
      </c>
      <c r="Q41">
        <v>3</v>
      </c>
      <c r="R41">
        <v>6</v>
      </c>
      <c r="S41" t="s">
        <v>2902</v>
      </c>
    </row>
    <row r="42" spans="1:19" x14ac:dyDescent="0.25">
      <c r="A42" t="s">
        <v>363</v>
      </c>
      <c r="B42" t="s">
        <v>364</v>
      </c>
      <c r="C42" t="s">
        <v>134</v>
      </c>
      <c r="D42" s="2">
        <v>38417</v>
      </c>
      <c r="E42" t="s">
        <v>21</v>
      </c>
      <c r="F42" t="s">
        <v>365</v>
      </c>
      <c r="G42" t="s">
        <v>366</v>
      </c>
      <c r="H42" t="s">
        <v>367</v>
      </c>
      <c r="I42" t="s">
        <v>138</v>
      </c>
      <c r="J42" t="s">
        <v>139</v>
      </c>
      <c r="K42" t="s">
        <v>369</v>
      </c>
      <c r="L42" t="s">
        <v>370</v>
      </c>
      <c r="M42" t="s">
        <v>371</v>
      </c>
      <c r="N42">
        <v>2023</v>
      </c>
      <c r="O42" t="s">
        <v>122</v>
      </c>
      <c r="P42" t="s">
        <v>123</v>
      </c>
      <c r="Q42">
        <v>3</v>
      </c>
      <c r="R42">
        <v>6</v>
      </c>
      <c r="S42" t="s">
        <v>2919</v>
      </c>
    </row>
    <row r="43" spans="1:19" x14ac:dyDescent="0.25">
      <c r="A43" t="s">
        <v>372</v>
      </c>
      <c r="B43" t="s">
        <v>56</v>
      </c>
      <c r="C43" t="s">
        <v>20</v>
      </c>
      <c r="D43" s="2">
        <v>37824</v>
      </c>
      <c r="E43" t="s">
        <v>67</v>
      </c>
      <c r="F43" t="s">
        <v>170</v>
      </c>
      <c r="G43" t="s">
        <v>237</v>
      </c>
      <c r="H43" t="s">
        <v>373</v>
      </c>
      <c r="I43" t="s">
        <v>82</v>
      </c>
      <c r="J43" t="s">
        <v>175</v>
      </c>
      <c r="K43" t="s">
        <v>374</v>
      </c>
      <c r="L43" t="s">
        <v>375</v>
      </c>
      <c r="M43" t="s">
        <v>376</v>
      </c>
      <c r="N43">
        <v>2024</v>
      </c>
      <c r="O43" t="s">
        <v>63</v>
      </c>
      <c r="P43" t="s">
        <v>64</v>
      </c>
      <c r="Q43">
        <v>2</v>
      </c>
      <c r="R43">
        <v>4</v>
      </c>
      <c r="S43" t="s">
        <v>2932</v>
      </c>
    </row>
    <row r="44" spans="1:19" x14ac:dyDescent="0.25">
      <c r="A44" t="s">
        <v>377</v>
      </c>
      <c r="B44" t="s">
        <v>378</v>
      </c>
      <c r="C44" t="s">
        <v>20</v>
      </c>
      <c r="D44" s="2">
        <v>38527</v>
      </c>
      <c r="E44" t="s">
        <v>171</v>
      </c>
      <c r="F44" t="s">
        <v>379</v>
      </c>
      <c r="G44" t="s">
        <v>380</v>
      </c>
      <c r="H44" t="s">
        <v>381</v>
      </c>
      <c r="I44" t="s">
        <v>25</v>
      </c>
      <c r="J44" t="s">
        <v>25</v>
      </c>
      <c r="K44" t="s">
        <v>382</v>
      </c>
      <c r="L44" t="s">
        <v>383</v>
      </c>
      <c r="M44" t="s">
        <v>384</v>
      </c>
      <c r="N44">
        <v>2024</v>
      </c>
      <c r="O44" t="s">
        <v>30</v>
      </c>
      <c r="P44" t="s">
        <v>31</v>
      </c>
      <c r="Q44">
        <v>2</v>
      </c>
      <c r="R44">
        <v>4</v>
      </c>
      <c r="S44" t="s">
        <v>2895</v>
      </c>
    </row>
    <row r="45" spans="1:19" x14ac:dyDescent="0.25">
      <c r="A45" t="s">
        <v>385</v>
      </c>
      <c r="B45" t="s">
        <v>386</v>
      </c>
      <c r="C45" t="s">
        <v>134</v>
      </c>
      <c r="D45" s="2">
        <v>38496</v>
      </c>
      <c r="E45" t="s">
        <v>171</v>
      </c>
      <c r="F45" t="s">
        <v>387</v>
      </c>
      <c r="G45" t="s">
        <v>229</v>
      </c>
      <c r="H45" t="s">
        <v>388</v>
      </c>
      <c r="I45" t="s">
        <v>368</v>
      </c>
      <c r="J45" t="s">
        <v>50</v>
      </c>
      <c r="K45" t="s">
        <v>389</v>
      </c>
      <c r="L45" t="s">
        <v>390</v>
      </c>
      <c r="M45" t="s">
        <v>391</v>
      </c>
      <c r="N45">
        <v>2024</v>
      </c>
      <c r="O45" t="s">
        <v>212</v>
      </c>
      <c r="P45" t="s">
        <v>213</v>
      </c>
      <c r="Q45">
        <v>2</v>
      </c>
      <c r="R45">
        <v>4</v>
      </c>
      <c r="S45" t="s">
        <v>3001</v>
      </c>
    </row>
    <row r="46" spans="1:19" x14ac:dyDescent="0.25">
      <c r="A46" t="s">
        <v>392</v>
      </c>
      <c r="B46" t="s">
        <v>393</v>
      </c>
      <c r="C46" t="s">
        <v>134</v>
      </c>
      <c r="D46" s="2">
        <v>36733</v>
      </c>
      <c r="E46" t="s">
        <v>109</v>
      </c>
      <c r="F46" t="s">
        <v>215</v>
      </c>
      <c r="G46" t="s">
        <v>394</v>
      </c>
      <c r="H46" t="s">
        <v>395</v>
      </c>
      <c r="I46" t="s">
        <v>49</v>
      </c>
      <c r="J46" t="s">
        <v>201</v>
      </c>
      <c r="K46" t="s">
        <v>396</v>
      </c>
      <c r="L46" t="s">
        <v>397</v>
      </c>
      <c r="M46" t="s">
        <v>398</v>
      </c>
      <c r="N46">
        <v>2021</v>
      </c>
      <c r="O46" t="s">
        <v>212</v>
      </c>
      <c r="P46" t="s">
        <v>213</v>
      </c>
      <c r="Q46">
        <v>1</v>
      </c>
      <c r="R46">
        <v>2</v>
      </c>
      <c r="S46" t="s">
        <v>3001</v>
      </c>
    </row>
    <row r="47" spans="1:19" x14ac:dyDescent="0.25">
      <c r="A47" t="s">
        <v>399</v>
      </c>
      <c r="B47" t="s">
        <v>400</v>
      </c>
      <c r="C47" t="s">
        <v>134</v>
      </c>
      <c r="D47" s="2">
        <v>39114</v>
      </c>
      <c r="E47" t="s">
        <v>145</v>
      </c>
      <c r="F47" t="s">
        <v>401</v>
      </c>
      <c r="G47" t="s">
        <v>402</v>
      </c>
      <c r="H47" t="s">
        <v>403</v>
      </c>
      <c r="I47" t="s">
        <v>39</v>
      </c>
      <c r="J47" t="s">
        <v>26</v>
      </c>
      <c r="K47" t="s">
        <v>404</v>
      </c>
      <c r="L47" t="s">
        <v>405</v>
      </c>
      <c r="M47" t="s">
        <v>406</v>
      </c>
      <c r="N47">
        <v>2024</v>
      </c>
      <c r="O47" t="s">
        <v>30</v>
      </c>
      <c r="P47" t="s">
        <v>31</v>
      </c>
      <c r="Q47">
        <v>2</v>
      </c>
      <c r="R47">
        <v>4</v>
      </c>
      <c r="S47" t="s">
        <v>2895</v>
      </c>
    </row>
    <row r="48" spans="1:19" x14ac:dyDescent="0.25">
      <c r="A48" t="s">
        <v>407</v>
      </c>
      <c r="B48" t="s">
        <v>408</v>
      </c>
      <c r="C48" t="s">
        <v>20</v>
      </c>
      <c r="D48" s="2">
        <v>39323</v>
      </c>
      <c r="E48" t="s">
        <v>21</v>
      </c>
      <c r="F48" t="s">
        <v>409</v>
      </c>
      <c r="G48" t="s">
        <v>410</v>
      </c>
      <c r="H48" t="s">
        <v>411</v>
      </c>
      <c r="I48" t="s">
        <v>368</v>
      </c>
      <c r="J48" t="s">
        <v>50</v>
      </c>
      <c r="K48" t="s">
        <v>412</v>
      </c>
      <c r="L48" t="s">
        <v>413</v>
      </c>
      <c r="M48" t="s">
        <v>414</v>
      </c>
      <c r="N48">
        <v>2023</v>
      </c>
      <c r="O48" t="s">
        <v>105</v>
      </c>
      <c r="P48" t="s">
        <v>106</v>
      </c>
      <c r="Q48">
        <v>3</v>
      </c>
      <c r="R48">
        <v>6</v>
      </c>
      <c r="S48" t="s">
        <v>2908</v>
      </c>
    </row>
    <row r="49" spans="1:19" x14ac:dyDescent="0.25">
      <c r="A49" t="s">
        <v>415</v>
      </c>
      <c r="B49" t="s">
        <v>416</v>
      </c>
      <c r="C49" t="s">
        <v>20</v>
      </c>
      <c r="D49" s="2">
        <v>39086</v>
      </c>
      <c r="E49" t="s">
        <v>196</v>
      </c>
      <c r="F49" t="s">
        <v>417</v>
      </c>
      <c r="G49" t="s">
        <v>418</v>
      </c>
      <c r="H49" t="s">
        <v>419</v>
      </c>
      <c r="I49" t="s">
        <v>91</v>
      </c>
      <c r="J49" t="s">
        <v>71</v>
      </c>
      <c r="K49" t="s">
        <v>420</v>
      </c>
      <c r="L49" t="s">
        <v>421</v>
      </c>
      <c r="M49" t="s">
        <v>422</v>
      </c>
      <c r="N49">
        <v>2022</v>
      </c>
      <c r="O49" t="s">
        <v>63</v>
      </c>
      <c r="P49" t="s">
        <v>64</v>
      </c>
      <c r="Q49">
        <v>1</v>
      </c>
      <c r="R49">
        <v>2</v>
      </c>
      <c r="S49" t="s">
        <v>2932</v>
      </c>
    </row>
    <row r="50" spans="1:19" x14ac:dyDescent="0.25">
      <c r="A50" t="s">
        <v>423</v>
      </c>
      <c r="B50" t="s">
        <v>79</v>
      </c>
      <c r="C50" t="s">
        <v>20</v>
      </c>
      <c r="D50" s="2">
        <v>38825</v>
      </c>
      <c r="E50" t="s">
        <v>35</v>
      </c>
      <c r="F50" t="s">
        <v>328</v>
      </c>
      <c r="G50" t="s">
        <v>424</v>
      </c>
      <c r="H50" t="s">
        <v>425</v>
      </c>
      <c r="I50" t="s">
        <v>91</v>
      </c>
      <c r="J50" t="s">
        <v>71</v>
      </c>
      <c r="K50" t="s">
        <v>426</v>
      </c>
      <c r="L50" t="s">
        <v>427</v>
      </c>
      <c r="M50" t="s">
        <v>428</v>
      </c>
      <c r="N50">
        <v>2021</v>
      </c>
      <c r="O50" t="s">
        <v>30</v>
      </c>
      <c r="P50" t="s">
        <v>31</v>
      </c>
      <c r="Q50">
        <v>1</v>
      </c>
      <c r="R50">
        <v>2</v>
      </c>
      <c r="S50" t="s">
        <v>2895</v>
      </c>
    </row>
    <row r="51" spans="1:19" x14ac:dyDescent="0.25">
      <c r="A51" t="s">
        <v>429</v>
      </c>
      <c r="B51" t="s">
        <v>170</v>
      </c>
      <c r="C51" t="s">
        <v>134</v>
      </c>
      <c r="D51" s="2">
        <v>38386</v>
      </c>
      <c r="E51" t="s">
        <v>145</v>
      </c>
      <c r="F51" t="s">
        <v>430</v>
      </c>
      <c r="G51" t="s">
        <v>431</v>
      </c>
      <c r="H51" t="s">
        <v>432</v>
      </c>
      <c r="I51" t="s">
        <v>91</v>
      </c>
      <c r="J51" t="s">
        <v>71</v>
      </c>
      <c r="K51" t="s">
        <v>433</v>
      </c>
      <c r="L51" t="s">
        <v>434</v>
      </c>
      <c r="M51" t="s">
        <v>435</v>
      </c>
      <c r="N51">
        <v>2022</v>
      </c>
      <c r="O51" t="s">
        <v>212</v>
      </c>
      <c r="P51" t="s">
        <v>213</v>
      </c>
      <c r="Q51">
        <v>1</v>
      </c>
      <c r="R51">
        <v>2</v>
      </c>
      <c r="S51" t="s">
        <v>3001</v>
      </c>
    </row>
    <row r="52" spans="1:19" x14ac:dyDescent="0.25">
      <c r="A52" t="s">
        <v>436</v>
      </c>
      <c r="B52" t="s">
        <v>437</v>
      </c>
      <c r="C52" t="s">
        <v>134</v>
      </c>
      <c r="D52" s="2">
        <v>37229</v>
      </c>
      <c r="E52" t="s">
        <v>21</v>
      </c>
      <c r="F52" t="s">
        <v>438</v>
      </c>
      <c r="G52" t="s">
        <v>298</v>
      </c>
      <c r="H52" t="s">
        <v>439</v>
      </c>
      <c r="I52" t="s">
        <v>200</v>
      </c>
      <c r="J52" t="s">
        <v>40</v>
      </c>
      <c r="K52" t="s">
        <v>440</v>
      </c>
      <c r="L52" t="s">
        <v>441</v>
      </c>
      <c r="M52" t="s">
        <v>442</v>
      </c>
      <c r="N52">
        <v>2022</v>
      </c>
      <c r="O52" t="s">
        <v>212</v>
      </c>
      <c r="P52" t="s">
        <v>213</v>
      </c>
      <c r="Q52">
        <v>1</v>
      </c>
      <c r="R52">
        <v>2</v>
      </c>
      <c r="S52" t="s">
        <v>3001</v>
      </c>
    </row>
    <row r="53" spans="1:19" x14ac:dyDescent="0.25">
      <c r="A53" t="s">
        <v>443</v>
      </c>
      <c r="B53" t="s">
        <v>444</v>
      </c>
      <c r="C53" t="s">
        <v>20</v>
      </c>
      <c r="D53" s="2">
        <v>37864</v>
      </c>
      <c r="E53" t="s">
        <v>171</v>
      </c>
      <c r="F53" t="s">
        <v>445</v>
      </c>
      <c r="G53" t="s">
        <v>418</v>
      </c>
      <c r="H53" t="s">
        <v>446</v>
      </c>
      <c r="I53" t="s">
        <v>39</v>
      </c>
      <c r="J53" t="s">
        <v>26</v>
      </c>
      <c r="K53" t="s">
        <v>447</v>
      </c>
      <c r="L53" t="s">
        <v>448</v>
      </c>
      <c r="M53" t="s">
        <v>449</v>
      </c>
      <c r="N53">
        <v>2021</v>
      </c>
      <c r="O53" t="s">
        <v>212</v>
      </c>
      <c r="P53" t="s">
        <v>213</v>
      </c>
      <c r="Q53">
        <v>1</v>
      </c>
      <c r="R53">
        <v>2</v>
      </c>
      <c r="S53" t="s">
        <v>3001</v>
      </c>
    </row>
    <row r="54" spans="1:19" x14ac:dyDescent="0.25">
      <c r="A54" t="s">
        <v>450</v>
      </c>
      <c r="B54" t="s">
        <v>451</v>
      </c>
      <c r="C54" t="s">
        <v>20</v>
      </c>
      <c r="D54" s="2">
        <v>38032</v>
      </c>
      <c r="E54" t="s">
        <v>67</v>
      </c>
      <c r="F54" t="s">
        <v>270</v>
      </c>
      <c r="G54" t="s">
        <v>452</v>
      </c>
      <c r="H54" t="s">
        <v>182</v>
      </c>
      <c r="I54" t="s">
        <v>82</v>
      </c>
      <c r="J54" t="s">
        <v>175</v>
      </c>
      <c r="K54" t="s">
        <v>453</v>
      </c>
      <c r="L54" t="s">
        <v>454</v>
      </c>
      <c r="M54" t="s">
        <v>455</v>
      </c>
      <c r="N54">
        <v>2024</v>
      </c>
      <c r="O54" t="s">
        <v>212</v>
      </c>
      <c r="P54" t="s">
        <v>213</v>
      </c>
      <c r="Q54">
        <v>2</v>
      </c>
      <c r="R54">
        <v>4</v>
      </c>
      <c r="S54" t="s">
        <v>3001</v>
      </c>
    </row>
    <row r="55" spans="1:19" x14ac:dyDescent="0.25">
      <c r="A55" t="s">
        <v>456</v>
      </c>
      <c r="B55" t="s">
        <v>153</v>
      </c>
      <c r="C55" t="s">
        <v>20</v>
      </c>
      <c r="D55" s="2">
        <v>36489</v>
      </c>
      <c r="E55" t="s">
        <v>196</v>
      </c>
      <c r="F55" t="s">
        <v>410</v>
      </c>
      <c r="G55" t="s">
        <v>457</v>
      </c>
      <c r="H55" t="s">
        <v>458</v>
      </c>
      <c r="I55" t="s">
        <v>138</v>
      </c>
      <c r="J55" t="s">
        <v>139</v>
      </c>
      <c r="K55" t="s">
        <v>459</v>
      </c>
      <c r="L55" t="s">
        <v>460</v>
      </c>
      <c r="M55" t="s">
        <v>461</v>
      </c>
      <c r="N55">
        <v>2024</v>
      </c>
      <c r="O55" t="s">
        <v>75</v>
      </c>
      <c r="P55" t="s">
        <v>76</v>
      </c>
      <c r="Q55">
        <v>2</v>
      </c>
      <c r="R55">
        <v>4</v>
      </c>
      <c r="S55" t="s">
        <v>2961</v>
      </c>
    </row>
    <row r="56" spans="1:19" x14ac:dyDescent="0.25">
      <c r="A56" t="s">
        <v>462</v>
      </c>
      <c r="B56" t="s">
        <v>463</v>
      </c>
      <c r="C56" t="s">
        <v>134</v>
      </c>
      <c r="D56" s="2">
        <v>36574</v>
      </c>
      <c r="E56" t="s">
        <v>21</v>
      </c>
      <c r="F56" t="s">
        <v>464</v>
      </c>
      <c r="G56" t="s">
        <v>336</v>
      </c>
      <c r="H56" t="s">
        <v>465</v>
      </c>
      <c r="I56" t="s">
        <v>200</v>
      </c>
      <c r="J56" t="s">
        <v>40</v>
      </c>
      <c r="K56" t="s">
        <v>466</v>
      </c>
      <c r="L56" t="s">
        <v>467</v>
      </c>
      <c r="M56" t="s">
        <v>468</v>
      </c>
      <c r="N56">
        <v>2023</v>
      </c>
      <c r="O56" t="s">
        <v>122</v>
      </c>
      <c r="P56" t="s">
        <v>123</v>
      </c>
      <c r="Q56">
        <v>3</v>
      </c>
      <c r="R56">
        <v>6</v>
      </c>
      <c r="S56" t="s">
        <v>2919</v>
      </c>
    </row>
    <row r="57" spans="1:19" x14ac:dyDescent="0.25">
      <c r="A57" t="s">
        <v>469</v>
      </c>
      <c r="B57" t="s">
        <v>470</v>
      </c>
      <c r="C57" t="s">
        <v>134</v>
      </c>
      <c r="D57" s="2">
        <v>39172</v>
      </c>
      <c r="E57" t="s">
        <v>35</v>
      </c>
      <c r="F57" t="s">
        <v>471</v>
      </c>
      <c r="G57" t="s">
        <v>472</v>
      </c>
      <c r="H57" t="s">
        <v>473</v>
      </c>
      <c r="I57" t="s">
        <v>49</v>
      </c>
      <c r="J57" t="s">
        <v>201</v>
      </c>
      <c r="K57" t="s">
        <v>474</v>
      </c>
      <c r="L57" t="s">
        <v>475</v>
      </c>
      <c r="M57" t="s">
        <v>476</v>
      </c>
      <c r="N57">
        <v>2022</v>
      </c>
      <c r="O57" t="s">
        <v>63</v>
      </c>
      <c r="P57" t="s">
        <v>64</v>
      </c>
      <c r="Q57">
        <v>1</v>
      </c>
      <c r="R57">
        <v>2</v>
      </c>
      <c r="S57" t="s">
        <v>2932</v>
      </c>
    </row>
    <row r="58" spans="1:19" x14ac:dyDescent="0.25">
      <c r="A58" t="s">
        <v>477</v>
      </c>
      <c r="B58" t="s">
        <v>478</v>
      </c>
      <c r="C58" t="s">
        <v>134</v>
      </c>
      <c r="D58" s="2">
        <v>37513</v>
      </c>
      <c r="E58" t="s">
        <v>109</v>
      </c>
      <c r="F58" t="s">
        <v>479</v>
      </c>
      <c r="G58" t="s">
        <v>418</v>
      </c>
      <c r="H58" t="s">
        <v>480</v>
      </c>
      <c r="I58" t="s">
        <v>91</v>
      </c>
      <c r="J58" t="s">
        <v>71</v>
      </c>
      <c r="K58" t="s">
        <v>481</v>
      </c>
      <c r="L58" t="s">
        <v>482</v>
      </c>
      <c r="M58" t="s">
        <v>483</v>
      </c>
      <c r="N58">
        <v>2024</v>
      </c>
      <c r="O58" t="s">
        <v>95</v>
      </c>
      <c r="P58" t="s">
        <v>96</v>
      </c>
      <c r="Q58">
        <v>2</v>
      </c>
      <c r="R58">
        <v>4</v>
      </c>
      <c r="S58" t="s">
        <v>2889</v>
      </c>
    </row>
    <row r="59" spans="1:19" x14ac:dyDescent="0.25">
      <c r="A59" t="s">
        <v>484</v>
      </c>
      <c r="B59" t="s">
        <v>485</v>
      </c>
      <c r="C59" t="s">
        <v>134</v>
      </c>
      <c r="D59" s="2">
        <v>36998</v>
      </c>
      <c r="E59" t="s">
        <v>67</v>
      </c>
      <c r="F59" t="s">
        <v>438</v>
      </c>
      <c r="G59" t="s">
        <v>408</v>
      </c>
      <c r="H59" t="s">
        <v>486</v>
      </c>
      <c r="I59" t="s">
        <v>368</v>
      </c>
      <c r="J59" t="s">
        <v>50</v>
      </c>
      <c r="K59" t="s">
        <v>487</v>
      </c>
      <c r="L59" t="s">
        <v>488</v>
      </c>
      <c r="M59" t="s">
        <v>489</v>
      </c>
      <c r="N59">
        <v>2022</v>
      </c>
      <c r="O59" t="s">
        <v>95</v>
      </c>
      <c r="P59" t="s">
        <v>96</v>
      </c>
      <c r="Q59">
        <v>1</v>
      </c>
      <c r="R59">
        <v>2</v>
      </c>
      <c r="S59" t="s">
        <v>2889</v>
      </c>
    </row>
    <row r="60" spans="1:19" x14ac:dyDescent="0.25">
      <c r="A60" t="s">
        <v>490</v>
      </c>
      <c r="B60" t="s">
        <v>437</v>
      </c>
      <c r="C60" t="s">
        <v>20</v>
      </c>
      <c r="D60" s="2">
        <v>38494</v>
      </c>
      <c r="E60" t="s">
        <v>171</v>
      </c>
      <c r="F60" t="s">
        <v>491</v>
      </c>
      <c r="G60" t="s">
        <v>108</v>
      </c>
      <c r="H60" t="s">
        <v>492</v>
      </c>
      <c r="I60" t="s">
        <v>368</v>
      </c>
      <c r="J60" t="s">
        <v>50</v>
      </c>
      <c r="K60" t="s">
        <v>493</v>
      </c>
      <c r="L60" t="s">
        <v>494</v>
      </c>
      <c r="M60" t="s">
        <v>495</v>
      </c>
      <c r="N60">
        <v>2021</v>
      </c>
      <c r="O60" t="s">
        <v>63</v>
      </c>
      <c r="P60" t="s">
        <v>64</v>
      </c>
      <c r="Q60">
        <v>1</v>
      </c>
      <c r="R60">
        <v>2</v>
      </c>
      <c r="S60" t="s">
        <v>2932</v>
      </c>
    </row>
    <row r="61" spans="1:19" x14ac:dyDescent="0.25">
      <c r="A61" t="s">
        <v>496</v>
      </c>
      <c r="B61" t="s">
        <v>402</v>
      </c>
      <c r="C61" t="s">
        <v>134</v>
      </c>
      <c r="D61" s="2">
        <v>36439</v>
      </c>
      <c r="E61" t="s">
        <v>196</v>
      </c>
      <c r="F61" t="s">
        <v>497</v>
      </c>
      <c r="G61" t="s">
        <v>498</v>
      </c>
      <c r="H61" t="s">
        <v>499</v>
      </c>
      <c r="I61" t="s">
        <v>200</v>
      </c>
      <c r="J61" t="s">
        <v>40</v>
      </c>
      <c r="K61" t="s">
        <v>500</v>
      </c>
      <c r="L61" t="s">
        <v>501</v>
      </c>
      <c r="M61" t="s">
        <v>502</v>
      </c>
      <c r="N61">
        <v>2021</v>
      </c>
      <c r="O61" t="s">
        <v>105</v>
      </c>
      <c r="P61" t="s">
        <v>106</v>
      </c>
      <c r="Q61">
        <v>1</v>
      </c>
      <c r="R61">
        <v>2</v>
      </c>
      <c r="S61" t="s">
        <v>2908</v>
      </c>
    </row>
    <row r="62" spans="1:19" x14ac:dyDescent="0.25">
      <c r="A62" t="s">
        <v>503</v>
      </c>
      <c r="B62" t="s">
        <v>463</v>
      </c>
      <c r="C62" t="s">
        <v>134</v>
      </c>
      <c r="D62" s="2">
        <v>38317</v>
      </c>
      <c r="E62" t="s">
        <v>35</v>
      </c>
      <c r="F62" t="s">
        <v>504</v>
      </c>
      <c r="G62" t="s">
        <v>19</v>
      </c>
      <c r="H62" t="s">
        <v>505</v>
      </c>
      <c r="I62" t="s">
        <v>368</v>
      </c>
      <c r="J62" t="s">
        <v>50</v>
      </c>
      <c r="K62" t="s">
        <v>506</v>
      </c>
      <c r="L62" t="s">
        <v>507</v>
      </c>
      <c r="M62" t="s">
        <v>508</v>
      </c>
      <c r="N62">
        <v>2021</v>
      </c>
      <c r="O62" t="s">
        <v>75</v>
      </c>
      <c r="P62" t="s">
        <v>76</v>
      </c>
      <c r="Q62">
        <v>1</v>
      </c>
      <c r="R62">
        <v>2</v>
      </c>
      <c r="S62" t="s">
        <v>2961</v>
      </c>
    </row>
    <row r="63" spans="1:19" x14ac:dyDescent="0.25">
      <c r="A63" t="s">
        <v>509</v>
      </c>
      <c r="B63" t="s">
        <v>463</v>
      </c>
      <c r="C63" t="s">
        <v>134</v>
      </c>
      <c r="D63" s="2">
        <v>38482</v>
      </c>
      <c r="E63" t="s">
        <v>171</v>
      </c>
      <c r="F63" t="s">
        <v>510</v>
      </c>
      <c r="G63" t="s">
        <v>511</v>
      </c>
      <c r="H63" t="s">
        <v>512</v>
      </c>
      <c r="I63" t="s">
        <v>200</v>
      </c>
      <c r="J63" t="s">
        <v>40</v>
      </c>
      <c r="K63" t="s">
        <v>513</v>
      </c>
      <c r="L63" t="s">
        <v>514</v>
      </c>
      <c r="M63" t="s">
        <v>515</v>
      </c>
      <c r="N63">
        <v>2021</v>
      </c>
      <c r="O63" t="s">
        <v>30</v>
      </c>
      <c r="P63" t="s">
        <v>31</v>
      </c>
      <c r="Q63">
        <v>1</v>
      </c>
      <c r="R63">
        <v>2</v>
      </c>
      <c r="S63" t="s">
        <v>2895</v>
      </c>
    </row>
    <row r="64" spans="1:19" x14ac:dyDescent="0.25">
      <c r="A64" t="s">
        <v>516</v>
      </c>
      <c r="B64" t="s">
        <v>511</v>
      </c>
      <c r="C64" t="s">
        <v>20</v>
      </c>
      <c r="D64" s="2">
        <v>37111</v>
      </c>
      <c r="E64" t="s">
        <v>109</v>
      </c>
      <c r="F64" t="s">
        <v>517</v>
      </c>
      <c r="G64" t="s">
        <v>215</v>
      </c>
      <c r="H64" t="s">
        <v>518</v>
      </c>
      <c r="I64" t="s">
        <v>200</v>
      </c>
      <c r="J64" t="s">
        <v>40</v>
      </c>
      <c r="K64" t="s">
        <v>519</v>
      </c>
      <c r="L64" t="s">
        <v>520</v>
      </c>
      <c r="M64" t="s">
        <v>521</v>
      </c>
      <c r="N64">
        <v>2024</v>
      </c>
      <c r="O64" t="s">
        <v>30</v>
      </c>
      <c r="P64" t="s">
        <v>31</v>
      </c>
      <c r="Q64">
        <v>2</v>
      </c>
      <c r="R64">
        <v>4</v>
      </c>
      <c r="S64" t="s">
        <v>2895</v>
      </c>
    </row>
    <row r="65" spans="1:19" x14ac:dyDescent="0.25">
      <c r="A65" t="s">
        <v>522</v>
      </c>
      <c r="B65" t="s">
        <v>230</v>
      </c>
      <c r="C65" t="s">
        <v>134</v>
      </c>
      <c r="D65" s="2">
        <v>36182</v>
      </c>
      <c r="E65" t="s">
        <v>109</v>
      </c>
      <c r="F65" t="s">
        <v>170</v>
      </c>
      <c r="G65" t="s">
        <v>57</v>
      </c>
      <c r="H65" t="s">
        <v>523</v>
      </c>
      <c r="I65" t="s">
        <v>138</v>
      </c>
      <c r="J65" t="s">
        <v>139</v>
      </c>
      <c r="K65" t="s">
        <v>524</v>
      </c>
      <c r="L65" t="s">
        <v>525</v>
      </c>
      <c r="M65" t="s">
        <v>526</v>
      </c>
      <c r="N65">
        <v>2024</v>
      </c>
      <c r="O65" t="s">
        <v>105</v>
      </c>
      <c r="P65" t="s">
        <v>106</v>
      </c>
      <c r="Q65">
        <v>2</v>
      </c>
      <c r="R65">
        <v>4</v>
      </c>
      <c r="S65" t="s">
        <v>2908</v>
      </c>
    </row>
    <row r="66" spans="1:19" x14ac:dyDescent="0.25">
      <c r="A66" t="s">
        <v>527</v>
      </c>
      <c r="B66" t="s">
        <v>528</v>
      </c>
      <c r="C66" t="s">
        <v>20</v>
      </c>
      <c r="D66" s="2">
        <v>37260</v>
      </c>
      <c r="E66" t="s">
        <v>67</v>
      </c>
      <c r="F66" t="s">
        <v>529</v>
      </c>
      <c r="G66" t="s">
        <v>530</v>
      </c>
      <c r="H66" t="s">
        <v>531</v>
      </c>
      <c r="I66" t="s">
        <v>25</v>
      </c>
      <c r="J66" t="s">
        <v>25</v>
      </c>
      <c r="K66" t="s">
        <v>532</v>
      </c>
      <c r="L66" t="s">
        <v>533</v>
      </c>
      <c r="M66" t="s">
        <v>534</v>
      </c>
      <c r="N66">
        <v>2023</v>
      </c>
      <c r="O66" t="s">
        <v>95</v>
      </c>
      <c r="P66" t="s">
        <v>96</v>
      </c>
      <c r="Q66">
        <v>3</v>
      </c>
      <c r="R66">
        <v>6</v>
      </c>
      <c r="S66" t="s">
        <v>2889</v>
      </c>
    </row>
    <row r="67" spans="1:19" x14ac:dyDescent="0.25">
      <c r="A67" t="s">
        <v>535</v>
      </c>
      <c r="B67" t="s">
        <v>536</v>
      </c>
      <c r="C67" t="s">
        <v>134</v>
      </c>
      <c r="D67" s="2">
        <v>37792</v>
      </c>
      <c r="E67" t="s">
        <v>109</v>
      </c>
      <c r="F67" t="s">
        <v>424</v>
      </c>
      <c r="G67" t="s">
        <v>537</v>
      </c>
      <c r="H67" t="s">
        <v>538</v>
      </c>
      <c r="I67" t="s">
        <v>91</v>
      </c>
      <c r="J67" t="s">
        <v>71</v>
      </c>
      <c r="K67" t="s">
        <v>539</v>
      </c>
      <c r="L67" t="s">
        <v>540</v>
      </c>
      <c r="M67" t="s">
        <v>541</v>
      </c>
      <c r="N67">
        <v>2024</v>
      </c>
      <c r="O67" t="s">
        <v>105</v>
      </c>
      <c r="P67" t="s">
        <v>106</v>
      </c>
      <c r="Q67">
        <v>2</v>
      </c>
      <c r="R67">
        <v>4</v>
      </c>
      <c r="S67" t="s">
        <v>2908</v>
      </c>
    </row>
    <row r="68" spans="1:19" x14ac:dyDescent="0.25">
      <c r="A68" t="s">
        <v>542</v>
      </c>
      <c r="B68" t="s">
        <v>366</v>
      </c>
      <c r="C68" t="s">
        <v>134</v>
      </c>
      <c r="D68" s="2">
        <v>37195</v>
      </c>
      <c r="E68" t="s">
        <v>109</v>
      </c>
      <c r="F68" t="s">
        <v>543</v>
      </c>
      <c r="G68" t="s">
        <v>544</v>
      </c>
      <c r="H68" t="s">
        <v>545</v>
      </c>
      <c r="I68" t="s">
        <v>368</v>
      </c>
      <c r="J68" t="s">
        <v>50</v>
      </c>
      <c r="K68" t="s">
        <v>546</v>
      </c>
      <c r="L68" t="s">
        <v>547</v>
      </c>
      <c r="M68" t="s">
        <v>548</v>
      </c>
      <c r="N68">
        <v>2021</v>
      </c>
      <c r="O68" t="s">
        <v>63</v>
      </c>
      <c r="P68" t="s">
        <v>64</v>
      </c>
      <c r="Q68">
        <v>1</v>
      </c>
      <c r="R68">
        <v>2</v>
      </c>
      <c r="S68" t="s">
        <v>2932</v>
      </c>
    </row>
    <row r="69" spans="1:19" x14ac:dyDescent="0.25">
      <c r="A69" t="s">
        <v>549</v>
      </c>
      <c r="B69" t="s">
        <v>550</v>
      </c>
      <c r="C69" t="s">
        <v>20</v>
      </c>
      <c r="D69" s="2">
        <v>36594</v>
      </c>
      <c r="E69" t="s">
        <v>21</v>
      </c>
      <c r="F69" t="s">
        <v>551</v>
      </c>
      <c r="G69" t="s">
        <v>364</v>
      </c>
      <c r="H69" t="s">
        <v>552</v>
      </c>
      <c r="I69" t="s">
        <v>49</v>
      </c>
      <c r="J69" t="s">
        <v>201</v>
      </c>
      <c r="K69" t="s">
        <v>553</v>
      </c>
      <c r="L69" t="s">
        <v>554</v>
      </c>
      <c r="M69" t="s">
        <v>555</v>
      </c>
      <c r="N69">
        <v>2021</v>
      </c>
      <c r="O69" t="s">
        <v>212</v>
      </c>
      <c r="P69" t="s">
        <v>213</v>
      </c>
      <c r="Q69">
        <v>1</v>
      </c>
      <c r="R69">
        <v>2</v>
      </c>
      <c r="S69" t="s">
        <v>3001</v>
      </c>
    </row>
    <row r="70" spans="1:19" x14ac:dyDescent="0.25">
      <c r="A70" t="s">
        <v>556</v>
      </c>
      <c r="B70" t="s">
        <v>537</v>
      </c>
      <c r="C70" t="s">
        <v>20</v>
      </c>
      <c r="D70" s="2">
        <v>37467</v>
      </c>
      <c r="E70" t="s">
        <v>35</v>
      </c>
      <c r="F70" t="s">
        <v>557</v>
      </c>
      <c r="G70" t="s">
        <v>558</v>
      </c>
      <c r="H70" t="s">
        <v>559</v>
      </c>
      <c r="I70" t="s">
        <v>39</v>
      </c>
      <c r="J70" t="s">
        <v>26</v>
      </c>
      <c r="K70" t="s">
        <v>560</v>
      </c>
      <c r="L70" t="s">
        <v>561</v>
      </c>
      <c r="M70" t="s">
        <v>562</v>
      </c>
      <c r="N70">
        <v>2024</v>
      </c>
      <c r="O70" t="s">
        <v>63</v>
      </c>
      <c r="P70" t="s">
        <v>64</v>
      </c>
      <c r="Q70">
        <v>2</v>
      </c>
      <c r="R70">
        <v>4</v>
      </c>
      <c r="S70" t="s">
        <v>2932</v>
      </c>
    </row>
    <row r="71" spans="1:19" x14ac:dyDescent="0.25">
      <c r="A71" t="s">
        <v>563</v>
      </c>
      <c r="B71" t="s">
        <v>564</v>
      </c>
      <c r="C71" t="s">
        <v>134</v>
      </c>
      <c r="D71" s="2">
        <v>37003</v>
      </c>
      <c r="E71" t="s">
        <v>109</v>
      </c>
      <c r="F71" t="s">
        <v>565</v>
      </c>
      <c r="G71" t="s">
        <v>566</v>
      </c>
      <c r="H71" t="s">
        <v>567</v>
      </c>
      <c r="I71" t="s">
        <v>138</v>
      </c>
      <c r="J71" t="s">
        <v>139</v>
      </c>
      <c r="K71" t="s">
        <v>568</v>
      </c>
      <c r="L71" t="s">
        <v>569</v>
      </c>
      <c r="M71" t="s">
        <v>570</v>
      </c>
      <c r="N71">
        <v>2022</v>
      </c>
      <c r="O71" t="s">
        <v>30</v>
      </c>
      <c r="P71" t="s">
        <v>31</v>
      </c>
      <c r="Q71">
        <v>1</v>
      </c>
      <c r="R71">
        <v>2</v>
      </c>
      <c r="S71" t="s">
        <v>2895</v>
      </c>
    </row>
    <row r="72" spans="1:19" x14ac:dyDescent="0.25">
      <c r="A72" t="s">
        <v>571</v>
      </c>
      <c r="B72" t="s">
        <v>187</v>
      </c>
      <c r="C72" t="s">
        <v>20</v>
      </c>
      <c r="D72" s="2">
        <v>36640</v>
      </c>
      <c r="E72" t="s">
        <v>35</v>
      </c>
      <c r="F72" t="s">
        <v>572</v>
      </c>
      <c r="G72" t="s">
        <v>497</v>
      </c>
      <c r="H72" t="s">
        <v>573</v>
      </c>
      <c r="I72" t="s">
        <v>138</v>
      </c>
      <c r="J72" t="s">
        <v>139</v>
      </c>
      <c r="K72" t="s">
        <v>574</v>
      </c>
      <c r="L72" t="s">
        <v>575</v>
      </c>
      <c r="M72" t="s">
        <v>576</v>
      </c>
      <c r="N72">
        <v>2024</v>
      </c>
      <c r="O72" t="s">
        <v>63</v>
      </c>
      <c r="P72" t="s">
        <v>64</v>
      </c>
      <c r="Q72">
        <v>2</v>
      </c>
      <c r="R72">
        <v>4</v>
      </c>
      <c r="S72" t="s">
        <v>2932</v>
      </c>
    </row>
    <row r="73" spans="1:19" x14ac:dyDescent="0.25">
      <c r="A73" t="s">
        <v>577</v>
      </c>
      <c r="B73" t="s">
        <v>223</v>
      </c>
      <c r="C73" t="s">
        <v>20</v>
      </c>
      <c r="D73" s="2">
        <v>39069</v>
      </c>
      <c r="E73" t="s">
        <v>21</v>
      </c>
      <c r="F73" t="s">
        <v>47</v>
      </c>
      <c r="G73" t="s">
        <v>529</v>
      </c>
      <c r="H73" t="s">
        <v>578</v>
      </c>
      <c r="I73" t="s">
        <v>25</v>
      </c>
      <c r="J73" t="s">
        <v>25</v>
      </c>
      <c r="K73" t="s">
        <v>579</v>
      </c>
      <c r="L73" t="s">
        <v>580</v>
      </c>
      <c r="M73" t="s">
        <v>581</v>
      </c>
      <c r="N73">
        <v>2021</v>
      </c>
      <c r="O73" t="s">
        <v>95</v>
      </c>
      <c r="P73" t="s">
        <v>96</v>
      </c>
      <c r="Q73">
        <v>1</v>
      </c>
      <c r="R73">
        <v>2</v>
      </c>
      <c r="S73" t="s">
        <v>2889</v>
      </c>
    </row>
    <row r="74" spans="1:19" x14ac:dyDescent="0.25">
      <c r="A74" t="s">
        <v>582</v>
      </c>
      <c r="B74" t="s">
        <v>416</v>
      </c>
      <c r="C74" t="s">
        <v>20</v>
      </c>
      <c r="D74" s="2">
        <v>37237</v>
      </c>
      <c r="E74" t="s">
        <v>145</v>
      </c>
      <c r="F74" t="s">
        <v>230</v>
      </c>
      <c r="G74" t="s">
        <v>276</v>
      </c>
      <c r="H74" t="s">
        <v>583</v>
      </c>
      <c r="I74" t="s">
        <v>49</v>
      </c>
      <c r="J74" t="s">
        <v>201</v>
      </c>
      <c r="K74" t="s">
        <v>584</v>
      </c>
      <c r="L74" t="s">
        <v>585</v>
      </c>
      <c r="M74" t="s">
        <v>586</v>
      </c>
      <c r="N74">
        <v>2024</v>
      </c>
      <c r="O74" t="s">
        <v>75</v>
      </c>
      <c r="P74" t="s">
        <v>76</v>
      </c>
      <c r="Q74">
        <v>2</v>
      </c>
      <c r="R74">
        <v>4</v>
      </c>
      <c r="S74" t="s">
        <v>2961</v>
      </c>
    </row>
    <row r="75" spans="1:19" x14ac:dyDescent="0.25">
      <c r="A75" t="s">
        <v>587</v>
      </c>
      <c r="B75" t="s">
        <v>588</v>
      </c>
      <c r="C75" t="s">
        <v>134</v>
      </c>
      <c r="D75" s="2">
        <v>39034</v>
      </c>
      <c r="E75" t="s">
        <v>109</v>
      </c>
      <c r="F75" t="s">
        <v>589</v>
      </c>
      <c r="G75" t="s">
        <v>378</v>
      </c>
      <c r="H75" t="s">
        <v>590</v>
      </c>
      <c r="I75" t="s">
        <v>82</v>
      </c>
      <c r="J75" t="s">
        <v>175</v>
      </c>
      <c r="K75" t="s">
        <v>591</v>
      </c>
      <c r="L75" t="s">
        <v>592</v>
      </c>
      <c r="M75" t="s">
        <v>593</v>
      </c>
      <c r="N75">
        <v>2024</v>
      </c>
      <c r="O75" t="s">
        <v>30</v>
      </c>
      <c r="P75" t="s">
        <v>31</v>
      </c>
      <c r="Q75">
        <v>2</v>
      </c>
      <c r="R75">
        <v>4</v>
      </c>
      <c r="S75" t="s">
        <v>2895</v>
      </c>
    </row>
    <row r="76" spans="1:19" x14ac:dyDescent="0.25">
      <c r="A76" t="s">
        <v>594</v>
      </c>
      <c r="B76" t="s">
        <v>595</v>
      </c>
      <c r="C76" t="s">
        <v>20</v>
      </c>
      <c r="D76" s="2">
        <v>37790</v>
      </c>
      <c r="E76" t="s">
        <v>109</v>
      </c>
      <c r="F76" t="s">
        <v>596</v>
      </c>
      <c r="G76" t="s">
        <v>491</v>
      </c>
      <c r="H76" t="s">
        <v>597</v>
      </c>
      <c r="I76" t="s">
        <v>25</v>
      </c>
      <c r="J76" t="s">
        <v>25</v>
      </c>
      <c r="K76" t="s">
        <v>598</v>
      </c>
      <c r="L76" t="s">
        <v>599</v>
      </c>
      <c r="M76" t="s">
        <v>600</v>
      </c>
      <c r="N76">
        <v>2023</v>
      </c>
      <c r="O76" t="s">
        <v>105</v>
      </c>
      <c r="P76" t="s">
        <v>106</v>
      </c>
      <c r="Q76">
        <v>3</v>
      </c>
      <c r="R76">
        <v>6</v>
      </c>
      <c r="S76" t="s">
        <v>2908</v>
      </c>
    </row>
    <row r="77" spans="1:19" x14ac:dyDescent="0.25">
      <c r="A77" t="s">
        <v>601</v>
      </c>
      <c r="B77" t="s">
        <v>602</v>
      </c>
      <c r="C77" t="s">
        <v>134</v>
      </c>
      <c r="D77" s="2">
        <v>38842</v>
      </c>
      <c r="E77" t="s">
        <v>21</v>
      </c>
      <c r="F77" t="s">
        <v>57</v>
      </c>
      <c r="G77" t="s">
        <v>417</v>
      </c>
      <c r="H77" t="s">
        <v>603</v>
      </c>
      <c r="I77" t="s">
        <v>82</v>
      </c>
      <c r="J77" t="s">
        <v>175</v>
      </c>
      <c r="K77" t="s">
        <v>604</v>
      </c>
      <c r="L77" t="s">
        <v>605</v>
      </c>
      <c r="M77" t="s">
        <v>606</v>
      </c>
      <c r="N77">
        <v>2021</v>
      </c>
      <c r="O77" t="s">
        <v>95</v>
      </c>
      <c r="P77" t="s">
        <v>96</v>
      </c>
      <c r="Q77">
        <v>1</v>
      </c>
      <c r="R77">
        <v>2</v>
      </c>
      <c r="S77" t="s">
        <v>2889</v>
      </c>
    </row>
    <row r="78" spans="1:19" x14ac:dyDescent="0.25">
      <c r="A78" t="s">
        <v>607</v>
      </c>
      <c r="B78" t="s">
        <v>608</v>
      </c>
      <c r="C78" t="s">
        <v>134</v>
      </c>
      <c r="D78" s="2">
        <v>36580</v>
      </c>
      <c r="E78" t="s">
        <v>67</v>
      </c>
      <c r="F78" t="s">
        <v>609</v>
      </c>
      <c r="G78" t="s">
        <v>57</v>
      </c>
      <c r="H78" t="s">
        <v>610</v>
      </c>
      <c r="I78" t="s">
        <v>138</v>
      </c>
      <c r="J78" t="s">
        <v>139</v>
      </c>
      <c r="K78" t="s">
        <v>611</v>
      </c>
      <c r="L78" t="s">
        <v>612</v>
      </c>
      <c r="M78" t="s">
        <v>613</v>
      </c>
      <c r="N78">
        <v>2022</v>
      </c>
      <c r="O78" t="s">
        <v>95</v>
      </c>
      <c r="P78" t="s">
        <v>96</v>
      </c>
      <c r="Q78">
        <v>1</v>
      </c>
      <c r="R78">
        <v>2</v>
      </c>
      <c r="S78" t="s">
        <v>2889</v>
      </c>
    </row>
    <row r="79" spans="1:19" x14ac:dyDescent="0.25">
      <c r="A79" t="s">
        <v>614</v>
      </c>
      <c r="B79" t="s">
        <v>588</v>
      </c>
      <c r="C79" t="s">
        <v>134</v>
      </c>
      <c r="D79" s="2">
        <v>37177</v>
      </c>
      <c r="E79" t="s">
        <v>21</v>
      </c>
      <c r="F79" t="s">
        <v>615</v>
      </c>
      <c r="G79" t="s">
        <v>616</v>
      </c>
      <c r="H79" t="s">
        <v>617</v>
      </c>
      <c r="I79" t="s">
        <v>25</v>
      </c>
      <c r="J79" t="s">
        <v>25</v>
      </c>
      <c r="K79" t="s">
        <v>618</v>
      </c>
      <c r="L79" t="s">
        <v>619</v>
      </c>
      <c r="M79" t="s">
        <v>620</v>
      </c>
      <c r="N79">
        <v>2024</v>
      </c>
      <c r="O79" t="s">
        <v>30</v>
      </c>
      <c r="P79" t="s">
        <v>31</v>
      </c>
      <c r="Q79">
        <v>2</v>
      </c>
      <c r="R79">
        <v>4</v>
      </c>
      <c r="S79" t="s">
        <v>2895</v>
      </c>
    </row>
    <row r="80" spans="1:19" x14ac:dyDescent="0.25">
      <c r="A80" t="s">
        <v>621</v>
      </c>
      <c r="B80" t="s">
        <v>622</v>
      </c>
      <c r="C80" t="s">
        <v>134</v>
      </c>
      <c r="D80" s="2">
        <v>39285</v>
      </c>
      <c r="E80" t="s">
        <v>35</v>
      </c>
      <c r="F80" t="s">
        <v>623</v>
      </c>
      <c r="G80" t="s">
        <v>624</v>
      </c>
      <c r="H80" t="s">
        <v>625</v>
      </c>
      <c r="I80" t="s">
        <v>91</v>
      </c>
      <c r="J80" t="s">
        <v>71</v>
      </c>
      <c r="K80" t="s">
        <v>626</v>
      </c>
      <c r="L80" t="s">
        <v>627</v>
      </c>
      <c r="M80" t="s">
        <v>628</v>
      </c>
      <c r="N80">
        <v>2023</v>
      </c>
      <c r="O80" t="s">
        <v>63</v>
      </c>
      <c r="P80" t="s">
        <v>64</v>
      </c>
      <c r="Q80">
        <v>3</v>
      </c>
      <c r="R80">
        <v>6</v>
      </c>
      <c r="S80" t="s">
        <v>2932</v>
      </c>
    </row>
    <row r="81" spans="1:19" x14ac:dyDescent="0.25">
      <c r="A81" t="s">
        <v>629</v>
      </c>
      <c r="B81" t="s">
        <v>630</v>
      </c>
      <c r="C81" t="s">
        <v>20</v>
      </c>
      <c r="D81" s="2">
        <v>38950</v>
      </c>
      <c r="E81" t="s">
        <v>145</v>
      </c>
      <c r="F81" t="s">
        <v>479</v>
      </c>
      <c r="G81" t="s">
        <v>631</v>
      </c>
      <c r="H81" t="s">
        <v>632</v>
      </c>
      <c r="I81" t="s">
        <v>91</v>
      </c>
      <c r="J81" t="s">
        <v>71</v>
      </c>
      <c r="K81" t="s">
        <v>633</v>
      </c>
      <c r="L81" t="s">
        <v>634</v>
      </c>
      <c r="M81" t="s">
        <v>635</v>
      </c>
      <c r="N81">
        <v>2023</v>
      </c>
      <c r="O81" t="s">
        <v>159</v>
      </c>
      <c r="P81" t="s">
        <v>160</v>
      </c>
      <c r="Q81">
        <v>3</v>
      </c>
      <c r="R81">
        <v>6</v>
      </c>
      <c r="S81" t="s">
        <v>2902</v>
      </c>
    </row>
    <row r="82" spans="1:19" x14ac:dyDescent="0.25">
      <c r="A82" t="s">
        <v>636</v>
      </c>
      <c r="B82" t="s">
        <v>637</v>
      </c>
      <c r="C82" t="s">
        <v>20</v>
      </c>
      <c r="D82" s="2">
        <v>37919</v>
      </c>
      <c r="E82" t="s">
        <v>145</v>
      </c>
      <c r="F82" t="s">
        <v>638</v>
      </c>
      <c r="G82" t="s">
        <v>557</v>
      </c>
      <c r="H82" t="s">
        <v>639</v>
      </c>
      <c r="I82" t="s">
        <v>368</v>
      </c>
      <c r="J82" t="s">
        <v>50</v>
      </c>
      <c r="K82" t="s">
        <v>640</v>
      </c>
      <c r="L82" t="s">
        <v>641</v>
      </c>
      <c r="M82" t="s">
        <v>642</v>
      </c>
      <c r="N82">
        <v>2021</v>
      </c>
      <c r="O82" t="s">
        <v>63</v>
      </c>
      <c r="P82" t="s">
        <v>64</v>
      </c>
      <c r="Q82">
        <v>1</v>
      </c>
      <c r="R82">
        <v>2</v>
      </c>
      <c r="S82" t="s">
        <v>2932</v>
      </c>
    </row>
    <row r="83" spans="1:19" x14ac:dyDescent="0.25">
      <c r="A83" t="s">
        <v>643</v>
      </c>
      <c r="B83" t="s">
        <v>644</v>
      </c>
      <c r="C83" t="s">
        <v>134</v>
      </c>
      <c r="D83" s="2">
        <v>37865</v>
      </c>
      <c r="E83" t="s">
        <v>109</v>
      </c>
      <c r="F83" t="s">
        <v>645</v>
      </c>
      <c r="G83" t="s">
        <v>424</v>
      </c>
      <c r="H83" t="s">
        <v>646</v>
      </c>
      <c r="I83" t="s">
        <v>49</v>
      </c>
      <c r="J83" t="s">
        <v>201</v>
      </c>
      <c r="K83" t="s">
        <v>647</v>
      </c>
      <c r="L83" t="s">
        <v>648</v>
      </c>
      <c r="M83" t="s">
        <v>649</v>
      </c>
      <c r="N83">
        <v>2022</v>
      </c>
      <c r="O83" t="s">
        <v>212</v>
      </c>
      <c r="P83" t="s">
        <v>213</v>
      </c>
      <c r="Q83">
        <v>1</v>
      </c>
      <c r="R83">
        <v>2</v>
      </c>
      <c r="S83" t="s">
        <v>3001</v>
      </c>
    </row>
    <row r="84" spans="1:19" x14ac:dyDescent="0.25">
      <c r="A84" t="s">
        <v>650</v>
      </c>
      <c r="B84" t="s">
        <v>651</v>
      </c>
      <c r="C84" t="s">
        <v>20</v>
      </c>
      <c r="D84" s="2">
        <v>39325</v>
      </c>
      <c r="E84" t="s">
        <v>109</v>
      </c>
      <c r="F84" t="s">
        <v>652</v>
      </c>
      <c r="G84" t="s">
        <v>66</v>
      </c>
      <c r="H84" t="s">
        <v>653</v>
      </c>
      <c r="I84" t="s">
        <v>200</v>
      </c>
      <c r="J84" t="s">
        <v>40</v>
      </c>
      <c r="K84" t="s">
        <v>654</v>
      </c>
      <c r="L84" t="s">
        <v>655</v>
      </c>
      <c r="M84" t="s">
        <v>656</v>
      </c>
      <c r="N84">
        <v>2023</v>
      </c>
      <c r="O84" t="s">
        <v>159</v>
      </c>
      <c r="P84" t="s">
        <v>160</v>
      </c>
      <c r="Q84">
        <v>3</v>
      </c>
      <c r="R84">
        <v>6</v>
      </c>
      <c r="S84" t="s">
        <v>2902</v>
      </c>
    </row>
    <row r="85" spans="1:19" x14ac:dyDescent="0.25">
      <c r="A85" t="s">
        <v>657</v>
      </c>
      <c r="B85" t="s">
        <v>116</v>
      </c>
      <c r="C85" t="s">
        <v>134</v>
      </c>
      <c r="D85" s="2">
        <v>37852</v>
      </c>
      <c r="E85" t="s">
        <v>145</v>
      </c>
      <c r="F85" t="s">
        <v>658</v>
      </c>
      <c r="G85" t="s">
        <v>659</v>
      </c>
      <c r="H85" t="s">
        <v>660</v>
      </c>
      <c r="I85" t="s">
        <v>138</v>
      </c>
      <c r="J85" t="s">
        <v>139</v>
      </c>
      <c r="K85" t="s">
        <v>661</v>
      </c>
      <c r="L85" t="s">
        <v>662</v>
      </c>
      <c r="M85" t="s">
        <v>663</v>
      </c>
      <c r="N85">
        <v>2021</v>
      </c>
      <c r="O85" t="s">
        <v>105</v>
      </c>
      <c r="P85" t="s">
        <v>106</v>
      </c>
      <c r="Q85">
        <v>1</v>
      </c>
      <c r="R85">
        <v>2</v>
      </c>
      <c r="S85" t="s">
        <v>2908</v>
      </c>
    </row>
    <row r="86" spans="1:19" x14ac:dyDescent="0.25">
      <c r="A86" t="s">
        <v>664</v>
      </c>
      <c r="B86" t="s">
        <v>87</v>
      </c>
      <c r="C86" t="s">
        <v>20</v>
      </c>
      <c r="D86" s="2">
        <v>37826</v>
      </c>
      <c r="E86" t="s">
        <v>21</v>
      </c>
      <c r="F86" t="s">
        <v>665</v>
      </c>
      <c r="G86" t="s">
        <v>307</v>
      </c>
      <c r="H86" t="s">
        <v>666</v>
      </c>
      <c r="I86" t="s">
        <v>25</v>
      </c>
      <c r="J86" t="s">
        <v>25</v>
      </c>
      <c r="K86" t="s">
        <v>667</v>
      </c>
      <c r="L86" t="s">
        <v>668</v>
      </c>
      <c r="M86" t="s">
        <v>669</v>
      </c>
      <c r="N86">
        <v>2024</v>
      </c>
      <c r="O86" t="s">
        <v>95</v>
      </c>
      <c r="P86" t="s">
        <v>96</v>
      </c>
      <c r="Q86">
        <v>2</v>
      </c>
      <c r="R86">
        <v>4</v>
      </c>
      <c r="S86" t="s">
        <v>2889</v>
      </c>
    </row>
    <row r="87" spans="1:19" x14ac:dyDescent="0.25">
      <c r="A87" t="s">
        <v>670</v>
      </c>
      <c r="B87" t="s">
        <v>671</v>
      </c>
      <c r="C87" t="s">
        <v>134</v>
      </c>
      <c r="D87" s="2">
        <v>39412</v>
      </c>
      <c r="E87" t="s">
        <v>196</v>
      </c>
      <c r="F87" t="s">
        <v>173</v>
      </c>
      <c r="G87" t="s">
        <v>672</v>
      </c>
      <c r="H87" t="s">
        <v>673</v>
      </c>
      <c r="I87" t="s">
        <v>91</v>
      </c>
      <c r="J87" t="s">
        <v>71</v>
      </c>
      <c r="K87" t="s">
        <v>674</v>
      </c>
      <c r="L87" t="s">
        <v>675</v>
      </c>
      <c r="M87" t="s">
        <v>676</v>
      </c>
      <c r="N87">
        <v>2022</v>
      </c>
      <c r="O87" t="s">
        <v>63</v>
      </c>
      <c r="P87" t="s">
        <v>64</v>
      </c>
      <c r="Q87">
        <v>1</v>
      </c>
      <c r="R87">
        <v>2</v>
      </c>
      <c r="S87" t="s">
        <v>2932</v>
      </c>
    </row>
    <row r="88" spans="1:19" x14ac:dyDescent="0.25">
      <c r="A88" t="s">
        <v>677</v>
      </c>
      <c r="B88" t="s">
        <v>678</v>
      </c>
      <c r="C88" t="s">
        <v>20</v>
      </c>
      <c r="D88" s="2">
        <v>38193</v>
      </c>
      <c r="E88" t="s">
        <v>21</v>
      </c>
      <c r="F88" t="s">
        <v>46</v>
      </c>
      <c r="G88" t="s">
        <v>679</v>
      </c>
      <c r="H88" t="s">
        <v>680</v>
      </c>
      <c r="I88" t="s">
        <v>138</v>
      </c>
      <c r="J88" t="s">
        <v>139</v>
      </c>
      <c r="K88" t="s">
        <v>681</v>
      </c>
      <c r="L88" t="s">
        <v>682</v>
      </c>
      <c r="M88" t="s">
        <v>683</v>
      </c>
      <c r="N88">
        <v>2023</v>
      </c>
      <c r="O88" t="s">
        <v>212</v>
      </c>
      <c r="P88" t="s">
        <v>213</v>
      </c>
      <c r="Q88">
        <v>3</v>
      </c>
      <c r="R88">
        <v>6</v>
      </c>
      <c r="S88" t="s">
        <v>3001</v>
      </c>
    </row>
    <row r="89" spans="1:19" x14ac:dyDescent="0.25">
      <c r="A89" t="s">
        <v>684</v>
      </c>
      <c r="B89" t="s">
        <v>452</v>
      </c>
      <c r="C89" t="s">
        <v>20</v>
      </c>
      <c r="D89" s="2">
        <v>38477</v>
      </c>
      <c r="E89" t="s">
        <v>35</v>
      </c>
      <c r="F89" t="s">
        <v>685</v>
      </c>
      <c r="G89" t="s">
        <v>686</v>
      </c>
      <c r="H89" t="s">
        <v>687</v>
      </c>
      <c r="I89" t="s">
        <v>91</v>
      </c>
      <c r="J89" t="s">
        <v>71</v>
      </c>
      <c r="K89" t="s">
        <v>688</v>
      </c>
      <c r="L89" t="s">
        <v>689</v>
      </c>
      <c r="M89" t="s">
        <v>690</v>
      </c>
      <c r="N89">
        <v>2024</v>
      </c>
      <c r="O89" t="s">
        <v>30</v>
      </c>
      <c r="P89" t="s">
        <v>31</v>
      </c>
      <c r="Q89">
        <v>2</v>
      </c>
      <c r="R89">
        <v>4</v>
      </c>
      <c r="S89" t="s">
        <v>2895</v>
      </c>
    </row>
    <row r="90" spans="1:19" x14ac:dyDescent="0.25">
      <c r="A90" t="s">
        <v>691</v>
      </c>
      <c r="B90" t="s">
        <v>471</v>
      </c>
      <c r="C90" t="s">
        <v>134</v>
      </c>
      <c r="D90" s="2">
        <v>37129</v>
      </c>
      <c r="E90" t="s">
        <v>171</v>
      </c>
      <c r="F90" t="s">
        <v>692</v>
      </c>
      <c r="G90" t="s">
        <v>693</v>
      </c>
      <c r="H90" t="s">
        <v>694</v>
      </c>
      <c r="I90" t="s">
        <v>200</v>
      </c>
      <c r="J90" t="s">
        <v>40</v>
      </c>
      <c r="K90" t="s">
        <v>695</v>
      </c>
      <c r="L90" t="s">
        <v>696</v>
      </c>
      <c r="M90" t="s">
        <v>697</v>
      </c>
      <c r="N90">
        <v>2022</v>
      </c>
      <c r="O90" t="s">
        <v>30</v>
      </c>
      <c r="P90" t="s">
        <v>31</v>
      </c>
      <c r="Q90">
        <v>1</v>
      </c>
      <c r="R90">
        <v>2</v>
      </c>
      <c r="S90" t="s">
        <v>2895</v>
      </c>
    </row>
    <row r="91" spans="1:19" x14ac:dyDescent="0.25">
      <c r="A91" t="s">
        <v>698</v>
      </c>
      <c r="B91" t="s">
        <v>497</v>
      </c>
      <c r="C91" t="s">
        <v>20</v>
      </c>
      <c r="D91" s="2">
        <v>36404</v>
      </c>
      <c r="E91" t="s">
        <v>145</v>
      </c>
      <c r="F91" t="s">
        <v>699</v>
      </c>
      <c r="G91" t="s">
        <v>700</v>
      </c>
      <c r="H91" t="s">
        <v>701</v>
      </c>
      <c r="I91" t="s">
        <v>49</v>
      </c>
      <c r="J91" t="s">
        <v>201</v>
      </c>
      <c r="K91" t="s">
        <v>702</v>
      </c>
      <c r="L91" t="s">
        <v>703</v>
      </c>
      <c r="M91" t="s">
        <v>704</v>
      </c>
      <c r="N91">
        <v>2022</v>
      </c>
      <c r="O91" t="s">
        <v>63</v>
      </c>
      <c r="P91" t="s">
        <v>64</v>
      </c>
      <c r="Q91">
        <v>1</v>
      </c>
      <c r="R91">
        <v>2</v>
      </c>
      <c r="S91" t="s">
        <v>2932</v>
      </c>
    </row>
    <row r="92" spans="1:19" x14ac:dyDescent="0.25">
      <c r="A92" t="s">
        <v>705</v>
      </c>
      <c r="B92" t="s">
        <v>631</v>
      </c>
      <c r="C92" t="s">
        <v>134</v>
      </c>
      <c r="D92" s="2">
        <v>37367</v>
      </c>
      <c r="E92" t="s">
        <v>21</v>
      </c>
      <c r="F92" t="s">
        <v>706</v>
      </c>
      <c r="G92" t="s">
        <v>320</v>
      </c>
      <c r="H92" t="s">
        <v>707</v>
      </c>
      <c r="I92" t="s">
        <v>200</v>
      </c>
      <c r="J92" t="s">
        <v>40</v>
      </c>
      <c r="K92" t="s">
        <v>708</v>
      </c>
      <c r="L92" t="s">
        <v>709</v>
      </c>
      <c r="M92" t="s">
        <v>710</v>
      </c>
      <c r="N92">
        <v>2021</v>
      </c>
      <c r="O92" t="s">
        <v>122</v>
      </c>
      <c r="P92" t="s">
        <v>123</v>
      </c>
      <c r="Q92">
        <v>1</v>
      </c>
      <c r="R92">
        <v>2</v>
      </c>
      <c r="S92" t="s">
        <v>2919</v>
      </c>
    </row>
    <row r="93" spans="1:19" x14ac:dyDescent="0.25">
      <c r="A93" t="s">
        <v>711</v>
      </c>
      <c r="B93" t="s">
        <v>712</v>
      </c>
      <c r="C93" t="s">
        <v>134</v>
      </c>
      <c r="D93" s="2">
        <v>36438</v>
      </c>
      <c r="E93" t="s">
        <v>67</v>
      </c>
      <c r="F93" t="s">
        <v>57</v>
      </c>
      <c r="G93" t="s">
        <v>566</v>
      </c>
      <c r="H93" t="s">
        <v>713</v>
      </c>
      <c r="I93" t="s">
        <v>82</v>
      </c>
      <c r="J93" t="s">
        <v>175</v>
      </c>
      <c r="K93" t="s">
        <v>714</v>
      </c>
      <c r="L93" t="s">
        <v>715</v>
      </c>
      <c r="M93" t="s">
        <v>716</v>
      </c>
      <c r="N93">
        <v>2021</v>
      </c>
      <c r="O93" t="s">
        <v>159</v>
      </c>
      <c r="P93" t="s">
        <v>160</v>
      </c>
      <c r="Q93">
        <v>1</v>
      </c>
      <c r="R93">
        <v>2</v>
      </c>
      <c r="S93" t="s">
        <v>2902</v>
      </c>
    </row>
    <row r="94" spans="1:19" x14ac:dyDescent="0.25">
      <c r="A94" t="s">
        <v>717</v>
      </c>
      <c r="B94" t="s">
        <v>394</v>
      </c>
      <c r="C94" t="s">
        <v>20</v>
      </c>
      <c r="D94" s="2">
        <v>36820</v>
      </c>
      <c r="E94" t="s">
        <v>145</v>
      </c>
      <c r="F94" t="s">
        <v>718</v>
      </c>
      <c r="G94" t="s">
        <v>181</v>
      </c>
      <c r="H94" t="s">
        <v>719</v>
      </c>
      <c r="I94" t="s">
        <v>82</v>
      </c>
      <c r="J94" t="s">
        <v>175</v>
      </c>
      <c r="K94" t="s">
        <v>720</v>
      </c>
      <c r="L94" t="s">
        <v>721</v>
      </c>
      <c r="M94" t="s">
        <v>722</v>
      </c>
      <c r="N94">
        <v>2021</v>
      </c>
      <c r="O94" t="s">
        <v>30</v>
      </c>
      <c r="P94" t="s">
        <v>31</v>
      </c>
      <c r="Q94">
        <v>1</v>
      </c>
      <c r="R94">
        <v>2</v>
      </c>
      <c r="S94" t="s">
        <v>2895</v>
      </c>
    </row>
    <row r="95" spans="1:19" x14ac:dyDescent="0.25">
      <c r="A95" t="s">
        <v>723</v>
      </c>
      <c r="B95" t="s">
        <v>46</v>
      </c>
      <c r="C95" t="s">
        <v>134</v>
      </c>
      <c r="D95" s="2">
        <v>37367</v>
      </c>
      <c r="E95" t="s">
        <v>67</v>
      </c>
      <c r="F95" t="s">
        <v>260</v>
      </c>
      <c r="G95" t="s">
        <v>198</v>
      </c>
      <c r="H95" t="s">
        <v>724</v>
      </c>
      <c r="I95" t="s">
        <v>200</v>
      </c>
      <c r="J95" t="s">
        <v>40</v>
      </c>
      <c r="K95" t="s">
        <v>725</v>
      </c>
      <c r="L95" t="s">
        <v>726</v>
      </c>
      <c r="M95" t="s">
        <v>727</v>
      </c>
      <c r="N95">
        <v>2022</v>
      </c>
      <c r="O95" t="s">
        <v>122</v>
      </c>
      <c r="P95" t="s">
        <v>123</v>
      </c>
      <c r="Q95">
        <v>1</v>
      </c>
      <c r="R95">
        <v>2</v>
      </c>
      <c r="S95" t="s">
        <v>2919</v>
      </c>
    </row>
    <row r="96" spans="1:19" x14ac:dyDescent="0.25">
      <c r="A96" t="s">
        <v>728</v>
      </c>
      <c r="B96" t="s">
        <v>270</v>
      </c>
      <c r="C96" t="s">
        <v>134</v>
      </c>
      <c r="D96" s="2">
        <v>39242</v>
      </c>
      <c r="E96" t="s">
        <v>196</v>
      </c>
      <c r="F96" t="s">
        <v>283</v>
      </c>
      <c r="G96" t="s">
        <v>334</v>
      </c>
      <c r="H96" t="s">
        <v>729</v>
      </c>
      <c r="I96" t="s">
        <v>82</v>
      </c>
      <c r="J96" t="s">
        <v>175</v>
      </c>
      <c r="K96" t="s">
        <v>730</v>
      </c>
      <c r="L96" t="s">
        <v>731</v>
      </c>
      <c r="M96" t="s">
        <v>732</v>
      </c>
      <c r="N96">
        <v>2024</v>
      </c>
      <c r="O96" t="s">
        <v>105</v>
      </c>
      <c r="P96" t="s">
        <v>106</v>
      </c>
      <c r="Q96">
        <v>2</v>
      </c>
      <c r="R96">
        <v>4</v>
      </c>
      <c r="S96" t="s">
        <v>2908</v>
      </c>
    </row>
    <row r="97" spans="1:19" x14ac:dyDescent="0.25">
      <c r="A97" t="s">
        <v>733</v>
      </c>
      <c r="B97" t="s">
        <v>734</v>
      </c>
      <c r="C97" t="s">
        <v>134</v>
      </c>
      <c r="D97" s="2">
        <v>36677</v>
      </c>
      <c r="E97" t="s">
        <v>196</v>
      </c>
      <c r="F97" t="s">
        <v>386</v>
      </c>
      <c r="G97" t="s">
        <v>735</v>
      </c>
      <c r="H97" t="s">
        <v>736</v>
      </c>
      <c r="I97" t="s">
        <v>25</v>
      </c>
      <c r="J97" t="s">
        <v>25</v>
      </c>
      <c r="K97" t="s">
        <v>737</v>
      </c>
      <c r="L97" t="s">
        <v>738</v>
      </c>
      <c r="M97" t="s">
        <v>739</v>
      </c>
      <c r="N97">
        <v>2021</v>
      </c>
      <c r="O97" t="s">
        <v>122</v>
      </c>
      <c r="P97" t="s">
        <v>123</v>
      </c>
      <c r="Q97">
        <v>1</v>
      </c>
      <c r="R97">
        <v>2</v>
      </c>
      <c r="S97" t="s">
        <v>2919</v>
      </c>
    </row>
    <row r="98" spans="1:19" x14ac:dyDescent="0.25">
      <c r="A98" t="s">
        <v>740</v>
      </c>
      <c r="B98" t="s">
        <v>457</v>
      </c>
      <c r="C98" t="s">
        <v>20</v>
      </c>
      <c r="D98" s="2">
        <v>37844</v>
      </c>
      <c r="E98" t="s">
        <v>171</v>
      </c>
      <c r="F98" t="s">
        <v>19</v>
      </c>
      <c r="G98" t="s">
        <v>79</v>
      </c>
      <c r="H98" t="s">
        <v>741</v>
      </c>
      <c r="I98" t="s">
        <v>263</v>
      </c>
      <c r="J98" t="s">
        <v>139</v>
      </c>
      <c r="K98" t="s">
        <v>742</v>
      </c>
      <c r="L98" t="s">
        <v>743</v>
      </c>
      <c r="M98" t="s">
        <v>744</v>
      </c>
      <c r="N98">
        <v>2022</v>
      </c>
      <c r="O98" t="s">
        <v>105</v>
      </c>
      <c r="P98" t="s">
        <v>106</v>
      </c>
      <c r="Q98">
        <v>1</v>
      </c>
      <c r="R98">
        <v>2</v>
      </c>
      <c r="S98" t="s">
        <v>2908</v>
      </c>
    </row>
    <row r="99" spans="1:19" x14ac:dyDescent="0.25">
      <c r="A99" t="s">
        <v>745</v>
      </c>
      <c r="B99" t="s">
        <v>631</v>
      </c>
      <c r="C99" t="s">
        <v>20</v>
      </c>
      <c r="D99" s="2">
        <v>39331</v>
      </c>
      <c r="E99" t="s">
        <v>171</v>
      </c>
      <c r="F99" t="s">
        <v>746</v>
      </c>
      <c r="G99" t="s">
        <v>565</v>
      </c>
      <c r="H99" t="s">
        <v>747</v>
      </c>
      <c r="I99" t="s">
        <v>368</v>
      </c>
      <c r="J99" t="s">
        <v>50</v>
      </c>
      <c r="K99" t="s">
        <v>748</v>
      </c>
      <c r="L99" t="s">
        <v>749</v>
      </c>
      <c r="M99" t="s">
        <v>750</v>
      </c>
      <c r="N99">
        <v>2021</v>
      </c>
      <c r="O99" t="s">
        <v>95</v>
      </c>
      <c r="P99" t="s">
        <v>96</v>
      </c>
      <c r="Q99">
        <v>1</v>
      </c>
      <c r="R99">
        <v>2</v>
      </c>
      <c r="S99" t="s">
        <v>2889</v>
      </c>
    </row>
    <row r="100" spans="1:19" x14ac:dyDescent="0.25">
      <c r="A100" t="s">
        <v>751</v>
      </c>
      <c r="B100" t="s">
        <v>752</v>
      </c>
      <c r="C100" t="s">
        <v>134</v>
      </c>
      <c r="D100" s="2">
        <v>37637</v>
      </c>
      <c r="E100" t="s">
        <v>171</v>
      </c>
      <c r="F100" t="s">
        <v>753</v>
      </c>
      <c r="G100" t="s">
        <v>504</v>
      </c>
      <c r="H100" t="s">
        <v>754</v>
      </c>
      <c r="I100" t="s">
        <v>82</v>
      </c>
      <c r="J100" t="s">
        <v>175</v>
      </c>
      <c r="K100" t="s">
        <v>755</v>
      </c>
      <c r="L100" t="s">
        <v>756</v>
      </c>
      <c r="M100" t="s">
        <v>757</v>
      </c>
      <c r="N100">
        <v>2022</v>
      </c>
      <c r="O100" t="s">
        <v>95</v>
      </c>
      <c r="P100" t="s">
        <v>96</v>
      </c>
      <c r="Q100">
        <v>1</v>
      </c>
      <c r="R100">
        <v>2</v>
      </c>
      <c r="S100" t="s">
        <v>2889</v>
      </c>
    </row>
    <row r="101" spans="1:19" x14ac:dyDescent="0.25">
      <c r="A101" t="s">
        <v>758</v>
      </c>
      <c r="B101" t="s">
        <v>759</v>
      </c>
      <c r="C101" t="s">
        <v>20</v>
      </c>
      <c r="D101" s="2">
        <v>38829</v>
      </c>
      <c r="E101" t="s">
        <v>35</v>
      </c>
      <c r="F101" t="s">
        <v>760</v>
      </c>
      <c r="G101" t="s">
        <v>761</v>
      </c>
      <c r="H101" t="s">
        <v>762</v>
      </c>
      <c r="I101" t="s">
        <v>263</v>
      </c>
      <c r="J101" t="s">
        <v>139</v>
      </c>
      <c r="K101" t="s">
        <v>763</v>
      </c>
      <c r="L101" t="s">
        <v>764</v>
      </c>
      <c r="M101" t="s">
        <v>765</v>
      </c>
      <c r="N101">
        <v>2023</v>
      </c>
      <c r="O101" t="s">
        <v>122</v>
      </c>
      <c r="P101" t="s">
        <v>123</v>
      </c>
      <c r="Q101">
        <v>3</v>
      </c>
      <c r="R101">
        <v>6</v>
      </c>
      <c r="S101" t="s">
        <v>2919</v>
      </c>
    </row>
    <row r="102" spans="1:19" x14ac:dyDescent="0.25">
      <c r="A102" t="s">
        <v>766</v>
      </c>
      <c r="B102" t="s">
        <v>244</v>
      </c>
      <c r="C102" t="s">
        <v>134</v>
      </c>
      <c r="D102" s="2">
        <v>38134</v>
      </c>
      <c r="E102" t="s">
        <v>67</v>
      </c>
      <c r="F102" t="s">
        <v>417</v>
      </c>
      <c r="G102" t="s">
        <v>588</v>
      </c>
      <c r="H102" t="s">
        <v>767</v>
      </c>
      <c r="I102" t="s">
        <v>25</v>
      </c>
      <c r="J102" t="s">
        <v>25</v>
      </c>
      <c r="K102" t="s">
        <v>768</v>
      </c>
      <c r="L102" t="s">
        <v>769</v>
      </c>
      <c r="M102" t="s">
        <v>770</v>
      </c>
      <c r="N102">
        <v>2022</v>
      </c>
      <c r="O102" t="s">
        <v>212</v>
      </c>
      <c r="P102" t="s">
        <v>213</v>
      </c>
      <c r="Q102">
        <v>1</v>
      </c>
      <c r="R102">
        <v>2</v>
      </c>
      <c r="S102" t="s">
        <v>3001</v>
      </c>
    </row>
    <row r="103" spans="1:19" x14ac:dyDescent="0.25">
      <c r="A103" t="s">
        <v>771</v>
      </c>
      <c r="B103" t="s">
        <v>772</v>
      </c>
      <c r="C103" t="s">
        <v>20</v>
      </c>
      <c r="D103" s="2">
        <v>38238</v>
      </c>
      <c r="E103" t="s">
        <v>21</v>
      </c>
      <c r="F103" t="s">
        <v>773</v>
      </c>
      <c r="G103" t="s">
        <v>260</v>
      </c>
      <c r="H103" t="s">
        <v>774</v>
      </c>
      <c r="I103" t="s">
        <v>39</v>
      </c>
      <c r="J103" t="s">
        <v>26</v>
      </c>
      <c r="K103" t="s">
        <v>775</v>
      </c>
      <c r="L103" t="s">
        <v>776</v>
      </c>
      <c r="M103" t="s">
        <v>777</v>
      </c>
      <c r="N103">
        <v>2021</v>
      </c>
      <c r="O103" t="s">
        <v>159</v>
      </c>
      <c r="P103" t="s">
        <v>160</v>
      </c>
      <c r="Q103">
        <v>1</v>
      </c>
      <c r="R103">
        <v>2</v>
      </c>
      <c r="S103" t="s">
        <v>2902</v>
      </c>
    </row>
    <row r="104" spans="1:19" x14ac:dyDescent="0.25">
      <c r="A104" t="s">
        <v>778</v>
      </c>
      <c r="B104" t="s">
        <v>56</v>
      </c>
      <c r="C104" t="s">
        <v>20</v>
      </c>
      <c r="D104" s="2">
        <v>36651</v>
      </c>
      <c r="E104" t="s">
        <v>35</v>
      </c>
      <c r="F104" t="s">
        <v>144</v>
      </c>
      <c r="G104" t="s">
        <v>306</v>
      </c>
      <c r="H104" t="s">
        <v>779</v>
      </c>
      <c r="I104" t="s">
        <v>263</v>
      </c>
      <c r="J104" t="s">
        <v>139</v>
      </c>
      <c r="K104" t="s">
        <v>780</v>
      </c>
      <c r="L104" t="s">
        <v>781</v>
      </c>
      <c r="M104" t="s">
        <v>782</v>
      </c>
      <c r="N104">
        <v>2022</v>
      </c>
      <c r="O104" t="s">
        <v>212</v>
      </c>
      <c r="P104" t="s">
        <v>213</v>
      </c>
      <c r="Q104">
        <v>1</v>
      </c>
      <c r="R104">
        <v>2</v>
      </c>
      <c r="S104" t="s">
        <v>3001</v>
      </c>
    </row>
    <row r="105" spans="1:19" x14ac:dyDescent="0.25">
      <c r="A105" t="s">
        <v>783</v>
      </c>
      <c r="B105" t="s">
        <v>566</v>
      </c>
      <c r="C105" t="s">
        <v>134</v>
      </c>
      <c r="D105" s="2">
        <v>38677</v>
      </c>
      <c r="E105" t="s">
        <v>171</v>
      </c>
      <c r="F105" t="s">
        <v>784</v>
      </c>
      <c r="G105" t="s">
        <v>358</v>
      </c>
      <c r="H105" t="s">
        <v>785</v>
      </c>
      <c r="I105" t="s">
        <v>200</v>
      </c>
      <c r="J105" t="s">
        <v>40</v>
      </c>
      <c r="K105" t="s">
        <v>786</v>
      </c>
      <c r="L105" t="s">
        <v>787</v>
      </c>
      <c r="M105" t="s">
        <v>788</v>
      </c>
      <c r="N105">
        <v>2021</v>
      </c>
      <c r="O105" t="s">
        <v>122</v>
      </c>
      <c r="P105" t="s">
        <v>123</v>
      </c>
      <c r="Q105">
        <v>1</v>
      </c>
      <c r="R105">
        <v>2</v>
      </c>
      <c r="S105" t="s">
        <v>2919</v>
      </c>
    </row>
    <row r="106" spans="1:19" x14ac:dyDescent="0.25">
      <c r="A106" t="s">
        <v>789</v>
      </c>
      <c r="B106" t="s">
        <v>170</v>
      </c>
      <c r="C106" t="s">
        <v>134</v>
      </c>
      <c r="D106" s="2">
        <v>38292</v>
      </c>
      <c r="E106" t="s">
        <v>35</v>
      </c>
      <c r="F106" t="s">
        <v>790</v>
      </c>
      <c r="G106" t="s">
        <v>23</v>
      </c>
      <c r="H106" t="s">
        <v>791</v>
      </c>
      <c r="I106" t="s">
        <v>368</v>
      </c>
      <c r="J106" t="s">
        <v>50</v>
      </c>
      <c r="K106" t="s">
        <v>792</v>
      </c>
      <c r="L106" t="s">
        <v>793</v>
      </c>
      <c r="M106" t="s">
        <v>794</v>
      </c>
      <c r="N106">
        <v>2021</v>
      </c>
      <c r="O106" t="s">
        <v>159</v>
      </c>
      <c r="P106" t="s">
        <v>160</v>
      </c>
      <c r="Q106">
        <v>1</v>
      </c>
      <c r="R106">
        <v>2</v>
      </c>
      <c r="S106" t="s">
        <v>2902</v>
      </c>
    </row>
    <row r="107" spans="1:19" x14ac:dyDescent="0.25">
      <c r="A107" t="s">
        <v>795</v>
      </c>
      <c r="B107" t="s">
        <v>796</v>
      </c>
      <c r="C107" t="s">
        <v>134</v>
      </c>
      <c r="D107" s="2">
        <v>38986</v>
      </c>
      <c r="E107" t="s">
        <v>171</v>
      </c>
      <c r="F107" t="s">
        <v>797</v>
      </c>
      <c r="G107" t="s">
        <v>798</v>
      </c>
      <c r="H107" t="s">
        <v>799</v>
      </c>
      <c r="I107" t="s">
        <v>263</v>
      </c>
      <c r="J107" t="s">
        <v>139</v>
      </c>
      <c r="K107" t="s">
        <v>800</v>
      </c>
      <c r="L107" t="s">
        <v>801</v>
      </c>
      <c r="M107" t="s">
        <v>802</v>
      </c>
      <c r="N107">
        <v>2023</v>
      </c>
      <c r="O107" t="s">
        <v>95</v>
      </c>
      <c r="P107" t="s">
        <v>96</v>
      </c>
      <c r="Q107">
        <v>3</v>
      </c>
      <c r="R107">
        <v>6</v>
      </c>
      <c r="S107" t="s">
        <v>2889</v>
      </c>
    </row>
    <row r="108" spans="1:19" x14ac:dyDescent="0.25">
      <c r="A108" t="s">
        <v>803</v>
      </c>
      <c r="B108" t="s">
        <v>172</v>
      </c>
      <c r="C108" t="s">
        <v>20</v>
      </c>
      <c r="D108" s="2">
        <v>37370</v>
      </c>
      <c r="E108" t="s">
        <v>171</v>
      </c>
      <c r="F108" t="s">
        <v>804</v>
      </c>
      <c r="G108" t="s">
        <v>452</v>
      </c>
      <c r="H108" t="s">
        <v>805</v>
      </c>
      <c r="I108" t="s">
        <v>49</v>
      </c>
      <c r="J108" t="s">
        <v>201</v>
      </c>
      <c r="K108" t="s">
        <v>806</v>
      </c>
      <c r="L108" t="s">
        <v>807</v>
      </c>
      <c r="M108" t="s">
        <v>808</v>
      </c>
      <c r="N108">
        <v>2022</v>
      </c>
      <c r="O108" t="s">
        <v>75</v>
      </c>
      <c r="P108" t="s">
        <v>76</v>
      </c>
      <c r="Q108">
        <v>1</v>
      </c>
      <c r="R108">
        <v>2</v>
      </c>
      <c r="S108" t="s">
        <v>2961</v>
      </c>
    </row>
    <row r="109" spans="1:19" x14ac:dyDescent="0.25">
      <c r="A109" t="s">
        <v>809</v>
      </c>
      <c r="B109" t="s">
        <v>602</v>
      </c>
      <c r="C109" t="s">
        <v>20</v>
      </c>
      <c r="D109" s="2">
        <v>39444</v>
      </c>
      <c r="E109" t="s">
        <v>109</v>
      </c>
      <c r="F109" t="s">
        <v>810</v>
      </c>
      <c r="G109" t="s">
        <v>811</v>
      </c>
      <c r="H109" t="s">
        <v>812</v>
      </c>
      <c r="I109" t="s">
        <v>200</v>
      </c>
      <c r="J109" t="s">
        <v>40</v>
      </c>
      <c r="K109" t="s">
        <v>813</v>
      </c>
      <c r="L109" t="s">
        <v>814</v>
      </c>
      <c r="M109" t="s">
        <v>815</v>
      </c>
      <c r="N109">
        <v>2022</v>
      </c>
      <c r="O109" t="s">
        <v>159</v>
      </c>
      <c r="P109" t="s">
        <v>160</v>
      </c>
      <c r="Q109">
        <v>1</v>
      </c>
      <c r="R109">
        <v>2</v>
      </c>
      <c r="S109" t="s">
        <v>2902</v>
      </c>
    </row>
    <row r="110" spans="1:19" x14ac:dyDescent="0.25">
      <c r="A110" t="s">
        <v>816</v>
      </c>
      <c r="B110" t="s">
        <v>236</v>
      </c>
      <c r="C110" t="s">
        <v>134</v>
      </c>
      <c r="D110" s="2">
        <v>36401</v>
      </c>
      <c r="E110" t="s">
        <v>109</v>
      </c>
      <c r="F110" t="s">
        <v>589</v>
      </c>
      <c r="G110" t="s">
        <v>797</v>
      </c>
      <c r="H110" t="s">
        <v>817</v>
      </c>
      <c r="I110" t="s">
        <v>368</v>
      </c>
      <c r="J110" t="s">
        <v>50</v>
      </c>
      <c r="K110" t="s">
        <v>818</v>
      </c>
      <c r="L110" t="s">
        <v>819</v>
      </c>
      <c r="M110" t="s">
        <v>820</v>
      </c>
      <c r="N110">
        <v>2023</v>
      </c>
      <c r="O110" t="s">
        <v>159</v>
      </c>
      <c r="P110" t="s">
        <v>160</v>
      </c>
      <c r="Q110">
        <v>3</v>
      </c>
      <c r="R110">
        <v>6</v>
      </c>
      <c r="S110" t="s">
        <v>2902</v>
      </c>
    </row>
    <row r="111" spans="1:19" x14ac:dyDescent="0.25">
      <c r="A111" t="s">
        <v>821</v>
      </c>
      <c r="B111" t="s">
        <v>784</v>
      </c>
      <c r="C111" t="s">
        <v>20</v>
      </c>
      <c r="D111" s="2">
        <v>37179</v>
      </c>
      <c r="E111" t="s">
        <v>196</v>
      </c>
      <c r="F111" t="s">
        <v>536</v>
      </c>
      <c r="G111" t="s">
        <v>410</v>
      </c>
      <c r="H111" t="s">
        <v>822</v>
      </c>
      <c r="I111" t="s">
        <v>200</v>
      </c>
      <c r="J111" t="s">
        <v>40</v>
      </c>
      <c r="K111" t="s">
        <v>823</v>
      </c>
      <c r="L111" t="s">
        <v>824</v>
      </c>
      <c r="M111" t="s">
        <v>825</v>
      </c>
      <c r="N111">
        <v>2024</v>
      </c>
      <c r="O111" t="s">
        <v>212</v>
      </c>
      <c r="P111" t="s">
        <v>213</v>
      </c>
      <c r="Q111">
        <v>2</v>
      </c>
      <c r="R111">
        <v>4</v>
      </c>
      <c r="S111" t="s">
        <v>3001</v>
      </c>
    </row>
    <row r="112" spans="1:19" x14ac:dyDescent="0.25">
      <c r="A112" t="s">
        <v>826</v>
      </c>
      <c r="B112" t="s">
        <v>827</v>
      </c>
      <c r="C112" t="s">
        <v>20</v>
      </c>
      <c r="D112" s="2">
        <v>39213</v>
      </c>
      <c r="E112" t="s">
        <v>109</v>
      </c>
      <c r="F112" t="s">
        <v>796</v>
      </c>
      <c r="G112" t="s">
        <v>797</v>
      </c>
      <c r="H112" t="s">
        <v>828</v>
      </c>
      <c r="I112" t="s">
        <v>200</v>
      </c>
      <c r="J112" t="s">
        <v>40</v>
      </c>
      <c r="K112" t="s">
        <v>829</v>
      </c>
      <c r="L112" t="s">
        <v>830</v>
      </c>
      <c r="M112" t="s">
        <v>831</v>
      </c>
      <c r="N112">
        <v>2024</v>
      </c>
      <c r="O112" t="s">
        <v>159</v>
      </c>
      <c r="P112" t="s">
        <v>160</v>
      </c>
      <c r="Q112">
        <v>2</v>
      </c>
      <c r="R112">
        <v>4</v>
      </c>
      <c r="S112" t="s">
        <v>2902</v>
      </c>
    </row>
    <row r="113" spans="1:19" x14ac:dyDescent="0.25">
      <c r="A113" t="s">
        <v>832</v>
      </c>
      <c r="B113" t="s">
        <v>833</v>
      </c>
      <c r="C113" t="s">
        <v>134</v>
      </c>
      <c r="D113" s="2">
        <v>36169</v>
      </c>
      <c r="E113" t="s">
        <v>109</v>
      </c>
      <c r="F113" t="s">
        <v>834</v>
      </c>
      <c r="G113" t="s">
        <v>260</v>
      </c>
      <c r="H113" t="s">
        <v>38</v>
      </c>
      <c r="I113" t="s">
        <v>49</v>
      </c>
      <c r="J113" t="s">
        <v>201</v>
      </c>
      <c r="K113" t="s">
        <v>835</v>
      </c>
      <c r="L113" t="s">
        <v>836</v>
      </c>
      <c r="M113" t="s">
        <v>837</v>
      </c>
      <c r="N113">
        <v>2021</v>
      </c>
      <c r="O113" t="s">
        <v>212</v>
      </c>
      <c r="P113" t="s">
        <v>213</v>
      </c>
      <c r="Q113">
        <v>1</v>
      </c>
      <c r="R113">
        <v>2</v>
      </c>
      <c r="S113" t="s">
        <v>3001</v>
      </c>
    </row>
    <row r="114" spans="1:19" x14ac:dyDescent="0.25">
      <c r="A114" t="s">
        <v>838</v>
      </c>
      <c r="B114" t="s">
        <v>839</v>
      </c>
      <c r="C114" t="s">
        <v>20</v>
      </c>
      <c r="D114" s="2">
        <v>38226</v>
      </c>
      <c r="E114" t="s">
        <v>67</v>
      </c>
      <c r="F114" t="s">
        <v>840</v>
      </c>
      <c r="G114" t="s">
        <v>841</v>
      </c>
      <c r="H114" t="s">
        <v>842</v>
      </c>
      <c r="I114" t="s">
        <v>82</v>
      </c>
      <c r="J114" t="s">
        <v>175</v>
      </c>
      <c r="K114" t="s">
        <v>843</v>
      </c>
      <c r="L114" t="s">
        <v>844</v>
      </c>
      <c r="M114" t="s">
        <v>845</v>
      </c>
      <c r="N114">
        <v>2024</v>
      </c>
      <c r="O114" t="s">
        <v>30</v>
      </c>
      <c r="P114" t="s">
        <v>31</v>
      </c>
      <c r="Q114">
        <v>2</v>
      </c>
      <c r="R114">
        <v>4</v>
      </c>
      <c r="S114" t="s">
        <v>2895</v>
      </c>
    </row>
    <row r="115" spans="1:19" x14ac:dyDescent="0.25">
      <c r="A115" t="s">
        <v>846</v>
      </c>
      <c r="B115" t="s">
        <v>170</v>
      </c>
      <c r="C115" t="s">
        <v>134</v>
      </c>
      <c r="D115" s="2">
        <v>36726</v>
      </c>
      <c r="E115" t="s">
        <v>35</v>
      </c>
      <c r="F115" t="s">
        <v>252</v>
      </c>
      <c r="G115" t="s">
        <v>847</v>
      </c>
      <c r="H115" t="s">
        <v>848</v>
      </c>
      <c r="I115" t="s">
        <v>49</v>
      </c>
      <c r="J115" t="s">
        <v>201</v>
      </c>
      <c r="K115" t="s">
        <v>849</v>
      </c>
      <c r="L115" t="s">
        <v>850</v>
      </c>
      <c r="M115" t="s">
        <v>851</v>
      </c>
      <c r="N115">
        <v>2024</v>
      </c>
      <c r="O115" t="s">
        <v>122</v>
      </c>
      <c r="P115" t="s">
        <v>123</v>
      </c>
      <c r="Q115">
        <v>2</v>
      </c>
      <c r="R115">
        <v>4</v>
      </c>
      <c r="S115" t="s">
        <v>2919</v>
      </c>
    </row>
    <row r="116" spans="1:19" x14ac:dyDescent="0.25">
      <c r="A116" t="s">
        <v>852</v>
      </c>
      <c r="B116" t="s">
        <v>853</v>
      </c>
      <c r="C116" t="s">
        <v>134</v>
      </c>
      <c r="D116" s="2">
        <v>38302</v>
      </c>
      <c r="E116" t="s">
        <v>145</v>
      </c>
      <c r="F116" t="s">
        <v>80</v>
      </c>
      <c r="G116" t="s">
        <v>284</v>
      </c>
      <c r="H116" t="s">
        <v>854</v>
      </c>
      <c r="I116" t="s">
        <v>25</v>
      </c>
      <c r="J116" t="s">
        <v>25</v>
      </c>
      <c r="K116" t="s">
        <v>855</v>
      </c>
      <c r="L116" t="s">
        <v>856</v>
      </c>
      <c r="M116" t="s">
        <v>857</v>
      </c>
      <c r="N116">
        <v>2023</v>
      </c>
      <c r="O116" t="s">
        <v>75</v>
      </c>
      <c r="P116" t="s">
        <v>76</v>
      </c>
      <c r="Q116">
        <v>3</v>
      </c>
      <c r="R116">
        <v>6</v>
      </c>
      <c r="S116" t="s">
        <v>2961</v>
      </c>
    </row>
    <row r="117" spans="1:19" x14ac:dyDescent="0.25">
      <c r="A117" t="s">
        <v>858</v>
      </c>
      <c r="B117" t="s">
        <v>859</v>
      </c>
      <c r="C117" t="s">
        <v>20</v>
      </c>
      <c r="D117" s="2">
        <v>37867</v>
      </c>
      <c r="E117" t="s">
        <v>109</v>
      </c>
      <c r="F117" t="s">
        <v>860</v>
      </c>
      <c r="G117" t="s">
        <v>861</v>
      </c>
      <c r="H117" t="s">
        <v>854</v>
      </c>
      <c r="I117" t="s">
        <v>91</v>
      </c>
      <c r="J117" t="s">
        <v>71</v>
      </c>
      <c r="K117" t="s">
        <v>862</v>
      </c>
      <c r="L117" t="s">
        <v>863</v>
      </c>
      <c r="M117" t="s">
        <v>864</v>
      </c>
      <c r="N117">
        <v>2021</v>
      </c>
      <c r="O117" t="s">
        <v>63</v>
      </c>
      <c r="P117" t="s">
        <v>64</v>
      </c>
      <c r="Q117">
        <v>1</v>
      </c>
      <c r="R117">
        <v>2</v>
      </c>
      <c r="S117" t="s">
        <v>2932</v>
      </c>
    </row>
    <row r="118" spans="1:19" x14ac:dyDescent="0.25">
      <c r="A118" t="s">
        <v>865</v>
      </c>
      <c r="B118" t="s">
        <v>386</v>
      </c>
      <c r="C118" t="s">
        <v>20</v>
      </c>
      <c r="D118" s="2">
        <v>38440</v>
      </c>
      <c r="E118" t="s">
        <v>171</v>
      </c>
      <c r="F118" t="s">
        <v>365</v>
      </c>
      <c r="G118" t="s">
        <v>33</v>
      </c>
      <c r="H118" t="s">
        <v>866</v>
      </c>
      <c r="I118" t="s">
        <v>49</v>
      </c>
      <c r="J118" t="s">
        <v>201</v>
      </c>
      <c r="K118" t="s">
        <v>867</v>
      </c>
      <c r="L118" t="s">
        <v>868</v>
      </c>
      <c r="M118" t="s">
        <v>869</v>
      </c>
      <c r="N118">
        <v>2022</v>
      </c>
      <c r="O118" t="s">
        <v>63</v>
      </c>
      <c r="P118" t="s">
        <v>64</v>
      </c>
      <c r="Q118">
        <v>1</v>
      </c>
      <c r="R118">
        <v>2</v>
      </c>
      <c r="S118" t="s">
        <v>2932</v>
      </c>
    </row>
    <row r="119" spans="1:19" x14ac:dyDescent="0.25">
      <c r="A119" t="s">
        <v>870</v>
      </c>
      <c r="B119" t="s">
        <v>871</v>
      </c>
      <c r="C119" t="s">
        <v>20</v>
      </c>
      <c r="D119" s="2">
        <v>36537</v>
      </c>
      <c r="E119" t="s">
        <v>21</v>
      </c>
      <c r="F119" t="s">
        <v>307</v>
      </c>
      <c r="G119" t="s">
        <v>872</v>
      </c>
      <c r="H119" t="s">
        <v>873</v>
      </c>
      <c r="I119" t="s">
        <v>49</v>
      </c>
      <c r="J119" t="s">
        <v>201</v>
      </c>
      <c r="K119" t="s">
        <v>874</v>
      </c>
      <c r="L119" t="s">
        <v>875</v>
      </c>
      <c r="M119" t="s">
        <v>876</v>
      </c>
      <c r="N119">
        <v>2023</v>
      </c>
      <c r="O119" t="s">
        <v>122</v>
      </c>
      <c r="P119" t="s">
        <v>123</v>
      </c>
      <c r="Q119">
        <v>3</v>
      </c>
      <c r="R119">
        <v>6</v>
      </c>
      <c r="S119" t="s">
        <v>2919</v>
      </c>
    </row>
    <row r="120" spans="1:19" x14ac:dyDescent="0.25">
      <c r="A120" t="s">
        <v>877</v>
      </c>
      <c r="B120" t="s">
        <v>841</v>
      </c>
      <c r="C120" t="s">
        <v>20</v>
      </c>
      <c r="D120" s="2">
        <v>38267</v>
      </c>
      <c r="E120" t="s">
        <v>109</v>
      </c>
      <c r="F120" t="s">
        <v>878</v>
      </c>
      <c r="G120" t="s">
        <v>87</v>
      </c>
      <c r="H120" t="s">
        <v>879</v>
      </c>
      <c r="I120" t="s">
        <v>49</v>
      </c>
      <c r="J120" t="s">
        <v>201</v>
      </c>
      <c r="K120" t="s">
        <v>880</v>
      </c>
      <c r="L120" t="s">
        <v>881</v>
      </c>
      <c r="M120" t="s">
        <v>882</v>
      </c>
      <c r="N120">
        <v>2021</v>
      </c>
      <c r="O120" t="s">
        <v>105</v>
      </c>
      <c r="P120" t="s">
        <v>106</v>
      </c>
      <c r="Q120">
        <v>1</v>
      </c>
      <c r="R120">
        <v>2</v>
      </c>
      <c r="S120" t="s">
        <v>2908</v>
      </c>
    </row>
    <row r="121" spans="1:19" x14ac:dyDescent="0.25">
      <c r="A121" t="s">
        <v>883</v>
      </c>
      <c r="B121" t="s">
        <v>55</v>
      </c>
      <c r="C121" t="s">
        <v>134</v>
      </c>
      <c r="D121" s="2">
        <v>37519</v>
      </c>
      <c r="E121" t="s">
        <v>67</v>
      </c>
      <c r="F121" t="s">
        <v>511</v>
      </c>
      <c r="G121" t="s">
        <v>99</v>
      </c>
      <c r="H121" t="s">
        <v>884</v>
      </c>
      <c r="I121" t="s">
        <v>39</v>
      </c>
      <c r="J121" t="s">
        <v>26</v>
      </c>
      <c r="K121" t="s">
        <v>885</v>
      </c>
      <c r="L121" t="s">
        <v>886</v>
      </c>
      <c r="M121" t="s">
        <v>887</v>
      </c>
      <c r="N121">
        <v>2023</v>
      </c>
      <c r="O121" t="s">
        <v>159</v>
      </c>
      <c r="P121" t="s">
        <v>160</v>
      </c>
      <c r="Q121">
        <v>3</v>
      </c>
      <c r="R121">
        <v>6</v>
      </c>
      <c r="S121" t="s">
        <v>2902</v>
      </c>
    </row>
    <row r="122" spans="1:19" x14ac:dyDescent="0.25">
      <c r="A122" t="s">
        <v>888</v>
      </c>
      <c r="B122" t="s">
        <v>170</v>
      </c>
      <c r="C122" t="s">
        <v>20</v>
      </c>
      <c r="D122" s="2">
        <v>37779</v>
      </c>
      <c r="E122" t="s">
        <v>67</v>
      </c>
      <c r="F122" t="s">
        <v>260</v>
      </c>
      <c r="G122" t="s">
        <v>55</v>
      </c>
      <c r="H122" t="s">
        <v>889</v>
      </c>
      <c r="I122" t="s">
        <v>82</v>
      </c>
      <c r="J122" t="s">
        <v>175</v>
      </c>
      <c r="K122" t="s">
        <v>890</v>
      </c>
      <c r="L122" t="s">
        <v>891</v>
      </c>
      <c r="M122" t="s">
        <v>892</v>
      </c>
      <c r="N122">
        <v>2022</v>
      </c>
      <c r="O122" t="s">
        <v>30</v>
      </c>
      <c r="P122" t="s">
        <v>31</v>
      </c>
      <c r="Q122">
        <v>1</v>
      </c>
      <c r="R122">
        <v>2</v>
      </c>
      <c r="S122" t="s">
        <v>2895</v>
      </c>
    </row>
    <row r="123" spans="1:19" x14ac:dyDescent="0.25">
      <c r="A123" t="s">
        <v>893</v>
      </c>
      <c r="B123" t="s">
        <v>596</v>
      </c>
      <c r="C123" t="s">
        <v>134</v>
      </c>
      <c r="D123" s="2">
        <v>38260</v>
      </c>
      <c r="E123" t="s">
        <v>196</v>
      </c>
      <c r="F123" t="s">
        <v>706</v>
      </c>
      <c r="G123" t="s">
        <v>734</v>
      </c>
      <c r="H123" t="s">
        <v>894</v>
      </c>
      <c r="I123" t="s">
        <v>39</v>
      </c>
      <c r="J123" t="s">
        <v>26</v>
      </c>
      <c r="K123" t="s">
        <v>895</v>
      </c>
      <c r="L123" t="s">
        <v>896</v>
      </c>
      <c r="M123" t="s">
        <v>897</v>
      </c>
      <c r="N123">
        <v>2023</v>
      </c>
      <c r="O123" t="s">
        <v>159</v>
      </c>
      <c r="P123" t="s">
        <v>160</v>
      </c>
      <c r="Q123">
        <v>3</v>
      </c>
      <c r="R123">
        <v>6</v>
      </c>
      <c r="S123" t="s">
        <v>2902</v>
      </c>
    </row>
    <row r="124" spans="1:19" x14ac:dyDescent="0.25">
      <c r="A124" t="s">
        <v>898</v>
      </c>
      <c r="B124" t="s">
        <v>872</v>
      </c>
      <c r="C124" t="s">
        <v>20</v>
      </c>
      <c r="D124" s="2">
        <v>38151</v>
      </c>
      <c r="E124" t="s">
        <v>109</v>
      </c>
      <c r="F124" t="s">
        <v>22</v>
      </c>
      <c r="G124" t="s">
        <v>154</v>
      </c>
      <c r="H124" t="s">
        <v>899</v>
      </c>
      <c r="I124" t="s">
        <v>49</v>
      </c>
      <c r="J124" t="s">
        <v>201</v>
      </c>
      <c r="K124" t="s">
        <v>900</v>
      </c>
      <c r="L124" t="s">
        <v>901</v>
      </c>
      <c r="M124" t="s">
        <v>902</v>
      </c>
      <c r="N124">
        <v>2021</v>
      </c>
      <c r="O124" t="s">
        <v>122</v>
      </c>
      <c r="P124" t="s">
        <v>123</v>
      </c>
      <c r="Q124">
        <v>1</v>
      </c>
      <c r="R124">
        <v>2</v>
      </c>
      <c r="S124" t="s">
        <v>2919</v>
      </c>
    </row>
    <row r="125" spans="1:19" x14ac:dyDescent="0.25">
      <c r="A125" t="s">
        <v>903</v>
      </c>
      <c r="B125" t="s">
        <v>589</v>
      </c>
      <c r="C125" t="s">
        <v>20</v>
      </c>
      <c r="D125" s="2">
        <v>36965</v>
      </c>
      <c r="E125" t="s">
        <v>21</v>
      </c>
      <c r="F125" t="s">
        <v>565</v>
      </c>
      <c r="G125" t="s">
        <v>904</v>
      </c>
      <c r="H125" t="s">
        <v>905</v>
      </c>
      <c r="I125" t="s">
        <v>200</v>
      </c>
      <c r="J125" t="s">
        <v>40</v>
      </c>
      <c r="K125" t="s">
        <v>906</v>
      </c>
      <c r="L125" t="s">
        <v>907</v>
      </c>
      <c r="M125" t="s">
        <v>908</v>
      </c>
      <c r="N125">
        <v>2023</v>
      </c>
      <c r="O125" t="s">
        <v>75</v>
      </c>
      <c r="P125" t="s">
        <v>76</v>
      </c>
      <c r="Q125">
        <v>3</v>
      </c>
      <c r="R125">
        <v>6</v>
      </c>
      <c r="S125" t="s">
        <v>2961</v>
      </c>
    </row>
    <row r="126" spans="1:19" x14ac:dyDescent="0.25">
      <c r="A126" t="s">
        <v>909</v>
      </c>
      <c r="B126" t="s">
        <v>759</v>
      </c>
      <c r="C126" t="s">
        <v>20</v>
      </c>
      <c r="D126" s="2">
        <v>38963</v>
      </c>
      <c r="E126" t="s">
        <v>109</v>
      </c>
      <c r="F126" t="s">
        <v>400</v>
      </c>
      <c r="G126" t="s">
        <v>840</v>
      </c>
      <c r="H126" t="s">
        <v>910</v>
      </c>
      <c r="I126" t="s">
        <v>263</v>
      </c>
      <c r="J126" t="s">
        <v>139</v>
      </c>
      <c r="K126" t="s">
        <v>911</v>
      </c>
      <c r="L126" t="s">
        <v>912</v>
      </c>
      <c r="M126" t="s">
        <v>913</v>
      </c>
      <c r="N126">
        <v>2023</v>
      </c>
      <c r="O126" t="s">
        <v>122</v>
      </c>
      <c r="P126" t="s">
        <v>123</v>
      </c>
      <c r="Q126">
        <v>3</v>
      </c>
      <c r="R126">
        <v>6</v>
      </c>
      <c r="S126" t="s">
        <v>2919</v>
      </c>
    </row>
    <row r="127" spans="1:19" x14ac:dyDescent="0.25">
      <c r="A127" t="s">
        <v>914</v>
      </c>
      <c r="B127" t="s">
        <v>915</v>
      </c>
      <c r="C127" t="s">
        <v>20</v>
      </c>
      <c r="D127" s="2">
        <v>36873</v>
      </c>
      <c r="E127" t="s">
        <v>109</v>
      </c>
      <c r="F127" t="s">
        <v>916</v>
      </c>
      <c r="G127" t="s">
        <v>917</v>
      </c>
      <c r="H127" t="s">
        <v>918</v>
      </c>
      <c r="I127" t="s">
        <v>25</v>
      </c>
      <c r="J127" t="s">
        <v>25</v>
      </c>
      <c r="K127" t="s">
        <v>919</v>
      </c>
      <c r="L127" t="s">
        <v>920</v>
      </c>
      <c r="M127" t="s">
        <v>921</v>
      </c>
      <c r="N127">
        <v>2022</v>
      </c>
      <c r="O127" t="s">
        <v>63</v>
      </c>
      <c r="P127" t="s">
        <v>64</v>
      </c>
      <c r="Q127">
        <v>1</v>
      </c>
      <c r="R127">
        <v>2</v>
      </c>
      <c r="S127" t="s">
        <v>2932</v>
      </c>
    </row>
    <row r="128" spans="1:19" x14ac:dyDescent="0.25">
      <c r="A128" t="s">
        <v>922</v>
      </c>
      <c r="B128" t="s">
        <v>923</v>
      </c>
      <c r="C128" t="s">
        <v>20</v>
      </c>
      <c r="D128" s="2">
        <v>36625</v>
      </c>
      <c r="E128" t="s">
        <v>196</v>
      </c>
      <c r="F128" t="s">
        <v>924</v>
      </c>
      <c r="G128" t="s">
        <v>268</v>
      </c>
      <c r="H128" t="s">
        <v>925</v>
      </c>
      <c r="I128" t="s">
        <v>200</v>
      </c>
      <c r="J128" t="s">
        <v>40</v>
      </c>
      <c r="K128" t="s">
        <v>926</v>
      </c>
      <c r="L128" t="s">
        <v>927</v>
      </c>
      <c r="M128" t="s">
        <v>928</v>
      </c>
      <c r="N128">
        <v>2022</v>
      </c>
      <c r="O128" t="s">
        <v>212</v>
      </c>
      <c r="P128" t="s">
        <v>213</v>
      </c>
      <c r="Q128">
        <v>1</v>
      </c>
      <c r="R128">
        <v>2</v>
      </c>
      <c r="S128" t="s">
        <v>3001</v>
      </c>
    </row>
    <row r="129" spans="1:19" x14ac:dyDescent="0.25">
      <c r="A129" t="s">
        <v>929</v>
      </c>
      <c r="B129" t="s">
        <v>117</v>
      </c>
      <c r="C129" t="s">
        <v>20</v>
      </c>
      <c r="D129" s="2">
        <v>36859</v>
      </c>
      <c r="E129" t="s">
        <v>171</v>
      </c>
      <c r="F129" t="s">
        <v>162</v>
      </c>
      <c r="G129" t="s">
        <v>930</v>
      </c>
      <c r="H129" t="s">
        <v>931</v>
      </c>
      <c r="I129" t="s">
        <v>25</v>
      </c>
      <c r="J129" t="s">
        <v>25</v>
      </c>
      <c r="K129" t="s">
        <v>932</v>
      </c>
      <c r="L129" t="s">
        <v>933</v>
      </c>
      <c r="M129" t="s">
        <v>934</v>
      </c>
      <c r="N129">
        <v>2021</v>
      </c>
      <c r="O129" t="s">
        <v>159</v>
      </c>
      <c r="P129" t="s">
        <v>160</v>
      </c>
      <c r="Q129">
        <v>1</v>
      </c>
      <c r="R129">
        <v>2</v>
      </c>
      <c r="S129" t="s">
        <v>2902</v>
      </c>
    </row>
    <row r="130" spans="1:19" x14ac:dyDescent="0.25">
      <c r="A130" t="s">
        <v>935</v>
      </c>
      <c r="B130" t="s">
        <v>924</v>
      </c>
      <c r="C130" t="s">
        <v>134</v>
      </c>
      <c r="D130" s="2">
        <v>38632</v>
      </c>
      <c r="E130" t="s">
        <v>67</v>
      </c>
      <c r="F130" t="s">
        <v>936</v>
      </c>
      <c r="G130" t="s">
        <v>904</v>
      </c>
      <c r="H130" t="s">
        <v>937</v>
      </c>
      <c r="I130" t="s">
        <v>82</v>
      </c>
      <c r="J130" t="s">
        <v>175</v>
      </c>
      <c r="K130" t="s">
        <v>938</v>
      </c>
      <c r="L130" t="s">
        <v>939</v>
      </c>
      <c r="M130" t="s">
        <v>940</v>
      </c>
      <c r="N130">
        <v>2024</v>
      </c>
      <c r="O130" t="s">
        <v>122</v>
      </c>
      <c r="P130" t="s">
        <v>123</v>
      </c>
      <c r="Q130">
        <v>2</v>
      </c>
      <c r="R130">
        <v>4</v>
      </c>
      <c r="S130" t="s">
        <v>2919</v>
      </c>
    </row>
    <row r="131" spans="1:19" x14ac:dyDescent="0.25">
      <c r="A131" t="s">
        <v>941</v>
      </c>
      <c r="B131" t="s">
        <v>942</v>
      </c>
      <c r="C131" t="s">
        <v>134</v>
      </c>
      <c r="D131" s="2">
        <v>39206</v>
      </c>
      <c r="E131" t="s">
        <v>67</v>
      </c>
      <c r="F131" t="s">
        <v>943</v>
      </c>
      <c r="G131" t="s">
        <v>915</v>
      </c>
      <c r="H131" t="s">
        <v>944</v>
      </c>
      <c r="I131" t="s">
        <v>91</v>
      </c>
      <c r="J131" t="s">
        <v>71</v>
      </c>
      <c r="K131" t="s">
        <v>945</v>
      </c>
      <c r="L131" t="s">
        <v>946</v>
      </c>
      <c r="M131" t="s">
        <v>947</v>
      </c>
      <c r="N131">
        <v>2023</v>
      </c>
      <c r="O131" t="s">
        <v>30</v>
      </c>
      <c r="P131" t="s">
        <v>31</v>
      </c>
      <c r="Q131">
        <v>3</v>
      </c>
      <c r="R131">
        <v>6</v>
      </c>
      <c r="S131" t="s">
        <v>2895</v>
      </c>
    </row>
    <row r="132" spans="1:19" x14ac:dyDescent="0.25">
      <c r="A132" t="s">
        <v>948</v>
      </c>
      <c r="B132" t="s">
        <v>949</v>
      </c>
      <c r="C132" t="s">
        <v>20</v>
      </c>
      <c r="D132" s="2">
        <v>39174</v>
      </c>
      <c r="E132" t="s">
        <v>109</v>
      </c>
      <c r="F132" t="s">
        <v>402</v>
      </c>
      <c r="G132" t="s">
        <v>950</v>
      </c>
      <c r="H132" t="s">
        <v>951</v>
      </c>
      <c r="I132" t="s">
        <v>39</v>
      </c>
      <c r="J132" t="s">
        <v>26</v>
      </c>
      <c r="K132" t="s">
        <v>952</v>
      </c>
      <c r="L132" t="s">
        <v>953</v>
      </c>
      <c r="M132" t="s">
        <v>954</v>
      </c>
      <c r="N132">
        <v>2024</v>
      </c>
      <c r="O132" t="s">
        <v>63</v>
      </c>
      <c r="P132" t="s">
        <v>64</v>
      </c>
      <c r="Q132">
        <v>2</v>
      </c>
      <c r="R132">
        <v>4</v>
      </c>
      <c r="S132" t="s">
        <v>2932</v>
      </c>
    </row>
    <row r="133" spans="1:19" x14ac:dyDescent="0.25">
      <c r="A133" t="s">
        <v>955</v>
      </c>
      <c r="B133" t="s">
        <v>154</v>
      </c>
      <c r="C133" t="s">
        <v>20</v>
      </c>
      <c r="D133" s="2">
        <v>37334</v>
      </c>
      <c r="E133" t="s">
        <v>21</v>
      </c>
      <c r="F133" t="s">
        <v>485</v>
      </c>
      <c r="G133" t="s">
        <v>956</v>
      </c>
      <c r="H133" t="s">
        <v>314</v>
      </c>
      <c r="I133" t="s">
        <v>200</v>
      </c>
      <c r="J133" t="s">
        <v>40</v>
      </c>
      <c r="K133" t="s">
        <v>957</v>
      </c>
      <c r="L133" t="s">
        <v>958</v>
      </c>
      <c r="M133" t="s">
        <v>959</v>
      </c>
      <c r="N133">
        <v>2022</v>
      </c>
      <c r="O133" t="s">
        <v>75</v>
      </c>
      <c r="P133" t="s">
        <v>76</v>
      </c>
      <c r="Q133">
        <v>1</v>
      </c>
      <c r="R133">
        <v>2</v>
      </c>
      <c r="S133" t="s">
        <v>2961</v>
      </c>
    </row>
    <row r="134" spans="1:19" x14ac:dyDescent="0.25">
      <c r="A134" t="s">
        <v>960</v>
      </c>
      <c r="B134" t="s">
        <v>537</v>
      </c>
      <c r="C134" t="s">
        <v>134</v>
      </c>
      <c r="D134" s="2">
        <v>36530</v>
      </c>
      <c r="E134" t="s">
        <v>21</v>
      </c>
      <c r="F134" t="s">
        <v>78</v>
      </c>
      <c r="G134" t="s">
        <v>66</v>
      </c>
      <c r="H134" t="s">
        <v>961</v>
      </c>
      <c r="I134" t="s">
        <v>25</v>
      </c>
      <c r="J134" t="s">
        <v>25</v>
      </c>
      <c r="K134" t="s">
        <v>962</v>
      </c>
      <c r="L134" t="s">
        <v>963</v>
      </c>
      <c r="M134" t="s">
        <v>964</v>
      </c>
      <c r="N134">
        <v>2024</v>
      </c>
      <c r="O134" t="s">
        <v>95</v>
      </c>
      <c r="P134" t="s">
        <v>96</v>
      </c>
      <c r="Q134">
        <v>2</v>
      </c>
      <c r="R134">
        <v>4</v>
      </c>
      <c r="S134" t="s">
        <v>2889</v>
      </c>
    </row>
    <row r="135" spans="1:19" x14ac:dyDescent="0.25">
      <c r="A135" t="s">
        <v>965</v>
      </c>
      <c r="B135" t="s">
        <v>550</v>
      </c>
      <c r="C135" t="s">
        <v>20</v>
      </c>
      <c r="D135" s="2">
        <v>38952</v>
      </c>
      <c r="E135" t="s">
        <v>67</v>
      </c>
      <c r="F135" t="s">
        <v>336</v>
      </c>
      <c r="G135" t="s">
        <v>966</v>
      </c>
      <c r="H135" t="s">
        <v>967</v>
      </c>
      <c r="I135" t="s">
        <v>39</v>
      </c>
      <c r="J135" t="s">
        <v>26</v>
      </c>
      <c r="K135" t="s">
        <v>968</v>
      </c>
      <c r="L135" t="s">
        <v>969</v>
      </c>
      <c r="M135" t="s">
        <v>970</v>
      </c>
      <c r="N135">
        <v>2023</v>
      </c>
      <c r="O135" t="s">
        <v>95</v>
      </c>
      <c r="P135" t="s">
        <v>96</v>
      </c>
      <c r="Q135">
        <v>3</v>
      </c>
      <c r="R135">
        <v>6</v>
      </c>
      <c r="S135" t="s">
        <v>2889</v>
      </c>
    </row>
    <row r="136" spans="1:19" x14ac:dyDescent="0.25">
      <c r="A136" t="s">
        <v>971</v>
      </c>
      <c r="B136" t="s">
        <v>972</v>
      </c>
      <c r="C136" t="s">
        <v>20</v>
      </c>
      <c r="D136" s="2">
        <v>36909</v>
      </c>
      <c r="E136" t="s">
        <v>21</v>
      </c>
      <c r="F136" t="s">
        <v>973</v>
      </c>
      <c r="G136" t="s">
        <v>974</v>
      </c>
      <c r="H136" t="s">
        <v>975</v>
      </c>
      <c r="I136" t="s">
        <v>91</v>
      </c>
      <c r="J136" t="s">
        <v>71</v>
      </c>
      <c r="K136" t="s">
        <v>976</v>
      </c>
      <c r="L136" t="s">
        <v>977</v>
      </c>
      <c r="M136" t="s">
        <v>978</v>
      </c>
      <c r="N136">
        <v>2023</v>
      </c>
      <c r="O136" t="s">
        <v>212</v>
      </c>
      <c r="P136" t="s">
        <v>213</v>
      </c>
      <c r="Q136">
        <v>3</v>
      </c>
      <c r="R136">
        <v>6</v>
      </c>
      <c r="S136" t="s">
        <v>3001</v>
      </c>
    </row>
    <row r="137" spans="1:19" x14ac:dyDescent="0.25">
      <c r="A137" t="s">
        <v>979</v>
      </c>
      <c r="B137" t="s">
        <v>400</v>
      </c>
      <c r="C137" t="s">
        <v>20</v>
      </c>
      <c r="D137" s="2">
        <v>37790</v>
      </c>
      <c r="E137" t="s">
        <v>21</v>
      </c>
      <c r="F137" t="s">
        <v>980</v>
      </c>
      <c r="G137" t="s">
        <v>981</v>
      </c>
      <c r="H137" t="s">
        <v>982</v>
      </c>
      <c r="I137" t="s">
        <v>200</v>
      </c>
      <c r="J137" t="s">
        <v>40</v>
      </c>
      <c r="K137" t="s">
        <v>983</v>
      </c>
      <c r="L137" t="s">
        <v>984</v>
      </c>
      <c r="M137" t="s">
        <v>985</v>
      </c>
      <c r="N137">
        <v>2023</v>
      </c>
      <c r="O137" t="s">
        <v>30</v>
      </c>
      <c r="P137" t="s">
        <v>31</v>
      </c>
      <c r="Q137">
        <v>3</v>
      </c>
      <c r="R137">
        <v>6</v>
      </c>
      <c r="S137" t="s">
        <v>2895</v>
      </c>
    </row>
    <row r="138" spans="1:19" x14ac:dyDescent="0.25">
      <c r="A138" t="s">
        <v>986</v>
      </c>
      <c r="B138" t="s">
        <v>987</v>
      </c>
      <c r="C138" t="s">
        <v>20</v>
      </c>
      <c r="D138" s="2">
        <v>37023</v>
      </c>
      <c r="E138" t="s">
        <v>171</v>
      </c>
      <c r="F138" t="s">
        <v>811</v>
      </c>
      <c r="G138" t="s">
        <v>550</v>
      </c>
      <c r="H138" t="s">
        <v>988</v>
      </c>
      <c r="I138" t="s">
        <v>368</v>
      </c>
      <c r="J138" t="s">
        <v>50</v>
      </c>
      <c r="K138" t="s">
        <v>989</v>
      </c>
      <c r="L138" t="s">
        <v>990</v>
      </c>
      <c r="M138" t="s">
        <v>991</v>
      </c>
      <c r="N138">
        <v>2024</v>
      </c>
      <c r="O138" t="s">
        <v>122</v>
      </c>
      <c r="P138" t="s">
        <v>123</v>
      </c>
      <c r="Q138">
        <v>2</v>
      </c>
      <c r="R138">
        <v>4</v>
      </c>
      <c r="S138" t="s">
        <v>2919</v>
      </c>
    </row>
    <row r="139" spans="1:19" x14ac:dyDescent="0.25">
      <c r="A139" t="s">
        <v>992</v>
      </c>
      <c r="B139" t="s">
        <v>638</v>
      </c>
      <c r="C139" t="s">
        <v>134</v>
      </c>
      <c r="D139" s="2">
        <v>36356</v>
      </c>
      <c r="E139" t="s">
        <v>67</v>
      </c>
      <c r="F139" t="s">
        <v>608</v>
      </c>
      <c r="G139" t="s">
        <v>497</v>
      </c>
      <c r="H139" t="s">
        <v>993</v>
      </c>
      <c r="I139" t="s">
        <v>368</v>
      </c>
      <c r="J139" t="s">
        <v>50</v>
      </c>
      <c r="K139" t="s">
        <v>994</v>
      </c>
      <c r="L139" t="s">
        <v>995</v>
      </c>
      <c r="M139" t="s">
        <v>996</v>
      </c>
      <c r="N139">
        <v>2023</v>
      </c>
      <c r="O139" t="s">
        <v>212</v>
      </c>
      <c r="P139" t="s">
        <v>213</v>
      </c>
      <c r="Q139">
        <v>3</v>
      </c>
      <c r="R139">
        <v>6</v>
      </c>
      <c r="S139" t="s">
        <v>3001</v>
      </c>
    </row>
    <row r="140" spans="1:19" x14ac:dyDescent="0.25">
      <c r="A140" t="s">
        <v>997</v>
      </c>
      <c r="B140" t="s">
        <v>949</v>
      </c>
      <c r="C140" t="s">
        <v>20</v>
      </c>
      <c r="D140" s="2">
        <v>36482</v>
      </c>
      <c r="E140" t="s">
        <v>21</v>
      </c>
      <c r="F140" t="s">
        <v>343</v>
      </c>
      <c r="G140" t="s">
        <v>170</v>
      </c>
      <c r="H140" t="s">
        <v>998</v>
      </c>
      <c r="I140" t="s">
        <v>49</v>
      </c>
      <c r="J140" t="s">
        <v>201</v>
      </c>
      <c r="K140" t="s">
        <v>999</v>
      </c>
      <c r="L140" t="s">
        <v>1000</v>
      </c>
      <c r="M140" t="s">
        <v>1001</v>
      </c>
      <c r="N140">
        <v>2022</v>
      </c>
      <c r="O140" t="s">
        <v>105</v>
      </c>
      <c r="P140" t="s">
        <v>106</v>
      </c>
      <c r="Q140">
        <v>1</v>
      </c>
      <c r="R140">
        <v>2</v>
      </c>
      <c r="S140" t="s">
        <v>2908</v>
      </c>
    </row>
    <row r="141" spans="1:19" x14ac:dyDescent="0.25">
      <c r="A141" t="s">
        <v>1002</v>
      </c>
      <c r="B141" t="s">
        <v>966</v>
      </c>
      <c r="C141" t="s">
        <v>134</v>
      </c>
      <c r="D141" s="2">
        <v>39141</v>
      </c>
      <c r="E141" t="s">
        <v>145</v>
      </c>
      <c r="F141" t="s">
        <v>342</v>
      </c>
      <c r="G141" t="s">
        <v>565</v>
      </c>
      <c r="H141" t="s">
        <v>1003</v>
      </c>
      <c r="I141" t="s">
        <v>263</v>
      </c>
      <c r="J141" t="s">
        <v>139</v>
      </c>
      <c r="K141" t="s">
        <v>1004</v>
      </c>
      <c r="L141" t="s">
        <v>1005</v>
      </c>
      <c r="M141" t="s">
        <v>1006</v>
      </c>
      <c r="N141">
        <v>2022</v>
      </c>
      <c r="O141" t="s">
        <v>75</v>
      </c>
      <c r="P141" t="s">
        <v>76</v>
      </c>
      <c r="Q141">
        <v>1</v>
      </c>
      <c r="R141">
        <v>2</v>
      </c>
      <c r="S141" t="s">
        <v>2961</v>
      </c>
    </row>
    <row r="142" spans="1:19" x14ac:dyDescent="0.25">
      <c r="A142" t="s">
        <v>1007</v>
      </c>
      <c r="B142" t="s">
        <v>327</v>
      </c>
      <c r="C142" t="s">
        <v>20</v>
      </c>
      <c r="D142" s="2">
        <v>37493</v>
      </c>
      <c r="E142" t="s">
        <v>145</v>
      </c>
      <c r="F142" t="s">
        <v>195</v>
      </c>
      <c r="G142" t="s">
        <v>126</v>
      </c>
      <c r="H142" t="s">
        <v>1008</v>
      </c>
      <c r="I142" t="s">
        <v>368</v>
      </c>
      <c r="J142" t="s">
        <v>50</v>
      </c>
      <c r="K142" t="s">
        <v>1009</v>
      </c>
      <c r="L142" t="s">
        <v>1010</v>
      </c>
      <c r="M142" t="s">
        <v>1011</v>
      </c>
      <c r="N142">
        <v>2023</v>
      </c>
      <c r="O142" t="s">
        <v>75</v>
      </c>
      <c r="P142" t="s">
        <v>76</v>
      </c>
      <c r="Q142">
        <v>3</v>
      </c>
      <c r="R142">
        <v>6</v>
      </c>
      <c r="S142" t="s">
        <v>2961</v>
      </c>
    </row>
    <row r="143" spans="1:19" x14ac:dyDescent="0.25">
      <c r="A143" t="s">
        <v>1012</v>
      </c>
      <c r="B143" t="s">
        <v>841</v>
      </c>
      <c r="C143" t="s">
        <v>134</v>
      </c>
      <c r="D143" s="2">
        <v>37569</v>
      </c>
      <c r="E143" t="s">
        <v>67</v>
      </c>
      <c r="F143" t="s">
        <v>170</v>
      </c>
      <c r="G143" t="s">
        <v>936</v>
      </c>
      <c r="H143" t="s">
        <v>1013</v>
      </c>
      <c r="I143" t="s">
        <v>25</v>
      </c>
      <c r="J143" t="s">
        <v>25</v>
      </c>
      <c r="K143" t="s">
        <v>1014</v>
      </c>
      <c r="L143" t="s">
        <v>1015</v>
      </c>
      <c r="M143" t="s">
        <v>1016</v>
      </c>
      <c r="N143">
        <v>2023</v>
      </c>
      <c r="O143" t="s">
        <v>63</v>
      </c>
      <c r="P143" t="s">
        <v>64</v>
      </c>
      <c r="Q143">
        <v>3</v>
      </c>
      <c r="R143">
        <v>6</v>
      </c>
      <c r="S143" t="s">
        <v>2932</v>
      </c>
    </row>
    <row r="144" spans="1:19" x14ac:dyDescent="0.25">
      <c r="A144" t="s">
        <v>1017</v>
      </c>
      <c r="B144" t="s">
        <v>1018</v>
      </c>
      <c r="C144" t="s">
        <v>134</v>
      </c>
      <c r="D144" s="2">
        <v>36720</v>
      </c>
      <c r="E144" t="s">
        <v>109</v>
      </c>
      <c r="F144" t="s">
        <v>290</v>
      </c>
      <c r="G144" t="s">
        <v>79</v>
      </c>
      <c r="H144" t="s">
        <v>1019</v>
      </c>
      <c r="I144" t="s">
        <v>368</v>
      </c>
      <c r="J144" t="s">
        <v>50</v>
      </c>
      <c r="K144" t="s">
        <v>1020</v>
      </c>
      <c r="L144" t="s">
        <v>1021</v>
      </c>
      <c r="M144" t="s">
        <v>1022</v>
      </c>
      <c r="N144">
        <v>2021</v>
      </c>
      <c r="O144" t="s">
        <v>30</v>
      </c>
      <c r="P144" t="s">
        <v>31</v>
      </c>
      <c r="Q144">
        <v>1</v>
      </c>
      <c r="R144">
        <v>2</v>
      </c>
      <c r="S144" t="s">
        <v>2895</v>
      </c>
    </row>
    <row r="145" spans="1:19" x14ac:dyDescent="0.25">
      <c r="A145" t="s">
        <v>1023</v>
      </c>
      <c r="B145" t="s">
        <v>530</v>
      </c>
      <c r="C145" t="s">
        <v>134</v>
      </c>
      <c r="D145" s="2">
        <v>37252</v>
      </c>
      <c r="E145" t="s">
        <v>145</v>
      </c>
      <c r="F145" t="s">
        <v>299</v>
      </c>
      <c r="G145" t="s">
        <v>45</v>
      </c>
      <c r="H145" t="s">
        <v>1024</v>
      </c>
      <c r="I145" t="s">
        <v>25</v>
      </c>
      <c r="J145" t="s">
        <v>25</v>
      </c>
      <c r="K145" t="s">
        <v>1025</v>
      </c>
      <c r="L145" t="s">
        <v>1026</v>
      </c>
      <c r="M145" t="s">
        <v>1027</v>
      </c>
      <c r="N145">
        <v>2021</v>
      </c>
      <c r="O145" t="s">
        <v>159</v>
      </c>
      <c r="P145" t="s">
        <v>160</v>
      </c>
      <c r="Q145">
        <v>1</v>
      </c>
      <c r="R145">
        <v>2</v>
      </c>
      <c r="S145" t="s">
        <v>2902</v>
      </c>
    </row>
    <row r="146" spans="1:19" x14ac:dyDescent="0.25">
      <c r="A146" t="s">
        <v>1028</v>
      </c>
      <c r="B146" t="s">
        <v>1029</v>
      </c>
      <c r="C146" t="s">
        <v>134</v>
      </c>
      <c r="D146" s="2">
        <v>37384</v>
      </c>
      <c r="E146" t="s">
        <v>171</v>
      </c>
      <c r="F146" t="s">
        <v>1030</v>
      </c>
      <c r="G146" t="s">
        <v>1031</v>
      </c>
      <c r="H146" t="s">
        <v>1032</v>
      </c>
      <c r="I146" t="s">
        <v>91</v>
      </c>
      <c r="J146" t="s">
        <v>71</v>
      </c>
      <c r="K146" t="s">
        <v>1033</v>
      </c>
      <c r="L146" t="s">
        <v>1034</v>
      </c>
      <c r="M146" t="s">
        <v>1035</v>
      </c>
      <c r="N146">
        <v>2021</v>
      </c>
      <c r="O146" t="s">
        <v>75</v>
      </c>
      <c r="P146" t="s">
        <v>76</v>
      </c>
      <c r="Q146">
        <v>1</v>
      </c>
      <c r="R146">
        <v>2</v>
      </c>
      <c r="S146" t="s">
        <v>2961</v>
      </c>
    </row>
    <row r="147" spans="1:19" x14ac:dyDescent="0.25">
      <c r="A147" t="s">
        <v>1036</v>
      </c>
      <c r="B147" t="s">
        <v>189</v>
      </c>
      <c r="C147" t="s">
        <v>134</v>
      </c>
      <c r="D147" s="2">
        <v>39033</v>
      </c>
      <c r="E147" t="s">
        <v>196</v>
      </c>
      <c r="F147" t="s">
        <v>181</v>
      </c>
      <c r="G147" t="s">
        <v>840</v>
      </c>
      <c r="H147" t="s">
        <v>1037</v>
      </c>
      <c r="I147" t="s">
        <v>49</v>
      </c>
      <c r="J147" t="s">
        <v>201</v>
      </c>
      <c r="K147" t="s">
        <v>1038</v>
      </c>
      <c r="L147" t="s">
        <v>1039</v>
      </c>
      <c r="M147" t="s">
        <v>1040</v>
      </c>
      <c r="N147">
        <v>2022</v>
      </c>
      <c r="O147" t="s">
        <v>212</v>
      </c>
      <c r="P147" t="s">
        <v>213</v>
      </c>
      <c r="Q147">
        <v>1</v>
      </c>
      <c r="R147">
        <v>2</v>
      </c>
      <c r="S147" t="s">
        <v>3001</v>
      </c>
    </row>
    <row r="148" spans="1:19" x14ac:dyDescent="0.25">
      <c r="A148" t="s">
        <v>1041</v>
      </c>
      <c r="B148" t="s">
        <v>335</v>
      </c>
      <c r="C148" t="s">
        <v>134</v>
      </c>
      <c r="D148" s="2">
        <v>37664</v>
      </c>
      <c r="E148" t="s">
        <v>196</v>
      </c>
      <c r="F148" t="s">
        <v>1042</v>
      </c>
      <c r="G148" t="s">
        <v>1043</v>
      </c>
      <c r="H148" t="s">
        <v>1044</v>
      </c>
      <c r="I148" t="s">
        <v>200</v>
      </c>
      <c r="J148" t="s">
        <v>40</v>
      </c>
      <c r="K148" t="s">
        <v>1045</v>
      </c>
      <c r="L148" t="s">
        <v>1046</v>
      </c>
      <c r="M148" t="s">
        <v>1047</v>
      </c>
      <c r="N148">
        <v>2022</v>
      </c>
      <c r="O148" t="s">
        <v>105</v>
      </c>
      <c r="P148" t="s">
        <v>106</v>
      </c>
      <c r="Q148">
        <v>1</v>
      </c>
      <c r="R148">
        <v>2</v>
      </c>
      <c r="S148" t="s">
        <v>2908</v>
      </c>
    </row>
    <row r="149" spans="1:19" x14ac:dyDescent="0.25">
      <c r="A149" t="s">
        <v>1048</v>
      </c>
      <c r="B149" t="s">
        <v>966</v>
      </c>
      <c r="C149" t="s">
        <v>134</v>
      </c>
      <c r="D149" s="2">
        <v>36599</v>
      </c>
      <c r="E149" t="s">
        <v>35</v>
      </c>
      <c r="F149" t="s">
        <v>56</v>
      </c>
      <c r="G149" t="s">
        <v>80</v>
      </c>
      <c r="H149" t="s">
        <v>1049</v>
      </c>
      <c r="I149" t="s">
        <v>25</v>
      </c>
      <c r="J149" t="s">
        <v>25</v>
      </c>
      <c r="K149" t="s">
        <v>1050</v>
      </c>
      <c r="L149" t="s">
        <v>1051</v>
      </c>
      <c r="M149" t="s">
        <v>1052</v>
      </c>
      <c r="N149">
        <v>2021</v>
      </c>
      <c r="O149" t="s">
        <v>159</v>
      </c>
      <c r="P149" t="s">
        <v>160</v>
      </c>
      <c r="Q149">
        <v>1</v>
      </c>
      <c r="R149">
        <v>2</v>
      </c>
      <c r="S149" t="s">
        <v>2902</v>
      </c>
    </row>
    <row r="150" spans="1:19" x14ac:dyDescent="0.25">
      <c r="A150" t="s">
        <v>1053</v>
      </c>
      <c r="B150" t="s">
        <v>1054</v>
      </c>
      <c r="C150" t="s">
        <v>134</v>
      </c>
      <c r="D150" s="2">
        <v>37045</v>
      </c>
      <c r="E150" t="s">
        <v>35</v>
      </c>
      <c r="F150" t="s">
        <v>1055</v>
      </c>
      <c r="G150" t="s">
        <v>950</v>
      </c>
      <c r="H150" t="s">
        <v>1056</v>
      </c>
      <c r="I150" t="s">
        <v>91</v>
      </c>
      <c r="J150" t="s">
        <v>71</v>
      </c>
      <c r="K150" t="s">
        <v>1057</v>
      </c>
      <c r="L150" t="s">
        <v>1058</v>
      </c>
      <c r="M150" t="s">
        <v>1059</v>
      </c>
      <c r="N150">
        <v>2024</v>
      </c>
      <c r="O150" t="s">
        <v>30</v>
      </c>
      <c r="P150" t="s">
        <v>31</v>
      </c>
      <c r="Q150">
        <v>2</v>
      </c>
      <c r="R150">
        <v>4</v>
      </c>
      <c r="S150" t="s">
        <v>2895</v>
      </c>
    </row>
    <row r="151" spans="1:19" x14ac:dyDescent="0.25">
      <c r="A151" t="s">
        <v>1060</v>
      </c>
      <c r="B151" t="s">
        <v>259</v>
      </c>
      <c r="C151" t="s">
        <v>20</v>
      </c>
      <c r="D151" s="2">
        <v>37490</v>
      </c>
      <c r="E151" t="s">
        <v>171</v>
      </c>
      <c r="F151" t="s">
        <v>1061</v>
      </c>
      <c r="G151" t="s">
        <v>784</v>
      </c>
      <c r="H151" t="s">
        <v>1062</v>
      </c>
      <c r="I151" t="s">
        <v>91</v>
      </c>
      <c r="J151" t="s">
        <v>71</v>
      </c>
      <c r="K151" t="s">
        <v>1063</v>
      </c>
      <c r="L151" t="s">
        <v>1064</v>
      </c>
      <c r="M151" t="s">
        <v>1065</v>
      </c>
      <c r="N151">
        <v>2023</v>
      </c>
      <c r="O151" t="s">
        <v>75</v>
      </c>
      <c r="P151" t="s">
        <v>76</v>
      </c>
      <c r="Q151">
        <v>3</v>
      </c>
      <c r="R151">
        <v>6</v>
      </c>
      <c r="S151" t="s">
        <v>2961</v>
      </c>
    </row>
    <row r="152" spans="1:19" x14ac:dyDescent="0.25">
      <c r="A152" t="s">
        <v>1066</v>
      </c>
      <c r="B152" t="s">
        <v>949</v>
      </c>
      <c r="C152" t="s">
        <v>20</v>
      </c>
      <c r="D152" s="2">
        <v>38428</v>
      </c>
      <c r="E152" t="s">
        <v>35</v>
      </c>
      <c r="F152" t="s">
        <v>1067</v>
      </c>
      <c r="G152" t="s">
        <v>89</v>
      </c>
      <c r="H152" t="s">
        <v>1068</v>
      </c>
      <c r="I152" t="s">
        <v>368</v>
      </c>
      <c r="J152" t="s">
        <v>50</v>
      </c>
      <c r="K152" t="s">
        <v>1069</v>
      </c>
      <c r="L152" t="s">
        <v>1070</v>
      </c>
      <c r="M152" t="s">
        <v>1071</v>
      </c>
      <c r="N152">
        <v>2023</v>
      </c>
      <c r="O152" t="s">
        <v>75</v>
      </c>
      <c r="P152" t="s">
        <v>76</v>
      </c>
      <c r="Q152">
        <v>3</v>
      </c>
      <c r="R152">
        <v>6</v>
      </c>
      <c r="S152" t="s">
        <v>2961</v>
      </c>
    </row>
    <row r="153" spans="1:19" x14ac:dyDescent="0.25">
      <c r="A153" t="s">
        <v>1072</v>
      </c>
      <c r="B153" t="s">
        <v>444</v>
      </c>
      <c r="C153" t="s">
        <v>20</v>
      </c>
      <c r="D153" s="2">
        <v>36482</v>
      </c>
      <c r="E153" t="s">
        <v>171</v>
      </c>
      <c r="F153" t="s">
        <v>637</v>
      </c>
      <c r="G153" t="s">
        <v>282</v>
      </c>
      <c r="H153" t="s">
        <v>1073</v>
      </c>
      <c r="I153" t="s">
        <v>59</v>
      </c>
      <c r="J153" t="s">
        <v>26</v>
      </c>
      <c r="K153" t="s">
        <v>1074</v>
      </c>
      <c r="L153" t="s">
        <v>1075</v>
      </c>
      <c r="M153" t="s">
        <v>1076</v>
      </c>
      <c r="N153">
        <v>2021</v>
      </c>
      <c r="O153" t="s">
        <v>95</v>
      </c>
      <c r="P153" t="s">
        <v>96</v>
      </c>
      <c r="Q153">
        <v>1</v>
      </c>
      <c r="R153">
        <v>2</v>
      </c>
      <c r="S153" t="s">
        <v>2889</v>
      </c>
    </row>
    <row r="154" spans="1:19" x14ac:dyDescent="0.25">
      <c r="A154" t="s">
        <v>1077</v>
      </c>
      <c r="B154" t="s">
        <v>88</v>
      </c>
      <c r="C154" t="s">
        <v>20</v>
      </c>
      <c r="D154" s="2">
        <v>36767</v>
      </c>
      <c r="E154" t="s">
        <v>196</v>
      </c>
      <c r="F154" t="s">
        <v>1078</v>
      </c>
      <c r="G154" t="s">
        <v>1079</v>
      </c>
      <c r="H154" t="s">
        <v>1080</v>
      </c>
      <c r="I154" t="s">
        <v>82</v>
      </c>
      <c r="J154" t="s">
        <v>175</v>
      </c>
      <c r="K154" t="s">
        <v>1081</v>
      </c>
      <c r="L154" t="s">
        <v>1082</v>
      </c>
      <c r="M154" t="s">
        <v>1083</v>
      </c>
      <c r="N154">
        <v>2024</v>
      </c>
      <c r="O154" t="s">
        <v>63</v>
      </c>
      <c r="P154" t="s">
        <v>64</v>
      </c>
      <c r="Q154">
        <v>2</v>
      </c>
      <c r="R154">
        <v>4</v>
      </c>
      <c r="S154" t="s">
        <v>2932</v>
      </c>
    </row>
    <row r="155" spans="1:19" x14ac:dyDescent="0.25">
      <c r="A155" t="s">
        <v>1084</v>
      </c>
      <c r="B155" t="s">
        <v>1085</v>
      </c>
      <c r="C155" t="s">
        <v>134</v>
      </c>
      <c r="D155" s="2">
        <v>37474</v>
      </c>
      <c r="E155" t="s">
        <v>196</v>
      </c>
      <c r="F155" t="s">
        <v>651</v>
      </c>
      <c r="G155" t="s">
        <v>796</v>
      </c>
      <c r="H155" t="s">
        <v>1086</v>
      </c>
      <c r="I155" t="s">
        <v>49</v>
      </c>
      <c r="J155" t="s">
        <v>201</v>
      </c>
      <c r="K155" t="s">
        <v>1087</v>
      </c>
      <c r="L155" t="s">
        <v>1088</v>
      </c>
      <c r="M155" t="s">
        <v>1089</v>
      </c>
      <c r="N155">
        <v>2023</v>
      </c>
      <c r="O155" t="s">
        <v>159</v>
      </c>
      <c r="P155" t="s">
        <v>160</v>
      </c>
      <c r="Q155">
        <v>3</v>
      </c>
      <c r="R155">
        <v>6</v>
      </c>
      <c r="S155" t="s">
        <v>2902</v>
      </c>
    </row>
    <row r="156" spans="1:19" x14ac:dyDescent="0.25">
      <c r="A156" t="s">
        <v>1090</v>
      </c>
      <c r="B156" t="s">
        <v>170</v>
      </c>
      <c r="C156" t="s">
        <v>20</v>
      </c>
      <c r="D156" s="2">
        <v>36254</v>
      </c>
      <c r="E156" t="s">
        <v>109</v>
      </c>
      <c r="F156" t="s">
        <v>437</v>
      </c>
      <c r="G156" t="s">
        <v>66</v>
      </c>
      <c r="H156" t="s">
        <v>1091</v>
      </c>
      <c r="I156" t="s">
        <v>25</v>
      </c>
      <c r="J156" t="s">
        <v>25</v>
      </c>
      <c r="K156" t="s">
        <v>1092</v>
      </c>
      <c r="L156" t="s">
        <v>1093</v>
      </c>
      <c r="M156" t="s">
        <v>1094</v>
      </c>
      <c r="N156">
        <v>2023</v>
      </c>
      <c r="O156" t="s">
        <v>30</v>
      </c>
      <c r="P156" t="s">
        <v>31</v>
      </c>
      <c r="Q156">
        <v>3</v>
      </c>
      <c r="R156">
        <v>6</v>
      </c>
      <c r="S156" t="s">
        <v>2895</v>
      </c>
    </row>
    <row r="157" spans="1:19" x14ac:dyDescent="0.25">
      <c r="A157" t="s">
        <v>1095</v>
      </c>
      <c r="B157" t="s">
        <v>595</v>
      </c>
      <c r="C157" t="s">
        <v>134</v>
      </c>
      <c r="D157" s="2">
        <v>37359</v>
      </c>
      <c r="E157" t="s">
        <v>171</v>
      </c>
      <c r="F157" t="s">
        <v>144</v>
      </c>
      <c r="G157" t="s">
        <v>438</v>
      </c>
      <c r="H157" t="s">
        <v>1096</v>
      </c>
      <c r="I157" t="s">
        <v>368</v>
      </c>
      <c r="J157" t="s">
        <v>50</v>
      </c>
      <c r="K157" t="s">
        <v>1097</v>
      </c>
      <c r="L157" t="s">
        <v>1098</v>
      </c>
      <c r="M157" t="s">
        <v>1099</v>
      </c>
      <c r="N157">
        <v>2021</v>
      </c>
      <c r="O157" t="s">
        <v>122</v>
      </c>
      <c r="P157" t="s">
        <v>123</v>
      </c>
      <c r="Q157">
        <v>1</v>
      </c>
      <c r="R157">
        <v>2</v>
      </c>
      <c r="S157" t="s">
        <v>2919</v>
      </c>
    </row>
    <row r="158" spans="1:19" x14ac:dyDescent="0.25">
      <c r="A158" t="s">
        <v>1100</v>
      </c>
      <c r="B158" t="s">
        <v>853</v>
      </c>
      <c r="C158" t="s">
        <v>134</v>
      </c>
      <c r="D158" s="2">
        <v>38434</v>
      </c>
      <c r="E158" t="s">
        <v>67</v>
      </c>
      <c r="F158" t="s">
        <v>364</v>
      </c>
      <c r="G158" t="s">
        <v>1078</v>
      </c>
      <c r="H158" t="s">
        <v>1101</v>
      </c>
      <c r="I158" t="s">
        <v>59</v>
      </c>
      <c r="J158" t="s">
        <v>26</v>
      </c>
      <c r="K158" t="s">
        <v>1102</v>
      </c>
      <c r="L158" t="s">
        <v>1103</v>
      </c>
      <c r="M158" t="s">
        <v>1104</v>
      </c>
      <c r="N158">
        <v>2022</v>
      </c>
      <c r="O158" t="s">
        <v>63</v>
      </c>
      <c r="P158" t="s">
        <v>64</v>
      </c>
      <c r="Q158">
        <v>1</v>
      </c>
      <c r="R158">
        <v>2</v>
      </c>
      <c r="S158" t="s">
        <v>2932</v>
      </c>
    </row>
    <row r="159" spans="1:19" x14ac:dyDescent="0.25">
      <c r="A159" t="s">
        <v>1105</v>
      </c>
      <c r="B159" t="s">
        <v>471</v>
      </c>
      <c r="C159" t="s">
        <v>20</v>
      </c>
      <c r="D159" s="2">
        <v>38474</v>
      </c>
      <c r="E159" t="s">
        <v>35</v>
      </c>
      <c r="F159" t="s">
        <v>471</v>
      </c>
      <c r="G159" t="s">
        <v>827</v>
      </c>
      <c r="H159" t="s">
        <v>1106</v>
      </c>
      <c r="I159" t="s">
        <v>49</v>
      </c>
      <c r="J159" t="s">
        <v>201</v>
      </c>
      <c r="K159" t="s">
        <v>1107</v>
      </c>
      <c r="L159" t="s">
        <v>1108</v>
      </c>
      <c r="M159" t="s">
        <v>1109</v>
      </c>
      <c r="N159">
        <v>2022</v>
      </c>
      <c r="O159" t="s">
        <v>95</v>
      </c>
      <c r="P159" t="s">
        <v>96</v>
      </c>
      <c r="Q159">
        <v>1</v>
      </c>
      <c r="R159">
        <v>2</v>
      </c>
      <c r="S159" t="s">
        <v>2889</v>
      </c>
    </row>
    <row r="160" spans="1:19" x14ac:dyDescent="0.25">
      <c r="A160" t="s">
        <v>1110</v>
      </c>
      <c r="B160" t="s">
        <v>342</v>
      </c>
      <c r="C160" t="s">
        <v>134</v>
      </c>
      <c r="D160" s="2">
        <v>37632</v>
      </c>
      <c r="E160" t="s">
        <v>109</v>
      </c>
      <c r="F160" t="s">
        <v>237</v>
      </c>
      <c r="G160" t="s">
        <v>1111</v>
      </c>
      <c r="H160" t="s">
        <v>1112</v>
      </c>
      <c r="I160" t="s">
        <v>263</v>
      </c>
      <c r="J160" t="s">
        <v>139</v>
      </c>
      <c r="K160" t="s">
        <v>1113</v>
      </c>
      <c r="L160" t="s">
        <v>1114</v>
      </c>
      <c r="M160" t="s">
        <v>1115</v>
      </c>
      <c r="N160">
        <v>2023</v>
      </c>
      <c r="O160" t="s">
        <v>212</v>
      </c>
      <c r="P160" t="s">
        <v>213</v>
      </c>
      <c r="Q160">
        <v>3</v>
      </c>
      <c r="R160">
        <v>6</v>
      </c>
      <c r="S160" t="s">
        <v>3001</v>
      </c>
    </row>
    <row r="161" spans="1:19" x14ac:dyDescent="0.25">
      <c r="A161" t="s">
        <v>1116</v>
      </c>
      <c r="B161" t="s">
        <v>872</v>
      </c>
      <c r="C161" t="s">
        <v>20</v>
      </c>
      <c r="D161" s="2">
        <v>37819</v>
      </c>
      <c r="E161" t="s">
        <v>145</v>
      </c>
      <c r="F161" t="s">
        <v>637</v>
      </c>
      <c r="G161" t="s">
        <v>616</v>
      </c>
      <c r="H161" t="s">
        <v>1117</v>
      </c>
      <c r="I161" t="s">
        <v>82</v>
      </c>
      <c r="J161" t="s">
        <v>175</v>
      </c>
      <c r="K161" t="s">
        <v>1118</v>
      </c>
      <c r="L161" t="s">
        <v>1119</v>
      </c>
      <c r="M161" t="s">
        <v>1120</v>
      </c>
      <c r="N161">
        <v>2023</v>
      </c>
      <c r="O161" t="s">
        <v>212</v>
      </c>
      <c r="P161" t="s">
        <v>213</v>
      </c>
      <c r="Q161">
        <v>3</v>
      </c>
      <c r="R161">
        <v>6</v>
      </c>
      <c r="S161" t="s">
        <v>3001</v>
      </c>
    </row>
    <row r="162" spans="1:19" x14ac:dyDescent="0.25">
      <c r="A162" t="s">
        <v>1121</v>
      </c>
      <c r="B162" t="s">
        <v>686</v>
      </c>
      <c r="C162" t="s">
        <v>20</v>
      </c>
      <c r="D162" s="2">
        <v>38050</v>
      </c>
      <c r="E162" t="s">
        <v>67</v>
      </c>
      <c r="F162" t="s">
        <v>1122</v>
      </c>
      <c r="G162" t="s">
        <v>1123</v>
      </c>
      <c r="H162" t="s">
        <v>1124</v>
      </c>
      <c r="I162" t="s">
        <v>263</v>
      </c>
      <c r="J162" t="s">
        <v>139</v>
      </c>
      <c r="K162" t="s">
        <v>1125</v>
      </c>
      <c r="L162" t="s">
        <v>1126</v>
      </c>
      <c r="M162" t="s">
        <v>1127</v>
      </c>
      <c r="N162">
        <v>2022</v>
      </c>
      <c r="O162" t="s">
        <v>159</v>
      </c>
      <c r="P162" t="s">
        <v>160</v>
      </c>
      <c r="Q162">
        <v>1</v>
      </c>
      <c r="R162">
        <v>2</v>
      </c>
      <c r="S162" t="s">
        <v>2902</v>
      </c>
    </row>
    <row r="163" spans="1:19" x14ac:dyDescent="0.25">
      <c r="A163" t="s">
        <v>1128</v>
      </c>
      <c r="B163" t="s">
        <v>1129</v>
      </c>
      <c r="C163" t="s">
        <v>134</v>
      </c>
      <c r="D163" s="2">
        <v>38001</v>
      </c>
      <c r="E163" t="s">
        <v>145</v>
      </c>
      <c r="F163" t="s">
        <v>1130</v>
      </c>
      <c r="G163" t="s">
        <v>45</v>
      </c>
      <c r="H163" t="s">
        <v>1131</v>
      </c>
      <c r="I163" t="s">
        <v>263</v>
      </c>
      <c r="J163" t="s">
        <v>139</v>
      </c>
      <c r="K163" t="s">
        <v>1132</v>
      </c>
      <c r="L163" t="s">
        <v>1133</v>
      </c>
      <c r="M163" t="s">
        <v>1134</v>
      </c>
      <c r="N163">
        <v>2021</v>
      </c>
      <c r="O163" t="s">
        <v>122</v>
      </c>
      <c r="P163" t="s">
        <v>123</v>
      </c>
      <c r="Q163">
        <v>1</v>
      </c>
      <c r="R163">
        <v>2</v>
      </c>
      <c r="S163" t="s">
        <v>2919</v>
      </c>
    </row>
    <row r="164" spans="1:19" x14ac:dyDescent="0.25">
      <c r="A164" t="s">
        <v>1135</v>
      </c>
      <c r="B164" t="s">
        <v>55</v>
      </c>
      <c r="C164" t="s">
        <v>20</v>
      </c>
      <c r="D164" s="2">
        <v>38203</v>
      </c>
      <c r="E164" t="s">
        <v>67</v>
      </c>
      <c r="F164" t="s">
        <v>936</v>
      </c>
      <c r="G164" t="s">
        <v>117</v>
      </c>
      <c r="H164" t="s">
        <v>1136</v>
      </c>
      <c r="I164" t="s">
        <v>368</v>
      </c>
      <c r="J164" t="s">
        <v>50</v>
      </c>
      <c r="K164" t="s">
        <v>1137</v>
      </c>
      <c r="L164" t="s">
        <v>1138</v>
      </c>
      <c r="M164" t="s">
        <v>1139</v>
      </c>
      <c r="N164">
        <v>2021</v>
      </c>
      <c r="O164" t="s">
        <v>75</v>
      </c>
      <c r="P164" t="s">
        <v>76</v>
      </c>
      <c r="Q164">
        <v>1</v>
      </c>
      <c r="R164">
        <v>2</v>
      </c>
      <c r="S164" t="s">
        <v>2961</v>
      </c>
    </row>
    <row r="165" spans="1:19" x14ac:dyDescent="0.25">
      <c r="A165" t="s">
        <v>1140</v>
      </c>
      <c r="B165" t="s">
        <v>797</v>
      </c>
      <c r="C165" t="s">
        <v>134</v>
      </c>
      <c r="D165" s="2">
        <v>36821</v>
      </c>
      <c r="E165" t="s">
        <v>196</v>
      </c>
      <c r="F165" t="s">
        <v>245</v>
      </c>
      <c r="G165" t="s">
        <v>154</v>
      </c>
      <c r="H165" t="s">
        <v>1141</v>
      </c>
      <c r="I165" t="s">
        <v>49</v>
      </c>
      <c r="J165" t="s">
        <v>201</v>
      </c>
      <c r="K165" t="s">
        <v>1142</v>
      </c>
      <c r="L165" t="s">
        <v>1143</v>
      </c>
      <c r="M165" t="s">
        <v>1144</v>
      </c>
      <c r="N165">
        <v>2021</v>
      </c>
      <c r="O165" t="s">
        <v>212</v>
      </c>
      <c r="P165" t="s">
        <v>213</v>
      </c>
      <c r="Q165">
        <v>1</v>
      </c>
      <c r="R165">
        <v>2</v>
      </c>
      <c r="S165" t="s">
        <v>3001</v>
      </c>
    </row>
    <row r="166" spans="1:19" x14ac:dyDescent="0.25">
      <c r="A166" t="s">
        <v>1145</v>
      </c>
      <c r="B166" t="s">
        <v>537</v>
      </c>
      <c r="C166" t="s">
        <v>20</v>
      </c>
      <c r="D166" s="2">
        <v>39389</v>
      </c>
      <c r="E166" t="s">
        <v>21</v>
      </c>
      <c r="F166" t="s">
        <v>164</v>
      </c>
      <c r="G166" t="s">
        <v>252</v>
      </c>
      <c r="H166" t="s">
        <v>1146</v>
      </c>
      <c r="I166" t="s">
        <v>49</v>
      </c>
      <c r="J166" t="s">
        <v>201</v>
      </c>
      <c r="K166" t="s">
        <v>1147</v>
      </c>
      <c r="L166" t="s">
        <v>1148</v>
      </c>
      <c r="M166" t="s">
        <v>1149</v>
      </c>
      <c r="N166">
        <v>2021</v>
      </c>
      <c r="O166" t="s">
        <v>30</v>
      </c>
      <c r="P166" t="s">
        <v>31</v>
      </c>
      <c r="Q166">
        <v>1</v>
      </c>
      <c r="R166">
        <v>2</v>
      </c>
      <c r="S166" t="s">
        <v>2895</v>
      </c>
    </row>
    <row r="167" spans="1:19" x14ac:dyDescent="0.25">
      <c r="A167" t="s">
        <v>1150</v>
      </c>
      <c r="B167" t="s">
        <v>229</v>
      </c>
      <c r="C167" t="s">
        <v>20</v>
      </c>
      <c r="D167" s="2">
        <v>37030</v>
      </c>
      <c r="E167" t="s">
        <v>145</v>
      </c>
      <c r="F167" t="s">
        <v>761</v>
      </c>
      <c r="G167" t="s">
        <v>1151</v>
      </c>
      <c r="H167" t="s">
        <v>1152</v>
      </c>
      <c r="I167" t="s">
        <v>25</v>
      </c>
      <c r="J167" t="s">
        <v>25</v>
      </c>
      <c r="K167" t="s">
        <v>1153</v>
      </c>
      <c r="L167" t="s">
        <v>1154</v>
      </c>
      <c r="M167" t="s">
        <v>1155</v>
      </c>
      <c r="N167">
        <v>2024</v>
      </c>
      <c r="O167" t="s">
        <v>30</v>
      </c>
      <c r="P167" t="s">
        <v>31</v>
      </c>
      <c r="Q167">
        <v>2</v>
      </c>
      <c r="R167">
        <v>4</v>
      </c>
      <c r="S167" t="s">
        <v>2895</v>
      </c>
    </row>
    <row r="168" spans="1:19" x14ac:dyDescent="0.25">
      <c r="A168" t="s">
        <v>1156</v>
      </c>
      <c r="B168" t="s">
        <v>798</v>
      </c>
      <c r="C168" t="s">
        <v>20</v>
      </c>
      <c r="D168" s="2">
        <v>36390</v>
      </c>
      <c r="E168" t="s">
        <v>109</v>
      </c>
      <c r="F168" t="s">
        <v>326</v>
      </c>
      <c r="G168" t="s">
        <v>1123</v>
      </c>
      <c r="H168" t="s">
        <v>1157</v>
      </c>
      <c r="I168" t="s">
        <v>200</v>
      </c>
      <c r="J168" t="s">
        <v>40</v>
      </c>
      <c r="K168" t="s">
        <v>1158</v>
      </c>
      <c r="L168" t="s">
        <v>1159</v>
      </c>
      <c r="M168" t="s">
        <v>1160</v>
      </c>
      <c r="N168">
        <v>2023</v>
      </c>
      <c r="O168" t="s">
        <v>75</v>
      </c>
      <c r="P168" t="s">
        <v>76</v>
      </c>
      <c r="Q168">
        <v>3</v>
      </c>
      <c r="R168">
        <v>6</v>
      </c>
      <c r="S168" t="s">
        <v>2961</v>
      </c>
    </row>
    <row r="169" spans="1:19" x14ac:dyDescent="0.25">
      <c r="A169" t="s">
        <v>1161</v>
      </c>
      <c r="B169" t="s">
        <v>19</v>
      </c>
      <c r="C169" t="s">
        <v>134</v>
      </c>
      <c r="D169" s="2">
        <v>38196</v>
      </c>
      <c r="E169" t="s">
        <v>145</v>
      </c>
      <c r="F169" t="s">
        <v>872</v>
      </c>
      <c r="G169" t="s">
        <v>1162</v>
      </c>
      <c r="H169" t="s">
        <v>1163</v>
      </c>
      <c r="I169" t="s">
        <v>25</v>
      </c>
      <c r="J169" t="s">
        <v>25</v>
      </c>
      <c r="K169" t="s">
        <v>1164</v>
      </c>
      <c r="L169" t="s">
        <v>1165</v>
      </c>
      <c r="M169" t="s">
        <v>1166</v>
      </c>
      <c r="N169">
        <v>2021</v>
      </c>
      <c r="O169" t="s">
        <v>212</v>
      </c>
      <c r="P169" t="s">
        <v>213</v>
      </c>
      <c r="Q169">
        <v>1</v>
      </c>
      <c r="R169">
        <v>2</v>
      </c>
      <c r="S169" t="s">
        <v>3001</v>
      </c>
    </row>
    <row r="170" spans="1:19" x14ac:dyDescent="0.25">
      <c r="A170" t="s">
        <v>1167</v>
      </c>
      <c r="B170" t="s">
        <v>253</v>
      </c>
      <c r="C170" t="s">
        <v>134</v>
      </c>
      <c r="D170" s="2">
        <v>36635</v>
      </c>
      <c r="E170" t="s">
        <v>35</v>
      </c>
      <c r="F170" t="s">
        <v>1168</v>
      </c>
      <c r="G170" t="s">
        <v>305</v>
      </c>
      <c r="H170" t="s">
        <v>1169</v>
      </c>
      <c r="I170" t="s">
        <v>368</v>
      </c>
      <c r="J170" t="s">
        <v>50</v>
      </c>
      <c r="K170" t="s">
        <v>1170</v>
      </c>
      <c r="L170" t="s">
        <v>1171</v>
      </c>
      <c r="M170" t="s">
        <v>1172</v>
      </c>
      <c r="N170">
        <v>2021</v>
      </c>
      <c r="O170" t="s">
        <v>95</v>
      </c>
      <c r="P170" t="s">
        <v>96</v>
      </c>
      <c r="Q170">
        <v>1</v>
      </c>
      <c r="R170">
        <v>2</v>
      </c>
      <c r="S170" t="s">
        <v>2889</v>
      </c>
    </row>
    <row r="171" spans="1:19" x14ac:dyDescent="0.25">
      <c r="A171" t="s">
        <v>1173</v>
      </c>
      <c r="B171" t="s">
        <v>408</v>
      </c>
      <c r="C171" t="s">
        <v>20</v>
      </c>
      <c r="D171" s="2">
        <v>37465</v>
      </c>
      <c r="E171" t="s">
        <v>67</v>
      </c>
      <c r="F171" t="s">
        <v>365</v>
      </c>
      <c r="G171" t="s">
        <v>164</v>
      </c>
      <c r="H171" t="s">
        <v>1174</v>
      </c>
      <c r="I171" t="s">
        <v>59</v>
      </c>
      <c r="J171" t="s">
        <v>26</v>
      </c>
      <c r="K171" t="s">
        <v>1175</v>
      </c>
      <c r="L171" t="s">
        <v>1176</v>
      </c>
      <c r="M171" t="s">
        <v>1177</v>
      </c>
      <c r="N171">
        <v>2022</v>
      </c>
      <c r="O171" t="s">
        <v>159</v>
      </c>
      <c r="P171" t="s">
        <v>160</v>
      </c>
      <c r="Q171">
        <v>1</v>
      </c>
      <c r="R171">
        <v>2</v>
      </c>
      <c r="S171" t="s">
        <v>2902</v>
      </c>
    </row>
    <row r="172" spans="1:19" x14ac:dyDescent="0.25">
      <c r="A172" t="s">
        <v>1178</v>
      </c>
      <c r="B172" t="s">
        <v>418</v>
      </c>
      <c r="C172" t="s">
        <v>134</v>
      </c>
      <c r="D172" s="2">
        <v>36700</v>
      </c>
      <c r="E172" t="s">
        <v>171</v>
      </c>
      <c r="F172" t="s">
        <v>237</v>
      </c>
      <c r="G172" t="s">
        <v>276</v>
      </c>
      <c r="H172" t="s">
        <v>1179</v>
      </c>
      <c r="I172" t="s">
        <v>368</v>
      </c>
      <c r="J172" t="s">
        <v>50</v>
      </c>
      <c r="K172" t="s">
        <v>1180</v>
      </c>
      <c r="L172" t="s">
        <v>1181</v>
      </c>
      <c r="M172" t="s">
        <v>1182</v>
      </c>
      <c r="N172">
        <v>2023</v>
      </c>
      <c r="O172" t="s">
        <v>105</v>
      </c>
      <c r="P172" t="s">
        <v>106</v>
      </c>
      <c r="Q172">
        <v>3</v>
      </c>
      <c r="R172">
        <v>6</v>
      </c>
      <c r="S172" t="s">
        <v>2908</v>
      </c>
    </row>
    <row r="173" spans="1:19" x14ac:dyDescent="0.25">
      <c r="A173" t="s">
        <v>1183</v>
      </c>
      <c r="B173" t="s">
        <v>1055</v>
      </c>
      <c r="C173" t="s">
        <v>20</v>
      </c>
      <c r="D173" s="2">
        <v>39086</v>
      </c>
      <c r="E173" t="s">
        <v>196</v>
      </c>
      <c r="F173" t="s">
        <v>566</v>
      </c>
      <c r="G173" t="s">
        <v>861</v>
      </c>
      <c r="H173" t="s">
        <v>1184</v>
      </c>
      <c r="I173" t="s">
        <v>368</v>
      </c>
      <c r="J173" t="s">
        <v>50</v>
      </c>
      <c r="K173" t="s">
        <v>1185</v>
      </c>
      <c r="L173" t="s">
        <v>1186</v>
      </c>
      <c r="M173" t="s">
        <v>1187</v>
      </c>
      <c r="N173">
        <v>2024</v>
      </c>
      <c r="O173" t="s">
        <v>30</v>
      </c>
      <c r="P173" t="s">
        <v>31</v>
      </c>
      <c r="Q173">
        <v>2</v>
      </c>
      <c r="R173">
        <v>4</v>
      </c>
      <c r="S173" t="s">
        <v>2895</v>
      </c>
    </row>
    <row r="174" spans="1:19" x14ac:dyDescent="0.25">
      <c r="A174" t="s">
        <v>1188</v>
      </c>
      <c r="B174" t="s">
        <v>181</v>
      </c>
      <c r="C174" t="s">
        <v>20</v>
      </c>
      <c r="D174" s="2">
        <v>36882</v>
      </c>
      <c r="E174" t="s">
        <v>21</v>
      </c>
      <c r="F174" t="s">
        <v>357</v>
      </c>
      <c r="G174" t="s">
        <v>1189</v>
      </c>
      <c r="H174" t="s">
        <v>1190</v>
      </c>
      <c r="I174" t="s">
        <v>368</v>
      </c>
      <c r="J174" t="s">
        <v>50</v>
      </c>
      <c r="K174" t="s">
        <v>1191</v>
      </c>
      <c r="L174" t="s">
        <v>1192</v>
      </c>
      <c r="M174" t="s">
        <v>1193</v>
      </c>
      <c r="N174">
        <v>2023</v>
      </c>
      <c r="O174" t="s">
        <v>159</v>
      </c>
      <c r="P174" t="s">
        <v>160</v>
      </c>
      <c r="Q174">
        <v>3</v>
      </c>
      <c r="R174">
        <v>6</v>
      </c>
      <c r="S174" t="s">
        <v>2902</v>
      </c>
    </row>
    <row r="175" spans="1:19" x14ac:dyDescent="0.25">
      <c r="A175" t="s">
        <v>1194</v>
      </c>
      <c r="B175" t="s">
        <v>270</v>
      </c>
      <c r="C175" t="s">
        <v>20</v>
      </c>
      <c r="D175" s="2">
        <v>38251</v>
      </c>
      <c r="E175" t="s">
        <v>171</v>
      </c>
      <c r="F175" t="s">
        <v>284</v>
      </c>
      <c r="G175" t="s">
        <v>602</v>
      </c>
      <c r="H175" t="s">
        <v>1195</v>
      </c>
      <c r="I175" t="s">
        <v>200</v>
      </c>
      <c r="J175" t="s">
        <v>40</v>
      </c>
      <c r="K175" t="s">
        <v>1196</v>
      </c>
      <c r="L175" t="s">
        <v>1197</v>
      </c>
      <c r="M175" t="s">
        <v>1198</v>
      </c>
      <c r="N175">
        <v>2023</v>
      </c>
      <c r="O175" t="s">
        <v>63</v>
      </c>
      <c r="P175" t="s">
        <v>64</v>
      </c>
      <c r="Q175">
        <v>3</v>
      </c>
      <c r="R175">
        <v>6</v>
      </c>
      <c r="S175" t="s">
        <v>2932</v>
      </c>
    </row>
    <row r="176" spans="1:19" x14ac:dyDescent="0.25">
      <c r="A176" t="s">
        <v>1199</v>
      </c>
      <c r="B176" t="s">
        <v>528</v>
      </c>
      <c r="C176" t="s">
        <v>134</v>
      </c>
      <c r="D176" s="2">
        <v>36675</v>
      </c>
      <c r="E176" t="s">
        <v>171</v>
      </c>
      <c r="F176" t="s">
        <v>981</v>
      </c>
      <c r="G176" t="s">
        <v>735</v>
      </c>
      <c r="H176" t="s">
        <v>1200</v>
      </c>
      <c r="I176" t="s">
        <v>82</v>
      </c>
      <c r="J176" t="s">
        <v>175</v>
      </c>
      <c r="K176" t="s">
        <v>1201</v>
      </c>
      <c r="L176" t="s">
        <v>1202</v>
      </c>
      <c r="M176" t="s">
        <v>1203</v>
      </c>
      <c r="N176">
        <v>2022</v>
      </c>
      <c r="O176" t="s">
        <v>122</v>
      </c>
      <c r="P176" t="s">
        <v>123</v>
      </c>
      <c r="Q176">
        <v>1</v>
      </c>
      <c r="R176">
        <v>2</v>
      </c>
      <c r="S176" t="s">
        <v>2919</v>
      </c>
    </row>
    <row r="177" spans="1:19" x14ac:dyDescent="0.25">
      <c r="A177" t="s">
        <v>1204</v>
      </c>
      <c r="B177" t="s">
        <v>760</v>
      </c>
      <c r="C177" t="s">
        <v>20</v>
      </c>
      <c r="D177" s="2">
        <v>37664</v>
      </c>
      <c r="E177" t="s">
        <v>35</v>
      </c>
      <c r="F177" t="s">
        <v>1205</v>
      </c>
      <c r="G177" t="s">
        <v>1206</v>
      </c>
      <c r="H177" t="s">
        <v>1207</v>
      </c>
      <c r="I177" t="s">
        <v>368</v>
      </c>
      <c r="J177" t="s">
        <v>50</v>
      </c>
      <c r="K177" t="s">
        <v>1208</v>
      </c>
      <c r="L177" t="s">
        <v>1209</v>
      </c>
      <c r="M177" t="s">
        <v>1210</v>
      </c>
      <c r="N177">
        <v>2021</v>
      </c>
      <c r="O177" t="s">
        <v>30</v>
      </c>
      <c r="P177" t="s">
        <v>31</v>
      </c>
      <c r="Q177">
        <v>1</v>
      </c>
      <c r="R177">
        <v>2</v>
      </c>
      <c r="S177" t="s">
        <v>2895</v>
      </c>
    </row>
    <row r="178" spans="1:19" x14ac:dyDescent="0.25">
      <c r="A178" t="s">
        <v>1211</v>
      </c>
      <c r="B178" t="s">
        <v>936</v>
      </c>
      <c r="C178" t="s">
        <v>20</v>
      </c>
      <c r="D178" s="2">
        <v>38020</v>
      </c>
      <c r="E178" t="s">
        <v>171</v>
      </c>
      <c r="F178" t="s">
        <v>430</v>
      </c>
      <c r="G178" t="s">
        <v>700</v>
      </c>
      <c r="H178" t="s">
        <v>1212</v>
      </c>
      <c r="I178" t="s">
        <v>25</v>
      </c>
      <c r="J178" t="s">
        <v>25</v>
      </c>
      <c r="K178" t="s">
        <v>1213</v>
      </c>
      <c r="L178" t="s">
        <v>1214</v>
      </c>
      <c r="M178" t="s">
        <v>1215</v>
      </c>
      <c r="N178">
        <v>2023</v>
      </c>
      <c r="O178" t="s">
        <v>122</v>
      </c>
      <c r="P178" t="s">
        <v>123</v>
      </c>
      <c r="Q178">
        <v>3</v>
      </c>
      <c r="R178">
        <v>6</v>
      </c>
      <c r="S178" t="s">
        <v>2919</v>
      </c>
    </row>
    <row r="179" spans="1:19" x14ac:dyDescent="0.25">
      <c r="A179" t="s">
        <v>1216</v>
      </c>
      <c r="B179" t="s">
        <v>393</v>
      </c>
      <c r="C179" t="s">
        <v>20</v>
      </c>
      <c r="D179" s="2">
        <v>37288</v>
      </c>
      <c r="E179" t="s">
        <v>109</v>
      </c>
      <c r="F179" t="s">
        <v>602</v>
      </c>
      <c r="G179" t="s">
        <v>564</v>
      </c>
      <c r="H179" t="s">
        <v>1217</v>
      </c>
      <c r="I179" t="s">
        <v>263</v>
      </c>
      <c r="J179" t="s">
        <v>139</v>
      </c>
      <c r="K179" t="s">
        <v>1218</v>
      </c>
      <c r="L179" t="s">
        <v>1219</v>
      </c>
      <c r="M179" t="s">
        <v>1220</v>
      </c>
      <c r="N179">
        <v>2024</v>
      </c>
      <c r="O179" t="s">
        <v>105</v>
      </c>
      <c r="P179" t="s">
        <v>106</v>
      </c>
      <c r="Q179">
        <v>2</v>
      </c>
      <c r="R179">
        <v>4</v>
      </c>
      <c r="S179" t="s">
        <v>2908</v>
      </c>
    </row>
    <row r="180" spans="1:19" x14ac:dyDescent="0.25">
      <c r="A180" t="s">
        <v>1221</v>
      </c>
      <c r="B180" t="s">
        <v>1222</v>
      </c>
      <c r="C180" t="s">
        <v>134</v>
      </c>
      <c r="D180" s="2">
        <v>37574</v>
      </c>
      <c r="E180" t="s">
        <v>196</v>
      </c>
      <c r="F180" t="s">
        <v>327</v>
      </c>
      <c r="G180" t="s">
        <v>1223</v>
      </c>
      <c r="H180" t="s">
        <v>208</v>
      </c>
      <c r="I180" t="s">
        <v>82</v>
      </c>
      <c r="J180" t="s">
        <v>175</v>
      </c>
      <c r="K180" t="s">
        <v>1224</v>
      </c>
      <c r="L180" t="s">
        <v>1225</v>
      </c>
      <c r="M180" t="s">
        <v>1226</v>
      </c>
      <c r="N180">
        <v>2023</v>
      </c>
      <c r="O180" t="s">
        <v>63</v>
      </c>
      <c r="P180" t="s">
        <v>64</v>
      </c>
      <c r="Q180">
        <v>3</v>
      </c>
      <c r="R180">
        <v>6</v>
      </c>
      <c r="S180" t="s">
        <v>2932</v>
      </c>
    </row>
    <row r="181" spans="1:19" x14ac:dyDescent="0.25">
      <c r="A181" t="s">
        <v>1227</v>
      </c>
      <c r="B181" t="s">
        <v>154</v>
      </c>
      <c r="C181" t="s">
        <v>20</v>
      </c>
      <c r="D181" s="2">
        <v>37533</v>
      </c>
      <c r="E181" t="s">
        <v>196</v>
      </c>
      <c r="F181" t="s">
        <v>69</v>
      </c>
      <c r="G181" t="s">
        <v>566</v>
      </c>
      <c r="H181" t="s">
        <v>1228</v>
      </c>
      <c r="I181" t="s">
        <v>91</v>
      </c>
      <c r="J181" t="s">
        <v>71</v>
      </c>
      <c r="K181" t="s">
        <v>1229</v>
      </c>
      <c r="L181" t="s">
        <v>1230</v>
      </c>
      <c r="M181" t="s">
        <v>1231</v>
      </c>
      <c r="N181">
        <v>2021</v>
      </c>
      <c r="O181" t="s">
        <v>75</v>
      </c>
      <c r="P181" t="s">
        <v>76</v>
      </c>
      <c r="Q181">
        <v>1</v>
      </c>
      <c r="R181">
        <v>2</v>
      </c>
      <c r="S181" t="s">
        <v>2961</v>
      </c>
    </row>
    <row r="182" spans="1:19" x14ac:dyDescent="0.25">
      <c r="A182" t="s">
        <v>1232</v>
      </c>
      <c r="B182" t="s">
        <v>154</v>
      </c>
      <c r="C182" t="s">
        <v>134</v>
      </c>
      <c r="D182" s="2">
        <v>38616</v>
      </c>
      <c r="E182" t="s">
        <v>67</v>
      </c>
      <c r="F182" t="s">
        <v>479</v>
      </c>
      <c r="G182" t="s">
        <v>36</v>
      </c>
      <c r="H182" t="s">
        <v>1233</v>
      </c>
      <c r="I182" t="s">
        <v>263</v>
      </c>
      <c r="J182" t="s">
        <v>139</v>
      </c>
      <c r="K182" t="s">
        <v>1234</v>
      </c>
      <c r="L182" t="s">
        <v>1235</v>
      </c>
      <c r="M182" t="s">
        <v>1236</v>
      </c>
      <c r="N182">
        <v>2021</v>
      </c>
      <c r="O182" t="s">
        <v>122</v>
      </c>
      <c r="P182" t="s">
        <v>123</v>
      </c>
      <c r="Q182">
        <v>1</v>
      </c>
      <c r="R182">
        <v>2</v>
      </c>
      <c r="S182" t="s">
        <v>2919</v>
      </c>
    </row>
    <row r="183" spans="1:19" x14ac:dyDescent="0.25">
      <c r="A183" t="s">
        <v>1237</v>
      </c>
      <c r="B183" t="s">
        <v>1054</v>
      </c>
      <c r="C183" t="s">
        <v>134</v>
      </c>
      <c r="D183" s="2">
        <v>37965</v>
      </c>
      <c r="E183" t="s">
        <v>67</v>
      </c>
      <c r="F183" t="s">
        <v>1079</v>
      </c>
      <c r="G183" t="s">
        <v>974</v>
      </c>
      <c r="H183" t="s">
        <v>1238</v>
      </c>
      <c r="I183" t="s">
        <v>368</v>
      </c>
      <c r="J183" t="s">
        <v>50</v>
      </c>
      <c r="K183" t="s">
        <v>1239</v>
      </c>
      <c r="L183" t="s">
        <v>1240</v>
      </c>
      <c r="M183" t="s">
        <v>1241</v>
      </c>
      <c r="N183">
        <v>2022</v>
      </c>
      <c r="O183" t="s">
        <v>30</v>
      </c>
      <c r="P183" t="s">
        <v>31</v>
      </c>
      <c r="Q183">
        <v>1</v>
      </c>
      <c r="R183">
        <v>2</v>
      </c>
      <c r="S183" t="s">
        <v>2895</v>
      </c>
    </row>
    <row r="184" spans="1:19" x14ac:dyDescent="0.25">
      <c r="A184" t="s">
        <v>1242</v>
      </c>
      <c r="B184" t="s">
        <v>853</v>
      </c>
      <c r="C184" t="s">
        <v>134</v>
      </c>
      <c r="D184" s="2">
        <v>36176</v>
      </c>
      <c r="E184" t="s">
        <v>171</v>
      </c>
      <c r="F184" t="s">
        <v>1243</v>
      </c>
      <c r="G184" t="s">
        <v>1111</v>
      </c>
      <c r="H184" t="s">
        <v>1244</v>
      </c>
      <c r="I184" t="s">
        <v>59</v>
      </c>
      <c r="J184" t="s">
        <v>26</v>
      </c>
      <c r="K184" t="s">
        <v>1245</v>
      </c>
      <c r="L184" t="s">
        <v>1246</v>
      </c>
      <c r="M184" t="s">
        <v>1247</v>
      </c>
      <c r="N184">
        <v>2023</v>
      </c>
      <c r="O184" t="s">
        <v>95</v>
      </c>
      <c r="P184" t="s">
        <v>96</v>
      </c>
      <c r="Q184">
        <v>3</v>
      </c>
      <c r="R184">
        <v>6</v>
      </c>
      <c r="S184" t="s">
        <v>2889</v>
      </c>
    </row>
    <row r="185" spans="1:19" x14ac:dyDescent="0.25">
      <c r="A185" t="s">
        <v>1248</v>
      </c>
      <c r="B185" t="s">
        <v>400</v>
      </c>
      <c r="C185" t="s">
        <v>134</v>
      </c>
      <c r="D185" s="2">
        <v>37734</v>
      </c>
      <c r="E185" t="s">
        <v>196</v>
      </c>
      <c r="F185" t="s">
        <v>759</v>
      </c>
      <c r="G185" t="s">
        <v>631</v>
      </c>
      <c r="H185" t="s">
        <v>1249</v>
      </c>
      <c r="I185" t="s">
        <v>368</v>
      </c>
      <c r="J185" t="s">
        <v>50</v>
      </c>
      <c r="K185" t="s">
        <v>1250</v>
      </c>
      <c r="L185" t="s">
        <v>1251</v>
      </c>
      <c r="M185" t="s">
        <v>1252</v>
      </c>
      <c r="N185">
        <v>2023</v>
      </c>
      <c r="O185" t="s">
        <v>75</v>
      </c>
      <c r="P185" t="s">
        <v>76</v>
      </c>
      <c r="Q185">
        <v>3</v>
      </c>
      <c r="R185">
        <v>6</v>
      </c>
      <c r="S185" t="s">
        <v>2961</v>
      </c>
    </row>
    <row r="186" spans="1:19" x14ac:dyDescent="0.25">
      <c r="A186" t="s">
        <v>1253</v>
      </c>
      <c r="B186" t="s">
        <v>608</v>
      </c>
      <c r="C186" t="s">
        <v>134</v>
      </c>
      <c r="D186" s="2">
        <v>38839</v>
      </c>
      <c r="E186" t="s">
        <v>171</v>
      </c>
      <c r="F186" t="s">
        <v>1254</v>
      </c>
      <c r="G186" t="s">
        <v>839</v>
      </c>
      <c r="H186" t="s">
        <v>1255</v>
      </c>
      <c r="I186" t="s">
        <v>91</v>
      </c>
      <c r="J186" t="s">
        <v>71</v>
      </c>
      <c r="K186" t="s">
        <v>1256</v>
      </c>
      <c r="L186" t="s">
        <v>1257</v>
      </c>
      <c r="M186" t="s">
        <v>1258</v>
      </c>
      <c r="N186">
        <v>2021</v>
      </c>
      <c r="O186" t="s">
        <v>159</v>
      </c>
      <c r="P186" t="s">
        <v>160</v>
      </c>
      <c r="Q186">
        <v>1</v>
      </c>
      <c r="R186">
        <v>2</v>
      </c>
      <c r="S186" t="s">
        <v>2902</v>
      </c>
    </row>
    <row r="187" spans="1:19" x14ac:dyDescent="0.25">
      <c r="A187" t="s">
        <v>1259</v>
      </c>
      <c r="B187" t="s">
        <v>1260</v>
      </c>
      <c r="C187" t="s">
        <v>20</v>
      </c>
      <c r="D187" s="2">
        <v>37064</v>
      </c>
      <c r="E187" t="s">
        <v>196</v>
      </c>
      <c r="F187" t="s">
        <v>1261</v>
      </c>
      <c r="G187" t="s">
        <v>221</v>
      </c>
      <c r="H187" t="s">
        <v>1262</v>
      </c>
      <c r="I187" t="s">
        <v>59</v>
      </c>
      <c r="J187" t="s">
        <v>26</v>
      </c>
      <c r="K187" t="s">
        <v>1263</v>
      </c>
      <c r="L187" t="s">
        <v>1264</v>
      </c>
      <c r="M187" t="s">
        <v>1265</v>
      </c>
      <c r="N187">
        <v>2024</v>
      </c>
      <c r="O187" t="s">
        <v>105</v>
      </c>
      <c r="P187" t="s">
        <v>106</v>
      </c>
      <c r="Q187">
        <v>2</v>
      </c>
      <c r="R187">
        <v>4</v>
      </c>
      <c r="S187" t="s">
        <v>2908</v>
      </c>
    </row>
    <row r="188" spans="1:19" x14ac:dyDescent="0.25">
      <c r="A188" t="s">
        <v>1266</v>
      </c>
      <c r="B188" t="s">
        <v>55</v>
      </c>
      <c r="C188" t="s">
        <v>134</v>
      </c>
      <c r="D188" s="2">
        <v>36187</v>
      </c>
      <c r="E188" t="s">
        <v>196</v>
      </c>
      <c r="F188" t="s">
        <v>699</v>
      </c>
      <c r="G188" t="s">
        <v>251</v>
      </c>
      <c r="H188" t="s">
        <v>1267</v>
      </c>
      <c r="I188" t="s">
        <v>368</v>
      </c>
      <c r="J188" t="s">
        <v>50</v>
      </c>
      <c r="K188" t="s">
        <v>1268</v>
      </c>
      <c r="L188" t="s">
        <v>1269</v>
      </c>
      <c r="M188" t="s">
        <v>1270</v>
      </c>
      <c r="N188">
        <v>2021</v>
      </c>
      <c r="O188" t="s">
        <v>30</v>
      </c>
      <c r="P188" t="s">
        <v>31</v>
      </c>
      <c r="Q188">
        <v>1</v>
      </c>
      <c r="R188">
        <v>2</v>
      </c>
      <c r="S188" t="s">
        <v>2895</v>
      </c>
    </row>
    <row r="189" spans="1:19" x14ac:dyDescent="0.25">
      <c r="A189" t="s">
        <v>1271</v>
      </c>
      <c r="B189" t="s">
        <v>457</v>
      </c>
      <c r="C189" t="s">
        <v>20</v>
      </c>
      <c r="D189" s="2">
        <v>37059</v>
      </c>
      <c r="E189" t="s">
        <v>145</v>
      </c>
      <c r="F189" t="s">
        <v>839</v>
      </c>
      <c r="G189" t="s">
        <v>759</v>
      </c>
      <c r="H189" t="s">
        <v>1272</v>
      </c>
      <c r="I189" t="s">
        <v>59</v>
      </c>
      <c r="J189" t="s">
        <v>26</v>
      </c>
      <c r="K189" t="s">
        <v>1273</v>
      </c>
      <c r="L189" t="s">
        <v>1274</v>
      </c>
      <c r="M189" t="s">
        <v>1275</v>
      </c>
      <c r="N189">
        <v>2021</v>
      </c>
      <c r="O189" t="s">
        <v>212</v>
      </c>
      <c r="P189" t="s">
        <v>213</v>
      </c>
      <c r="Q189">
        <v>1</v>
      </c>
      <c r="R189">
        <v>2</v>
      </c>
      <c r="S189" t="s">
        <v>3001</v>
      </c>
    </row>
    <row r="190" spans="1:19" x14ac:dyDescent="0.25">
      <c r="A190" t="s">
        <v>1276</v>
      </c>
      <c r="B190" t="s">
        <v>1055</v>
      </c>
      <c r="C190" t="s">
        <v>134</v>
      </c>
      <c r="D190" s="2">
        <v>37124</v>
      </c>
      <c r="E190" t="s">
        <v>109</v>
      </c>
      <c r="F190" t="s">
        <v>1277</v>
      </c>
      <c r="G190" t="s">
        <v>89</v>
      </c>
      <c r="H190" t="s">
        <v>1278</v>
      </c>
      <c r="I190" t="s">
        <v>49</v>
      </c>
      <c r="J190" t="s">
        <v>201</v>
      </c>
      <c r="K190" t="s">
        <v>1279</v>
      </c>
      <c r="L190" t="s">
        <v>1280</v>
      </c>
      <c r="M190" t="s">
        <v>1281</v>
      </c>
      <c r="N190">
        <v>2023</v>
      </c>
      <c r="O190" t="s">
        <v>122</v>
      </c>
      <c r="P190" t="s">
        <v>123</v>
      </c>
      <c r="Q190">
        <v>3</v>
      </c>
      <c r="R190">
        <v>6</v>
      </c>
      <c r="S190" t="s">
        <v>2919</v>
      </c>
    </row>
    <row r="191" spans="1:19" x14ac:dyDescent="0.25">
      <c r="A191" t="s">
        <v>1282</v>
      </c>
      <c r="B191" t="s">
        <v>1030</v>
      </c>
      <c r="C191" t="s">
        <v>134</v>
      </c>
      <c r="D191" s="2">
        <v>36292</v>
      </c>
      <c r="E191" t="s">
        <v>67</v>
      </c>
      <c r="F191" t="s">
        <v>485</v>
      </c>
      <c r="G191" t="s">
        <v>1283</v>
      </c>
      <c r="H191" t="s">
        <v>1284</v>
      </c>
      <c r="I191" t="s">
        <v>368</v>
      </c>
      <c r="J191" t="s">
        <v>50</v>
      </c>
      <c r="K191" t="s">
        <v>1285</v>
      </c>
      <c r="L191" t="s">
        <v>1286</v>
      </c>
      <c r="M191" t="s">
        <v>1287</v>
      </c>
      <c r="N191">
        <v>2021</v>
      </c>
      <c r="O191" t="s">
        <v>63</v>
      </c>
      <c r="P191" t="s">
        <v>64</v>
      </c>
      <c r="Q191">
        <v>1</v>
      </c>
      <c r="R191">
        <v>2</v>
      </c>
      <c r="S191" t="s">
        <v>2932</v>
      </c>
    </row>
    <row r="192" spans="1:19" x14ac:dyDescent="0.25">
      <c r="A192" t="s">
        <v>1288</v>
      </c>
      <c r="B192" t="s">
        <v>1289</v>
      </c>
      <c r="C192" t="s">
        <v>134</v>
      </c>
      <c r="D192" s="2">
        <v>37501</v>
      </c>
      <c r="E192" t="s">
        <v>67</v>
      </c>
      <c r="F192" t="s">
        <v>252</v>
      </c>
      <c r="G192" t="s">
        <v>980</v>
      </c>
      <c r="H192" t="s">
        <v>1290</v>
      </c>
      <c r="I192" t="s">
        <v>200</v>
      </c>
      <c r="J192" t="s">
        <v>40</v>
      </c>
      <c r="K192" t="s">
        <v>1291</v>
      </c>
      <c r="L192" t="s">
        <v>1292</v>
      </c>
      <c r="M192" t="s">
        <v>1293</v>
      </c>
      <c r="N192">
        <v>2023</v>
      </c>
      <c r="O192" t="s">
        <v>95</v>
      </c>
      <c r="P192" t="s">
        <v>96</v>
      </c>
      <c r="Q192">
        <v>3</v>
      </c>
      <c r="R192">
        <v>6</v>
      </c>
      <c r="S192" t="s">
        <v>2889</v>
      </c>
    </row>
    <row r="193" spans="1:19" x14ac:dyDescent="0.25">
      <c r="A193" t="s">
        <v>1294</v>
      </c>
      <c r="B193" t="s">
        <v>479</v>
      </c>
      <c r="C193" t="s">
        <v>134</v>
      </c>
      <c r="D193" s="2">
        <v>38126</v>
      </c>
      <c r="E193" t="s">
        <v>171</v>
      </c>
      <c r="F193" t="s">
        <v>245</v>
      </c>
      <c r="G193" t="s">
        <v>351</v>
      </c>
      <c r="H193" t="s">
        <v>1295</v>
      </c>
      <c r="I193" t="s">
        <v>368</v>
      </c>
      <c r="J193" t="s">
        <v>50</v>
      </c>
      <c r="K193" t="s">
        <v>1296</v>
      </c>
      <c r="L193" t="s">
        <v>1297</v>
      </c>
      <c r="M193" t="s">
        <v>1298</v>
      </c>
      <c r="N193">
        <v>2021</v>
      </c>
      <c r="O193" t="s">
        <v>30</v>
      </c>
      <c r="P193" t="s">
        <v>31</v>
      </c>
      <c r="Q193">
        <v>1</v>
      </c>
      <c r="R193">
        <v>2</v>
      </c>
      <c r="S193" t="s">
        <v>2895</v>
      </c>
    </row>
    <row r="194" spans="1:19" x14ac:dyDescent="0.25">
      <c r="A194" t="s">
        <v>1299</v>
      </c>
      <c r="B194" t="s">
        <v>320</v>
      </c>
      <c r="C194" t="s">
        <v>20</v>
      </c>
      <c r="D194" s="2">
        <v>38924</v>
      </c>
      <c r="E194" t="s">
        <v>67</v>
      </c>
      <c r="F194" t="s">
        <v>1300</v>
      </c>
      <c r="G194" t="s">
        <v>797</v>
      </c>
      <c r="H194" t="s">
        <v>1301</v>
      </c>
      <c r="I194" t="s">
        <v>200</v>
      </c>
      <c r="J194" t="s">
        <v>40</v>
      </c>
      <c r="K194" t="s">
        <v>1302</v>
      </c>
      <c r="L194" t="s">
        <v>1303</v>
      </c>
      <c r="M194" t="s">
        <v>1304</v>
      </c>
      <c r="N194">
        <v>2023</v>
      </c>
      <c r="O194" t="s">
        <v>63</v>
      </c>
      <c r="P194" t="s">
        <v>64</v>
      </c>
      <c r="Q194">
        <v>3</v>
      </c>
      <c r="R194">
        <v>6</v>
      </c>
      <c r="S194" t="s">
        <v>2932</v>
      </c>
    </row>
    <row r="195" spans="1:19" x14ac:dyDescent="0.25">
      <c r="A195" t="s">
        <v>1305</v>
      </c>
      <c r="B195" t="s">
        <v>1306</v>
      </c>
      <c r="C195" t="s">
        <v>134</v>
      </c>
      <c r="D195" s="2">
        <v>37688</v>
      </c>
      <c r="E195" t="s">
        <v>145</v>
      </c>
      <c r="F195" t="s">
        <v>1162</v>
      </c>
      <c r="G195" t="s">
        <v>108</v>
      </c>
      <c r="H195" t="s">
        <v>1307</v>
      </c>
      <c r="I195" t="s">
        <v>25</v>
      </c>
      <c r="J195" t="s">
        <v>25</v>
      </c>
      <c r="K195" t="s">
        <v>1308</v>
      </c>
      <c r="L195" t="s">
        <v>1309</v>
      </c>
      <c r="M195" t="s">
        <v>1310</v>
      </c>
      <c r="N195">
        <v>2022</v>
      </c>
      <c r="O195" t="s">
        <v>75</v>
      </c>
      <c r="P195" t="s">
        <v>76</v>
      </c>
      <c r="Q195">
        <v>1</v>
      </c>
      <c r="R195">
        <v>2</v>
      </c>
      <c r="S195" t="s">
        <v>2961</v>
      </c>
    </row>
    <row r="196" spans="1:19" x14ac:dyDescent="0.25">
      <c r="A196" t="s">
        <v>1311</v>
      </c>
      <c r="B196" t="s">
        <v>357</v>
      </c>
      <c r="C196" t="s">
        <v>134</v>
      </c>
      <c r="D196" s="2">
        <v>38378</v>
      </c>
      <c r="E196" t="s">
        <v>145</v>
      </c>
      <c r="F196" t="s">
        <v>471</v>
      </c>
      <c r="G196" t="s">
        <v>536</v>
      </c>
      <c r="H196" t="s">
        <v>1312</v>
      </c>
      <c r="I196" t="s">
        <v>25</v>
      </c>
      <c r="J196" t="s">
        <v>25</v>
      </c>
      <c r="K196" t="s">
        <v>1313</v>
      </c>
      <c r="L196" t="s">
        <v>1314</v>
      </c>
      <c r="M196" t="s">
        <v>1315</v>
      </c>
      <c r="N196">
        <v>2023</v>
      </c>
      <c r="O196" t="s">
        <v>95</v>
      </c>
      <c r="P196" t="s">
        <v>96</v>
      </c>
      <c r="Q196">
        <v>3</v>
      </c>
      <c r="R196">
        <v>6</v>
      </c>
      <c r="S196" t="s">
        <v>2889</v>
      </c>
    </row>
    <row r="197" spans="1:19" x14ac:dyDescent="0.25">
      <c r="A197" t="s">
        <v>1316</v>
      </c>
      <c r="B197" t="s">
        <v>536</v>
      </c>
      <c r="C197" t="s">
        <v>20</v>
      </c>
      <c r="D197" s="2">
        <v>39313</v>
      </c>
      <c r="E197" t="s">
        <v>145</v>
      </c>
      <c r="F197" t="s">
        <v>966</v>
      </c>
      <c r="G197" t="s">
        <v>1078</v>
      </c>
      <c r="H197" t="s">
        <v>1317</v>
      </c>
      <c r="I197" t="s">
        <v>263</v>
      </c>
      <c r="J197" t="s">
        <v>139</v>
      </c>
      <c r="K197" t="s">
        <v>1318</v>
      </c>
      <c r="L197" t="s">
        <v>1319</v>
      </c>
      <c r="M197" t="s">
        <v>1320</v>
      </c>
      <c r="N197">
        <v>2023</v>
      </c>
      <c r="O197" t="s">
        <v>212</v>
      </c>
      <c r="P197" t="s">
        <v>213</v>
      </c>
      <c r="Q197">
        <v>3</v>
      </c>
      <c r="R197">
        <v>6</v>
      </c>
      <c r="S197" t="s">
        <v>3001</v>
      </c>
    </row>
    <row r="198" spans="1:19" x14ac:dyDescent="0.25">
      <c r="A198" t="s">
        <v>1321</v>
      </c>
      <c r="B198" t="s">
        <v>1322</v>
      </c>
      <c r="C198" t="s">
        <v>20</v>
      </c>
      <c r="D198" s="2">
        <v>37396</v>
      </c>
      <c r="E198" t="s">
        <v>196</v>
      </c>
      <c r="F198" t="s">
        <v>80</v>
      </c>
      <c r="G198" t="s">
        <v>188</v>
      </c>
      <c r="H198" t="s">
        <v>1323</v>
      </c>
      <c r="I198" t="s">
        <v>49</v>
      </c>
      <c r="J198" t="s">
        <v>201</v>
      </c>
      <c r="K198" t="s">
        <v>1324</v>
      </c>
      <c r="L198" t="s">
        <v>1325</v>
      </c>
      <c r="M198" t="s">
        <v>1326</v>
      </c>
      <c r="N198">
        <v>2022</v>
      </c>
      <c r="O198" t="s">
        <v>159</v>
      </c>
      <c r="P198" t="s">
        <v>160</v>
      </c>
      <c r="Q198">
        <v>1</v>
      </c>
      <c r="R198">
        <v>2</v>
      </c>
      <c r="S198" t="s">
        <v>2902</v>
      </c>
    </row>
    <row r="199" spans="1:19" x14ac:dyDescent="0.25">
      <c r="A199" t="s">
        <v>1327</v>
      </c>
      <c r="B199" t="s">
        <v>416</v>
      </c>
      <c r="C199" t="s">
        <v>20</v>
      </c>
      <c r="D199" s="2">
        <v>38690</v>
      </c>
      <c r="E199" t="s">
        <v>145</v>
      </c>
      <c r="F199" t="s">
        <v>491</v>
      </c>
      <c r="G199" t="s">
        <v>22</v>
      </c>
      <c r="H199" t="s">
        <v>1328</v>
      </c>
      <c r="I199" t="s">
        <v>91</v>
      </c>
      <c r="J199" t="s">
        <v>71</v>
      </c>
      <c r="K199" t="s">
        <v>1329</v>
      </c>
      <c r="L199" t="s">
        <v>1330</v>
      </c>
      <c r="M199" t="s">
        <v>1331</v>
      </c>
      <c r="N199">
        <v>2024</v>
      </c>
      <c r="O199" t="s">
        <v>30</v>
      </c>
      <c r="P199" t="s">
        <v>31</v>
      </c>
      <c r="Q199">
        <v>2</v>
      </c>
      <c r="R199">
        <v>4</v>
      </c>
      <c r="S199" t="s">
        <v>2895</v>
      </c>
    </row>
    <row r="200" spans="1:19" x14ac:dyDescent="0.25">
      <c r="A200" t="s">
        <v>1332</v>
      </c>
      <c r="B200" t="s">
        <v>917</v>
      </c>
      <c r="C200" t="s">
        <v>134</v>
      </c>
      <c r="D200" s="2">
        <v>37326</v>
      </c>
      <c r="E200" t="s">
        <v>196</v>
      </c>
      <c r="F200" t="s">
        <v>1085</v>
      </c>
      <c r="G200" t="s">
        <v>170</v>
      </c>
      <c r="H200" t="s">
        <v>1333</v>
      </c>
      <c r="I200" t="s">
        <v>368</v>
      </c>
      <c r="J200" t="s">
        <v>50</v>
      </c>
      <c r="K200" t="s">
        <v>1334</v>
      </c>
      <c r="L200" t="s">
        <v>1335</v>
      </c>
      <c r="M200" t="s">
        <v>1336</v>
      </c>
      <c r="N200">
        <v>2021</v>
      </c>
      <c r="O200" t="s">
        <v>63</v>
      </c>
      <c r="P200" t="s">
        <v>64</v>
      </c>
      <c r="Q200">
        <v>1</v>
      </c>
      <c r="R200">
        <v>2</v>
      </c>
      <c r="S200" t="s">
        <v>2932</v>
      </c>
    </row>
    <row r="201" spans="1:19" x14ac:dyDescent="0.25">
      <c r="A201" t="s">
        <v>1337</v>
      </c>
      <c r="B201" t="s">
        <v>366</v>
      </c>
      <c r="C201" t="s">
        <v>20</v>
      </c>
      <c r="D201" s="2">
        <v>36877</v>
      </c>
      <c r="E201" t="s">
        <v>21</v>
      </c>
      <c r="F201" t="s">
        <v>452</v>
      </c>
      <c r="G201" t="s">
        <v>485</v>
      </c>
      <c r="H201" t="s">
        <v>1338</v>
      </c>
      <c r="I201" t="s">
        <v>263</v>
      </c>
      <c r="J201" t="s">
        <v>139</v>
      </c>
      <c r="K201" t="s">
        <v>1339</v>
      </c>
      <c r="L201" t="s">
        <v>1340</v>
      </c>
      <c r="M201" t="s">
        <v>1341</v>
      </c>
      <c r="N201">
        <v>2022</v>
      </c>
      <c r="O201" t="s">
        <v>212</v>
      </c>
      <c r="P201" t="s">
        <v>213</v>
      </c>
      <c r="Q201">
        <v>1</v>
      </c>
      <c r="R201">
        <v>2</v>
      </c>
      <c r="S201" t="s">
        <v>3001</v>
      </c>
    </row>
    <row r="202" spans="1:19" x14ac:dyDescent="0.25">
      <c r="A202" t="s">
        <v>1342</v>
      </c>
      <c r="B202" t="s">
        <v>645</v>
      </c>
      <c r="C202" t="s">
        <v>134</v>
      </c>
      <c r="D202" s="2">
        <v>37163</v>
      </c>
      <c r="E202" t="s">
        <v>67</v>
      </c>
      <c r="F202" t="s">
        <v>551</v>
      </c>
      <c r="G202" t="s">
        <v>313</v>
      </c>
      <c r="H202" t="s">
        <v>1343</v>
      </c>
      <c r="I202" t="s">
        <v>49</v>
      </c>
      <c r="J202" t="s">
        <v>201</v>
      </c>
      <c r="K202" t="s">
        <v>1344</v>
      </c>
      <c r="L202" t="s">
        <v>1345</v>
      </c>
      <c r="M202" t="s">
        <v>1346</v>
      </c>
      <c r="N202">
        <v>2023</v>
      </c>
      <c r="O202" t="s">
        <v>63</v>
      </c>
      <c r="P202" t="s">
        <v>64</v>
      </c>
      <c r="Q202">
        <v>3</v>
      </c>
      <c r="R202">
        <v>6</v>
      </c>
      <c r="S202" t="s">
        <v>2932</v>
      </c>
    </row>
    <row r="203" spans="1:19" x14ac:dyDescent="0.25">
      <c r="A203" t="s">
        <v>1347</v>
      </c>
      <c r="B203" t="s">
        <v>1130</v>
      </c>
      <c r="C203" t="s">
        <v>134</v>
      </c>
      <c r="D203" s="2">
        <v>37348</v>
      </c>
      <c r="E203" t="s">
        <v>145</v>
      </c>
      <c r="F203" t="s">
        <v>1348</v>
      </c>
      <c r="G203" t="s">
        <v>479</v>
      </c>
      <c r="H203" t="s">
        <v>1349</v>
      </c>
      <c r="I203" t="s">
        <v>59</v>
      </c>
      <c r="J203" t="s">
        <v>26</v>
      </c>
      <c r="K203" t="s">
        <v>1350</v>
      </c>
      <c r="L203" t="s">
        <v>1351</v>
      </c>
      <c r="M203" t="s">
        <v>1352</v>
      </c>
      <c r="N203">
        <v>2021</v>
      </c>
      <c r="O203" t="s">
        <v>95</v>
      </c>
      <c r="P203" t="s">
        <v>96</v>
      </c>
      <c r="Q203">
        <v>1</v>
      </c>
      <c r="R203">
        <v>2</v>
      </c>
      <c r="S203" t="s">
        <v>2889</v>
      </c>
    </row>
    <row r="204" spans="1:19" x14ac:dyDescent="0.25">
      <c r="A204" t="s">
        <v>1353</v>
      </c>
      <c r="B204" t="s">
        <v>451</v>
      </c>
      <c r="C204" t="s">
        <v>134</v>
      </c>
      <c r="D204" s="2">
        <v>36932</v>
      </c>
      <c r="E204" t="s">
        <v>109</v>
      </c>
      <c r="F204" t="s">
        <v>878</v>
      </c>
      <c r="G204" t="s">
        <v>616</v>
      </c>
      <c r="H204" t="s">
        <v>1354</v>
      </c>
      <c r="I204" t="s">
        <v>368</v>
      </c>
      <c r="J204" t="s">
        <v>50</v>
      </c>
      <c r="K204" t="s">
        <v>1355</v>
      </c>
      <c r="L204" t="s">
        <v>1356</v>
      </c>
      <c r="M204" t="s">
        <v>1357</v>
      </c>
      <c r="N204">
        <v>2022</v>
      </c>
      <c r="O204" t="s">
        <v>122</v>
      </c>
      <c r="P204" t="s">
        <v>123</v>
      </c>
      <c r="Q204">
        <v>1</v>
      </c>
      <c r="R204">
        <v>2</v>
      </c>
      <c r="S204" t="s">
        <v>2919</v>
      </c>
    </row>
    <row r="205" spans="1:19" x14ac:dyDescent="0.25">
      <c r="A205" t="s">
        <v>1358</v>
      </c>
      <c r="B205" t="s">
        <v>1359</v>
      </c>
      <c r="C205" t="s">
        <v>134</v>
      </c>
      <c r="D205" s="2">
        <v>36482</v>
      </c>
      <c r="E205" t="s">
        <v>196</v>
      </c>
      <c r="F205" t="s">
        <v>811</v>
      </c>
      <c r="G205" t="s">
        <v>1360</v>
      </c>
      <c r="H205" t="s">
        <v>1361</v>
      </c>
      <c r="I205" t="s">
        <v>82</v>
      </c>
      <c r="J205" t="s">
        <v>175</v>
      </c>
      <c r="K205" t="s">
        <v>1362</v>
      </c>
      <c r="L205" t="s">
        <v>1363</v>
      </c>
      <c r="M205" t="s">
        <v>1364</v>
      </c>
      <c r="N205">
        <v>2022</v>
      </c>
      <c r="O205" t="s">
        <v>122</v>
      </c>
      <c r="P205" t="s">
        <v>123</v>
      </c>
      <c r="Q205">
        <v>1</v>
      </c>
      <c r="R205">
        <v>2</v>
      </c>
      <c r="S205" t="s">
        <v>2919</v>
      </c>
    </row>
    <row r="206" spans="1:19" x14ac:dyDescent="0.25">
      <c r="A206" t="s">
        <v>1365</v>
      </c>
      <c r="B206" t="s">
        <v>692</v>
      </c>
      <c r="C206" t="s">
        <v>20</v>
      </c>
      <c r="D206" s="2">
        <v>36818</v>
      </c>
      <c r="E206" t="s">
        <v>145</v>
      </c>
      <c r="F206" t="s">
        <v>457</v>
      </c>
      <c r="G206" t="s">
        <v>949</v>
      </c>
      <c r="H206" t="s">
        <v>1366</v>
      </c>
      <c r="I206" t="s">
        <v>59</v>
      </c>
      <c r="J206" t="s">
        <v>26</v>
      </c>
      <c r="K206" t="s">
        <v>1367</v>
      </c>
      <c r="L206" t="s">
        <v>1368</v>
      </c>
      <c r="M206" t="s">
        <v>1369</v>
      </c>
      <c r="N206">
        <v>2023</v>
      </c>
      <c r="O206" t="s">
        <v>63</v>
      </c>
      <c r="P206" t="s">
        <v>64</v>
      </c>
      <c r="Q206">
        <v>3</v>
      </c>
      <c r="R206">
        <v>6</v>
      </c>
      <c r="S206" t="s">
        <v>2932</v>
      </c>
    </row>
    <row r="207" spans="1:19" x14ac:dyDescent="0.25">
      <c r="A207" t="s">
        <v>1370</v>
      </c>
      <c r="B207" t="s">
        <v>1371</v>
      </c>
      <c r="C207" t="s">
        <v>20</v>
      </c>
      <c r="D207" s="2">
        <v>37093</v>
      </c>
      <c r="E207" t="s">
        <v>171</v>
      </c>
      <c r="F207" t="s">
        <v>1372</v>
      </c>
      <c r="G207" t="s">
        <v>550</v>
      </c>
      <c r="H207" t="s">
        <v>1373</v>
      </c>
      <c r="I207" t="s">
        <v>263</v>
      </c>
      <c r="J207" t="s">
        <v>139</v>
      </c>
      <c r="K207" t="s">
        <v>1374</v>
      </c>
      <c r="L207" t="s">
        <v>1375</v>
      </c>
      <c r="M207" t="s">
        <v>1376</v>
      </c>
      <c r="N207">
        <v>2024</v>
      </c>
      <c r="O207" t="s">
        <v>30</v>
      </c>
      <c r="P207" t="s">
        <v>31</v>
      </c>
      <c r="Q207">
        <v>2</v>
      </c>
      <c r="R207">
        <v>4</v>
      </c>
      <c r="S207" t="s">
        <v>2895</v>
      </c>
    </row>
    <row r="208" spans="1:19" x14ac:dyDescent="0.25">
      <c r="A208" t="s">
        <v>1377</v>
      </c>
      <c r="B208" t="s">
        <v>804</v>
      </c>
      <c r="C208" t="s">
        <v>134</v>
      </c>
      <c r="D208" s="2">
        <v>38174</v>
      </c>
      <c r="E208" t="s">
        <v>171</v>
      </c>
      <c r="F208" t="s">
        <v>1378</v>
      </c>
      <c r="G208" t="s">
        <v>188</v>
      </c>
      <c r="H208" t="s">
        <v>1379</v>
      </c>
      <c r="I208" t="s">
        <v>263</v>
      </c>
      <c r="J208" t="s">
        <v>139</v>
      </c>
      <c r="K208" t="s">
        <v>1380</v>
      </c>
      <c r="L208" t="s">
        <v>1381</v>
      </c>
      <c r="M208" t="s">
        <v>1382</v>
      </c>
      <c r="N208">
        <v>2024</v>
      </c>
      <c r="O208" t="s">
        <v>30</v>
      </c>
      <c r="P208" t="s">
        <v>31</v>
      </c>
      <c r="Q208">
        <v>2</v>
      </c>
      <c r="R208">
        <v>4</v>
      </c>
      <c r="S208" t="s">
        <v>2895</v>
      </c>
    </row>
    <row r="209" spans="1:19" x14ac:dyDescent="0.25">
      <c r="A209" t="s">
        <v>1383</v>
      </c>
      <c r="B209" t="s">
        <v>924</v>
      </c>
      <c r="C209" t="s">
        <v>20</v>
      </c>
      <c r="D209" s="2">
        <v>37817</v>
      </c>
      <c r="E209" t="s">
        <v>171</v>
      </c>
      <c r="F209" t="s">
        <v>108</v>
      </c>
      <c r="G209" t="s">
        <v>365</v>
      </c>
      <c r="H209" t="s">
        <v>1384</v>
      </c>
      <c r="I209" t="s">
        <v>59</v>
      </c>
      <c r="J209" t="s">
        <v>26</v>
      </c>
      <c r="K209" t="s">
        <v>1385</v>
      </c>
      <c r="L209" t="s">
        <v>1386</v>
      </c>
      <c r="M209" t="s">
        <v>1387</v>
      </c>
      <c r="N209">
        <v>2024</v>
      </c>
      <c r="O209" t="s">
        <v>95</v>
      </c>
      <c r="P209" t="s">
        <v>96</v>
      </c>
      <c r="Q209">
        <v>2</v>
      </c>
      <c r="R209">
        <v>4</v>
      </c>
      <c r="S209" t="s">
        <v>2889</v>
      </c>
    </row>
    <row r="210" spans="1:19" x14ac:dyDescent="0.25">
      <c r="A210" t="s">
        <v>1388</v>
      </c>
      <c r="B210" t="s">
        <v>244</v>
      </c>
      <c r="C210" t="s">
        <v>20</v>
      </c>
      <c r="D210" s="2">
        <v>38169</v>
      </c>
      <c r="E210" t="s">
        <v>109</v>
      </c>
      <c r="F210" t="s">
        <v>1389</v>
      </c>
      <c r="G210" t="s">
        <v>408</v>
      </c>
      <c r="H210" t="s">
        <v>1390</v>
      </c>
      <c r="I210" t="s">
        <v>82</v>
      </c>
      <c r="J210" t="s">
        <v>175</v>
      </c>
      <c r="K210" t="s">
        <v>1391</v>
      </c>
      <c r="L210" t="s">
        <v>1392</v>
      </c>
      <c r="M210" t="s">
        <v>1393</v>
      </c>
      <c r="N210">
        <v>2024</v>
      </c>
      <c r="O210" t="s">
        <v>212</v>
      </c>
      <c r="P210" t="s">
        <v>213</v>
      </c>
      <c r="Q210">
        <v>2</v>
      </c>
      <c r="R210">
        <v>4</v>
      </c>
      <c r="S210" t="s">
        <v>3001</v>
      </c>
    </row>
    <row r="211" spans="1:19" x14ac:dyDescent="0.25">
      <c r="A211" t="s">
        <v>1394</v>
      </c>
      <c r="B211" t="s">
        <v>1322</v>
      </c>
      <c r="C211" t="s">
        <v>134</v>
      </c>
      <c r="D211" s="2">
        <v>36389</v>
      </c>
      <c r="E211" t="s">
        <v>145</v>
      </c>
      <c r="F211" t="s">
        <v>686</v>
      </c>
      <c r="G211" t="s">
        <v>1260</v>
      </c>
      <c r="H211" t="s">
        <v>1395</v>
      </c>
      <c r="I211" t="s">
        <v>49</v>
      </c>
      <c r="J211" t="s">
        <v>201</v>
      </c>
      <c r="K211" t="s">
        <v>1396</v>
      </c>
      <c r="L211" t="s">
        <v>1397</v>
      </c>
      <c r="M211" t="s">
        <v>1398</v>
      </c>
      <c r="N211">
        <v>2023</v>
      </c>
      <c r="O211" t="s">
        <v>159</v>
      </c>
      <c r="P211" t="s">
        <v>160</v>
      </c>
      <c r="Q211">
        <v>3</v>
      </c>
      <c r="R211">
        <v>6</v>
      </c>
      <c r="S211" t="s">
        <v>2902</v>
      </c>
    </row>
    <row r="212" spans="1:19" x14ac:dyDescent="0.25">
      <c r="A212" t="s">
        <v>1399</v>
      </c>
      <c r="B212" t="s">
        <v>645</v>
      </c>
      <c r="C212" t="s">
        <v>134</v>
      </c>
      <c r="D212" s="2">
        <v>37409</v>
      </c>
      <c r="E212" t="s">
        <v>145</v>
      </c>
      <c r="F212" t="s">
        <v>609</v>
      </c>
      <c r="G212" t="s">
        <v>804</v>
      </c>
      <c r="H212" t="s">
        <v>1400</v>
      </c>
      <c r="I212" t="s">
        <v>368</v>
      </c>
      <c r="J212" t="s">
        <v>50</v>
      </c>
      <c r="K212" t="s">
        <v>1401</v>
      </c>
      <c r="L212" t="s">
        <v>1402</v>
      </c>
      <c r="M212" t="s">
        <v>1403</v>
      </c>
      <c r="N212">
        <v>2023</v>
      </c>
      <c r="O212" t="s">
        <v>30</v>
      </c>
      <c r="P212" t="s">
        <v>31</v>
      </c>
      <c r="Q212">
        <v>3</v>
      </c>
      <c r="R212">
        <v>6</v>
      </c>
      <c r="S212" t="s">
        <v>2895</v>
      </c>
    </row>
    <row r="213" spans="1:19" x14ac:dyDescent="0.25">
      <c r="A213" t="s">
        <v>1404</v>
      </c>
      <c r="B213" t="s">
        <v>1371</v>
      </c>
      <c r="C213" t="s">
        <v>20</v>
      </c>
      <c r="D213" s="2">
        <v>38763</v>
      </c>
      <c r="E213" t="s">
        <v>21</v>
      </c>
      <c r="F213" t="s">
        <v>595</v>
      </c>
      <c r="G213" t="s">
        <v>326</v>
      </c>
      <c r="H213" t="s">
        <v>1405</v>
      </c>
      <c r="I213" t="s">
        <v>200</v>
      </c>
      <c r="J213" t="s">
        <v>40</v>
      </c>
      <c r="K213" t="s">
        <v>1406</v>
      </c>
      <c r="L213" t="s">
        <v>1407</v>
      </c>
      <c r="M213" t="s">
        <v>1408</v>
      </c>
      <c r="N213">
        <v>2023</v>
      </c>
      <c r="O213" t="s">
        <v>95</v>
      </c>
      <c r="P213" t="s">
        <v>96</v>
      </c>
      <c r="Q213">
        <v>3</v>
      </c>
      <c r="R213">
        <v>6</v>
      </c>
      <c r="S213" t="s">
        <v>2889</v>
      </c>
    </row>
    <row r="214" spans="1:19" x14ac:dyDescent="0.25">
      <c r="A214" t="s">
        <v>1409</v>
      </c>
      <c r="B214" t="s">
        <v>358</v>
      </c>
      <c r="C214" t="s">
        <v>20</v>
      </c>
      <c r="D214" s="2">
        <v>38720</v>
      </c>
      <c r="E214" t="s">
        <v>171</v>
      </c>
      <c r="F214" t="s">
        <v>430</v>
      </c>
      <c r="G214" t="s">
        <v>1254</v>
      </c>
      <c r="H214" t="s">
        <v>687</v>
      </c>
      <c r="I214" t="s">
        <v>263</v>
      </c>
      <c r="J214" t="s">
        <v>139</v>
      </c>
      <c r="K214" t="s">
        <v>1410</v>
      </c>
      <c r="L214" t="s">
        <v>1411</v>
      </c>
      <c r="M214" t="s">
        <v>1412</v>
      </c>
      <c r="N214">
        <v>2024</v>
      </c>
      <c r="O214" t="s">
        <v>63</v>
      </c>
      <c r="P214" t="s">
        <v>64</v>
      </c>
      <c r="Q214">
        <v>2</v>
      </c>
      <c r="R214">
        <v>4</v>
      </c>
      <c r="S214" t="s">
        <v>2932</v>
      </c>
    </row>
    <row r="215" spans="1:19" x14ac:dyDescent="0.25">
      <c r="A215" t="s">
        <v>1413</v>
      </c>
      <c r="B215" t="s">
        <v>827</v>
      </c>
      <c r="C215" t="s">
        <v>20</v>
      </c>
      <c r="D215" s="2">
        <v>36994</v>
      </c>
      <c r="E215" t="s">
        <v>109</v>
      </c>
      <c r="F215" t="s">
        <v>153</v>
      </c>
      <c r="G215" t="s">
        <v>69</v>
      </c>
      <c r="H215" t="s">
        <v>1414</v>
      </c>
      <c r="I215" t="s">
        <v>91</v>
      </c>
      <c r="J215" t="s">
        <v>71</v>
      </c>
      <c r="K215" t="s">
        <v>1415</v>
      </c>
      <c r="L215" t="s">
        <v>1416</v>
      </c>
      <c r="M215" t="s">
        <v>1417</v>
      </c>
      <c r="N215">
        <v>2024</v>
      </c>
      <c r="O215" t="s">
        <v>75</v>
      </c>
      <c r="P215" t="s">
        <v>76</v>
      </c>
      <c r="Q215">
        <v>2</v>
      </c>
      <c r="R215">
        <v>4</v>
      </c>
      <c r="S215" t="s">
        <v>2961</v>
      </c>
    </row>
    <row r="216" spans="1:19" x14ac:dyDescent="0.25">
      <c r="A216" t="s">
        <v>1418</v>
      </c>
      <c r="B216" t="s">
        <v>511</v>
      </c>
      <c r="C216" t="s">
        <v>20</v>
      </c>
      <c r="D216" s="2">
        <v>38625</v>
      </c>
      <c r="E216" t="s">
        <v>171</v>
      </c>
      <c r="F216" t="s">
        <v>290</v>
      </c>
      <c r="G216" t="s">
        <v>853</v>
      </c>
      <c r="H216" t="s">
        <v>1419</v>
      </c>
      <c r="I216" t="s">
        <v>82</v>
      </c>
      <c r="J216" t="s">
        <v>175</v>
      </c>
      <c r="K216" t="s">
        <v>1420</v>
      </c>
      <c r="L216" t="s">
        <v>1421</v>
      </c>
      <c r="M216" t="s">
        <v>1422</v>
      </c>
      <c r="N216">
        <v>2022</v>
      </c>
      <c r="O216" t="s">
        <v>63</v>
      </c>
      <c r="P216" t="s">
        <v>64</v>
      </c>
      <c r="Q216">
        <v>1</v>
      </c>
      <c r="R216">
        <v>2</v>
      </c>
      <c r="S216" t="s">
        <v>2932</v>
      </c>
    </row>
    <row r="217" spans="1:19" x14ac:dyDescent="0.25">
      <c r="A217" t="s">
        <v>1423</v>
      </c>
      <c r="B217" t="s">
        <v>380</v>
      </c>
      <c r="C217" t="s">
        <v>134</v>
      </c>
      <c r="D217" s="2">
        <v>36878</v>
      </c>
      <c r="E217" t="s">
        <v>109</v>
      </c>
      <c r="F217" t="s">
        <v>328</v>
      </c>
      <c r="G217" t="s">
        <v>798</v>
      </c>
      <c r="H217" t="s">
        <v>1424</v>
      </c>
      <c r="I217" t="s">
        <v>49</v>
      </c>
      <c r="J217" t="s">
        <v>201</v>
      </c>
      <c r="K217" t="s">
        <v>1425</v>
      </c>
      <c r="L217" t="s">
        <v>1426</v>
      </c>
      <c r="M217" t="s">
        <v>1427</v>
      </c>
      <c r="N217">
        <v>2022</v>
      </c>
      <c r="O217" t="s">
        <v>122</v>
      </c>
      <c r="P217" t="s">
        <v>123</v>
      </c>
      <c r="Q217">
        <v>1</v>
      </c>
      <c r="R217">
        <v>2</v>
      </c>
      <c r="S217" t="s">
        <v>2919</v>
      </c>
    </row>
    <row r="218" spans="1:19" x14ac:dyDescent="0.25">
      <c r="A218" t="s">
        <v>1428</v>
      </c>
      <c r="B218" t="s">
        <v>1429</v>
      </c>
      <c r="C218" t="s">
        <v>20</v>
      </c>
      <c r="D218" s="2">
        <v>38778</v>
      </c>
      <c r="E218" t="s">
        <v>171</v>
      </c>
      <c r="F218" t="s">
        <v>658</v>
      </c>
      <c r="G218" t="s">
        <v>904</v>
      </c>
      <c r="H218" t="s">
        <v>1430</v>
      </c>
      <c r="I218" t="s">
        <v>82</v>
      </c>
      <c r="J218" t="s">
        <v>175</v>
      </c>
      <c r="K218" t="s">
        <v>1431</v>
      </c>
      <c r="L218" t="s">
        <v>1432</v>
      </c>
      <c r="M218" t="s">
        <v>1433</v>
      </c>
      <c r="N218">
        <v>2024</v>
      </c>
      <c r="O218" t="s">
        <v>212</v>
      </c>
      <c r="P218" t="s">
        <v>213</v>
      </c>
      <c r="Q218">
        <v>2</v>
      </c>
      <c r="R218">
        <v>4</v>
      </c>
      <c r="S218" t="s">
        <v>3001</v>
      </c>
    </row>
    <row r="219" spans="1:19" x14ac:dyDescent="0.25">
      <c r="A219" t="s">
        <v>1434</v>
      </c>
      <c r="B219" t="s">
        <v>1435</v>
      </c>
      <c r="C219" t="s">
        <v>20</v>
      </c>
      <c r="D219" s="2">
        <v>39099</v>
      </c>
      <c r="E219" t="s">
        <v>35</v>
      </c>
      <c r="F219" t="s">
        <v>1372</v>
      </c>
      <c r="G219" t="s">
        <v>261</v>
      </c>
      <c r="H219" t="s">
        <v>1436</v>
      </c>
      <c r="I219" t="s">
        <v>59</v>
      </c>
      <c r="J219" t="s">
        <v>26</v>
      </c>
      <c r="K219" t="s">
        <v>1437</v>
      </c>
      <c r="L219" t="s">
        <v>1438</v>
      </c>
      <c r="M219" t="s">
        <v>1439</v>
      </c>
      <c r="N219">
        <v>2022</v>
      </c>
      <c r="O219" t="s">
        <v>63</v>
      </c>
      <c r="P219" t="s">
        <v>64</v>
      </c>
      <c r="Q219">
        <v>1</v>
      </c>
      <c r="R219">
        <v>2</v>
      </c>
      <c r="S219" t="s">
        <v>2932</v>
      </c>
    </row>
    <row r="220" spans="1:19" x14ac:dyDescent="0.25">
      <c r="A220" t="s">
        <v>1440</v>
      </c>
      <c r="B220" t="s">
        <v>923</v>
      </c>
      <c r="C220" t="s">
        <v>20</v>
      </c>
      <c r="D220" s="2">
        <v>38120</v>
      </c>
      <c r="E220" t="s">
        <v>35</v>
      </c>
      <c r="F220" t="s">
        <v>409</v>
      </c>
      <c r="G220" t="s">
        <v>528</v>
      </c>
      <c r="H220" t="s">
        <v>680</v>
      </c>
      <c r="I220" t="s">
        <v>91</v>
      </c>
      <c r="J220" t="s">
        <v>71</v>
      </c>
      <c r="K220" t="s">
        <v>1441</v>
      </c>
      <c r="L220" t="s">
        <v>1442</v>
      </c>
      <c r="M220" t="s">
        <v>1443</v>
      </c>
      <c r="N220">
        <v>2024</v>
      </c>
      <c r="O220" t="s">
        <v>122</v>
      </c>
      <c r="P220" t="s">
        <v>123</v>
      </c>
      <c r="Q220">
        <v>2</v>
      </c>
      <c r="R220">
        <v>4</v>
      </c>
      <c r="S220" t="s">
        <v>2919</v>
      </c>
    </row>
    <row r="221" spans="1:19" x14ac:dyDescent="0.25">
      <c r="A221" t="s">
        <v>1444</v>
      </c>
      <c r="B221" t="s">
        <v>173</v>
      </c>
      <c r="C221" t="s">
        <v>20</v>
      </c>
      <c r="D221" s="2">
        <v>36857</v>
      </c>
      <c r="E221" t="s">
        <v>67</v>
      </c>
      <c r="F221" t="s">
        <v>1445</v>
      </c>
      <c r="G221" t="s">
        <v>564</v>
      </c>
      <c r="H221" t="s">
        <v>982</v>
      </c>
      <c r="I221" t="s">
        <v>368</v>
      </c>
      <c r="J221" t="s">
        <v>50</v>
      </c>
      <c r="K221" t="s">
        <v>1446</v>
      </c>
      <c r="L221" t="s">
        <v>1447</v>
      </c>
      <c r="M221" t="s">
        <v>1448</v>
      </c>
      <c r="N221">
        <v>2023</v>
      </c>
      <c r="O221" t="s">
        <v>95</v>
      </c>
      <c r="P221" t="s">
        <v>96</v>
      </c>
      <c r="Q221">
        <v>3</v>
      </c>
      <c r="R221">
        <v>6</v>
      </c>
      <c r="S221" t="s">
        <v>2889</v>
      </c>
    </row>
    <row r="222" spans="1:19" x14ac:dyDescent="0.25">
      <c r="A222" t="s">
        <v>1449</v>
      </c>
      <c r="B222" t="s">
        <v>117</v>
      </c>
      <c r="C222" t="s">
        <v>134</v>
      </c>
      <c r="D222" s="2">
        <v>37675</v>
      </c>
      <c r="E222" t="s">
        <v>196</v>
      </c>
      <c r="F222" t="s">
        <v>630</v>
      </c>
      <c r="G222" t="s">
        <v>79</v>
      </c>
      <c r="H222" t="s">
        <v>1450</v>
      </c>
      <c r="I222" t="s">
        <v>263</v>
      </c>
      <c r="J222" t="s">
        <v>139</v>
      </c>
      <c r="K222" t="s">
        <v>1451</v>
      </c>
      <c r="L222" t="s">
        <v>1452</v>
      </c>
      <c r="M222" t="s">
        <v>1453</v>
      </c>
      <c r="N222">
        <v>2023</v>
      </c>
      <c r="O222" t="s">
        <v>63</v>
      </c>
      <c r="P222" t="s">
        <v>64</v>
      </c>
      <c r="Q222">
        <v>3</v>
      </c>
      <c r="R222">
        <v>6</v>
      </c>
      <c r="S222" t="s">
        <v>2932</v>
      </c>
    </row>
    <row r="223" spans="1:19" x14ac:dyDescent="0.25">
      <c r="A223" t="s">
        <v>1454</v>
      </c>
      <c r="B223" t="s">
        <v>357</v>
      </c>
      <c r="C223" t="s">
        <v>134</v>
      </c>
      <c r="D223" s="2">
        <v>37680</v>
      </c>
      <c r="E223" t="s">
        <v>35</v>
      </c>
      <c r="F223" t="s">
        <v>451</v>
      </c>
      <c r="G223" t="s">
        <v>344</v>
      </c>
      <c r="H223" t="s">
        <v>884</v>
      </c>
      <c r="I223" t="s">
        <v>368</v>
      </c>
      <c r="J223" t="s">
        <v>50</v>
      </c>
      <c r="K223" t="s">
        <v>1455</v>
      </c>
      <c r="L223" t="s">
        <v>1456</v>
      </c>
      <c r="M223" t="s">
        <v>1457</v>
      </c>
      <c r="N223">
        <v>2023</v>
      </c>
      <c r="O223" t="s">
        <v>63</v>
      </c>
      <c r="P223" t="s">
        <v>64</v>
      </c>
      <c r="Q223">
        <v>3</v>
      </c>
      <c r="R223">
        <v>6</v>
      </c>
      <c r="S223" t="s">
        <v>2932</v>
      </c>
    </row>
    <row r="224" spans="1:19" x14ac:dyDescent="0.25">
      <c r="A224" t="s">
        <v>1458</v>
      </c>
      <c r="B224" t="s">
        <v>431</v>
      </c>
      <c r="C224" t="s">
        <v>20</v>
      </c>
      <c r="D224" s="2">
        <v>39179</v>
      </c>
      <c r="E224" t="s">
        <v>196</v>
      </c>
      <c r="F224" t="s">
        <v>529</v>
      </c>
      <c r="G224" t="s">
        <v>622</v>
      </c>
      <c r="H224" t="s">
        <v>1459</v>
      </c>
      <c r="I224" t="s">
        <v>91</v>
      </c>
      <c r="J224" t="s">
        <v>71</v>
      </c>
      <c r="K224" t="s">
        <v>1460</v>
      </c>
      <c r="L224" t="s">
        <v>1461</v>
      </c>
      <c r="M224" t="s">
        <v>1462</v>
      </c>
      <c r="N224">
        <v>2022</v>
      </c>
      <c r="O224" t="s">
        <v>122</v>
      </c>
      <c r="P224" t="s">
        <v>123</v>
      </c>
      <c r="Q224">
        <v>1</v>
      </c>
      <c r="R224">
        <v>2</v>
      </c>
      <c r="S224" t="s">
        <v>2919</v>
      </c>
    </row>
    <row r="225" spans="1:19" x14ac:dyDescent="0.25">
      <c r="A225" t="s">
        <v>1463</v>
      </c>
      <c r="B225" t="s">
        <v>152</v>
      </c>
      <c r="C225" t="s">
        <v>134</v>
      </c>
      <c r="D225" s="2">
        <v>38244</v>
      </c>
      <c r="E225" t="s">
        <v>171</v>
      </c>
      <c r="F225" t="s">
        <v>1054</v>
      </c>
      <c r="G225" t="s">
        <v>630</v>
      </c>
      <c r="H225" t="s">
        <v>1464</v>
      </c>
      <c r="I225" t="s">
        <v>200</v>
      </c>
      <c r="J225" t="s">
        <v>40</v>
      </c>
      <c r="K225" t="s">
        <v>1465</v>
      </c>
      <c r="L225" t="s">
        <v>1466</v>
      </c>
      <c r="M225" t="s">
        <v>1467</v>
      </c>
      <c r="N225">
        <v>2024</v>
      </c>
      <c r="O225" t="s">
        <v>212</v>
      </c>
      <c r="P225" t="s">
        <v>213</v>
      </c>
      <c r="Q225">
        <v>2</v>
      </c>
      <c r="R225">
        <v>4</v>
      </c>
      <c r="S225" t="s">
        <v>3001</v>
      </c>
    </row>
    <row r="226" spans="1:19" x14ac:dyDescent="0.25">
      <c r="A226" t="s">
        <v>1468</v>
      </c>
      <c r="B226" t="s">
        <v>366</v>
      </c>
      <c r="C226" t="s">
        <v>134</v>
      </c>
      <c r="D226" s="2">
        <v>38856</v>
      </c>
      <c r="E226" t="s">
        <v>67</v>
      </c>
      <c r="F226" t="s">
        <v>206</v>
      </c>
      <c r="G226" t="s">
        <v>327</v>
      </c>
      <c r="H226" t="s">
        <v>1469</v>
      </c>
      <c r="I226" t="s">
        <v>263</v>
      </c>
      <c r="J226" t="s">
        <v>139</v>
      </c>
      <c r="K226" t="s">
        <v>1470</v>
      </c>
      <c r="L226" t="s">
        <v>1471</v>
      </c>
      <c r="M226" t="s">
        <v>1472</v>
      </c>
      <c r="N226">
        <v>2022</v>
      </c>
      <c r="O226" t="s">
        <v>159</v>
      </c>
      <c r="P226" t="s">
        <v>160</v>
      </c>
      <c r="Q226">
        <v>1</v>
      </c>
      <c r="R226">
        <v>2</v>
      </c>
      <c r="S226" t="s">
        <v>2902</v>
      </c>
    </row>
    <row r="227" spans="1:19" x14ac:dyDescent="0.25">
      <c r="A227" t="s">
        <v>1473</v>
      </c>
      <c r="B227" t="s">
        <v>170</v>
      </c>
      <c r="C227" t="s">
        <v>20</v>
      </c>
      <c r="D227" s="2">
        <v>39175</v>
      </c>
      <c r="E227" t="s">
        <v>21</v>
      </c>
      <c r="F227" t="s">
        <v>269</v>
      </c>
      <c r="G227" t="s">
        <v>904</v>
      </c>
      <c r="H227" t="s">
        <v>1474</v>
      </c>
      <c r="I227" t="s">
        <v>59</v>
      </c>
      <c r="J227" t="s">
        <v>26</v>
      </c>
      <c r="K227" t="s">
        <v>1475</v>
      </c>
      <c r="L227" t="s">
        <v>1476</v>
      </c>
      <c r="M227" t="s">
        <v>1477</v>
      </c>
      <c r="N227">
        <v>2021</v>
      </c>
      <c r="O227" t="s">
        <v>122</v>
      </c>
      <c r="P227" t="s">
        <v>123</v>
      </c>
      <c r="Q227">
        <v>1</v>
      </c>
      <c r="R227">
        <v>2</v>
      </c>
      <c r="S227" t="s">
        <v>2919</v>
      </c>
    </row>
    <row r="228" spans="1:19" x14ac:dyDescent="0.25">
      <c r="A228" t="s">
        <v>1478</v>
      </c>
      <c r="B228" t="s">
        <v>798</v>
      </c>
      <c r="C228" t="s">
        <v>134</v>
      </c>
      <c r="D228" s="2">
        <v>39444</v>
      </c>
      <c r="E228" t="s">
        <v>171</v>
      </c>
      <c r="F228" t="s">
        <v>510</v>
      </c>
      <c r="G228" t="s">
        <v>706</v>
      </c>
      <c r="H228" t="s">
        <v>512</v>
      </c>
      <c r="I228" t="s">
        <v>82</v>
      </c>
      <c r="J228" t="s">
        <v>175</v>
      </c>
      <c r="K228" t="s">
        <v>1479</v>
      </c>
      <c r="L228" t="s">
        <v>1480</v>
      </c>
      <c r="M228" t="s">
        <v>1481</v>
      </c>
      <c r="N228">
        <v>2024</v>
      </c>
      <c r="O228" t="s">
        <v>75</v>
      </c>
      <c r="P228" t="s">
        <v>76</v>
      </c>
      <c r="Q228">
        <v>2</v>
      </c>
      <c r="R228">
        <v>4</v>
      </c>
      <c r="S228" t="s">
        <v>2961</v>
      </c>
    </row>
    <row r="229" spans="1:19" x14ac:dyDescent="0.25">
      <c r="A229" t="s">
        <v>1482</v>
      </c>
      <c r="B229" t="s">
        <v>180</v>
      </c>
      <c r="C229" t="s">
        <v>134</v>
      </c>
      <c r="D229" s="2">
        <v>37380</v>
      </c>
      <c r="E229" t="s">
        <v>67</v>
      </c>
      <c r="F229" t="s">
        <v>215</v>
      </c>
      <c r="G229" t="s">
        <v>1277</v>
      </c>
      <c r="H229" t="s">
        <v>1483</v>
      </c>
      <c r="I229" t="s">
        <v>25</v>
      </c>
      <c r="J229" t="s">
        <v>25</v>
      </c>
      <c r="K229" t="s">
        <v>1484</v>
      </c>
      <c r="L229" t="s">
        <v>1485</v>
      </c>
      <c r="M229" t="s">
        <v>1486</v>
      </c>
      <c r="N229">
        <v>2023</v>
      </c>
      <c r="O229" t="s">
        <v>63</v>
      </c>
      <c r="P229" t="s">
        <v>64</v>
      </c>
      <c r="Q229">
        <v>3</v>
      </c>
      <c r="R229">
        <v>6</v>
      </c>
      <c r="S229" t="s">
        <v>2932</v>
      </c>
    </row>
    <row r="230" spans="1:19" x14ac:dyDescent="0.25">
      <c r="A230" t="s">
        <v>1487</v>
      </c>
      <c r="B230" t="s">
        <v>269</v>
      </c>
      <c r="C230" t="s">
        <v>134</v>
      </c>
      <c r="D230" s="2">
        <v>36673</v>
      </c>
      <c r="E230" t="s">
        <v>171</v>
      </c>
      <c r="F230" t="s">
        <v>981</v>
      </c>
      <c r="G230" t="s">
        <v>1018</v>
      </c>
      <c r="H230" t="s">
        <v>1488</v>
      </c>
      <c r="I230" t="s">
        <v>200</v>
      </c>
      <c r="J230" t="s">
        <v>40</v>
      </c>
      <c r="K230" t="s">
        <v>1489</v>
      </c>
      <c r="L230" t="s">
        <v>1490</v>
      </c>
      <c r="M230" t="s">
        <v>1491</v>
      </c>
      <c r="N230">
        <v>2024</v>
      </c>
      <c r="O230" t="s">
        <v>95</v>
      </c>
      <c r="P230" t="s">
        <v>96</v>
      </c>
      <c r="Q230">
        <v>2</v>
      </c>
      <c r="R230">
        <v>4</v>
      </c>
      <c r="S230" t="s">
        <v>2889</v>
      </c>
    </row>
    <row r="231" spans="1:19" x14ac:dyDescent="0.25">
      <c r="A231" t="s">
        <v>1492</v>
      </c>
      <c r="B231" t="s">
        <v>328</v>
      </c>
      <c r="C231" t="s">
        <v>134</v>
      </c>
      <c r="D231" s="2">
        <v>37765</v>
      </c>
      <c r="E231" t="s">
        <v>109</v>
      </c>
      <c r="F231" t="s">
        <v>1493</v>
      </c>
      <c r="G231" t="s">
        <v>551</v>
      </c>
      <c r="H231" t="s">
        <v>1494</v>
      </c>
      <c r="I231" t="s">
        <v>368</v>
      </c>
      <c r="J231" t="s">
        <v>50</v>
      </c>
      <c r="K231" t="s">
        <v>1495</v>
      </c>
      <c r="L231" t="s">
        <v>1496</v>
      </c>
      <c r="M231" t="s">
        <v>1497</v>
      </c>
      <c r="N231">
        <v>2024</v>
      </c>
      <c r="O231" t="s">
        <v>212</v>
      </c>
      <c r="P231" t="s">
        <v>213</v>
      </c>
      <c r="Q231">
        <v>2</v>
      </c>
      <c r="R231">
        <v>4</v>
      </c>
      <c r="S231" t="s">
        <v>3001</v>
      </c>
    </row>
    <row r="232" spans="1:19" x14ac:dyDescent="0.25">
      <c r="A232" t="s">
        <v>1498</v>
      </c>
      <c r="B232" t="s">
        <v>671</v>
      </c>
      <c r="C232" t="s">
        <v>134</v>
      </c>
      <c r="D232" s="2">
        <v>38807</v>
      </c>
      <c r="E232" t="s">
        <v>171</v>
      </c>
      <c r="F232" t="s">
        <v>1162</v>
      </c>
      <c r="G232" t="s">
        <v>544</v>
      </c>
      <c r="H232" t="s">
        <v>1499</v>
      </c>
      <c r="I232" t="s">
        <v>91</v>
      </c>
      <c r="J232" t="s">
        <v>71</v>
      </c>
      <c r="K232" t="s">
        <v>1500</v>
      </c>
      <c r="L232" t="s">
        <v>1501</v>
      </c>
      <c r="M232" t="s">
        <v>1502</v>
      </c>
      <c r="N232">
        <v>2022</v>
      </c>
      <c r="O232" t="s">
        <v>95</v>
      </c>
      <c r="P232" t="s">
        <v>96</v>
      </c>
      <c r="Q232">
        <v>1</v>
      </c>
      <c r="R232">
        <v>2</v>
      </c>
      <c r="S232" t="s">
        <v>2889</v>
      </c>
    </row>
    <row r="233" spans="1:19" x14ac:dyDescent="0.25">
      <c r="A233" t="s">
        <v>1503</v>
      </c>
      <c r="B233" t="s">
        <v>631</v>
      </c>
      <c r="C233" t="s">
        <v>134</v>
      </c>
      <c r="D233" s="2">
        <v>36514</v>
      </c>
      <c r="E233" t="s">
        <v>196</v>
      </c>
      <c r="F233" t="s">
        <v>223</v>
      </c>
      <c r="G233" t="s">
        <v>706</v>
      </c>
      <c r="H233" t="s">
        <v>1504</v>
      </c>
      <c r="I233" t="s">
        <v>368</v>
      </c>
      <c r="J233" t="s">
        <v>50</v>
      </c>
      <c r="K233" t="s">
        <v>1505</v>
      </c>
      <c r="L233" t="s">
        <v>1506</v>
      </c>
      <c r="M233" t="s">
        <v>1507</v>
      </c>
      <c r="N233">
        <v>2022</v>
      </c>
      <c r="O233" t="s">
        <v>212</v>
      </c>
      <c r="P233" t="s">
        <v>213</v>
      </c>
      <c r="Q233">
        <v>1</v>
      </c>
      <c r="R233">
        <v>2</v>
      </c>
      <c r="S233" t="s">
        <v>3001</v>
      </c>
    </row>
    <row r="234" spans="1:19" x14ac:dyDescent="0.25">
      <c r="A234" t="s">
        <v>1508</v>
      </c>
      <c r="B234" t="s">
        <v>504</v>
      </c>
      <c r="C234" t="s">
        <v>20</v>
      </c>
      <c r="D234" s="2">
        <v>39312</v>
      </c>
      <c r="E234" t="s">
        <v>171</v>
      </c>
      <c r="F234" t="s">
        <v>470</v>
      </c>
      <c r="G234" t="s">
        <v>365</v>
      </c>
      <c r="H234" t="s">
        <v>1509</v>
      </c>
      <c r="I234" t="s">
        <v>368</v>
      </c>
      <c r="J234" t="s">
        <v>50</v>
      </c>
      <c r="K234" t="s">
        <v>1510</v>
      </c>
      <c r="L234" t="s">
        <v>1511</v>
      </c>
      <c r="M234" t="s">
        <v>1512</v>
      </c>
      <c r="N234">
        <v>2024</v>
      </c>
      <c r="O234" t="s">
        <v>159</v>
      </c>
      <c r="P234" t="s">
        <v>160</v>
      </c>
      <c r="Q234">
        <v>2</v>
      </c>
      <c r="R234">
        <v>4</v>
      </c>
      <c r="S234" t="s">
        <v>2902</v>
      </c>
    </row>
    <row r="235" spans="1:19" x14ac:dyDescent="0.25">
      <c r="A235" t="s">
        <v>1513</v>
      </c>
      <c r="B235" t="s">
        <v>402</v>
      </c>
      <c r="C235" t="s">
        <v>20</v>
      </c>
      <c r="D235" s="2">
        <v>37531</v>
      </c>
      <c r="E235" t="s">
        <v>171</v>
      </c>
      <c r="F235" t="s">
        <v>261</v>
      </c>
      <c r="G235" t="s">
        <v>187</v>
      </c>
      <c r="H235" t="s">
        <v>1514</v>
      </c>
      <c r="I235" t="s">
        <v>91</v>
      </c>
      <c r="J235" t="s">
        <v>71</v>
      </c>
      <c r="K235" t="s">
        <v>1515</v>
      </c>
      <c r="L235" t="s">
        <v>1516</v>
      </c>
      <c r="M235" t="s">
        <v>1517</v>
      </c>
      <c r="N235">
        <v>2023</v>
      </c>
      <c r="O235" t="s">
        <v>75</v>
      </c>
      <c r="P235" t="s">
        <v>76</v>
      </c>
      <c r="Q235">
        <v>3</v>
      </c>
      <c r="R235">
        <v>6</v>
      </c>
      <c r="S235" t="s">
        <v>2961</v>
      </c>
    </row>
    <row r="236" spans="1:19" x14ac:dyDescent="0.25">
      <c r="A236" t="s">
        <v>1518</v>
      </c>
      <c r="B236" t="s">
        <v>1519</v>
      </c>
      <c r="C236" t="s">
        <v>134</v>
      </c>
      <c r="D236" s="2">
        <v>39100</v>
      </c>
      <c r="E236" t="s">
        <v>67</v>
      </c>
      <c r="F236" t="s">
        <v>878</v>
      </c>
      <c r="G236" t="s">
        <v>1129</v>
      </c>
      <c r="H236" t="s">
        <v>1520</v>
      </c>
      <c r="I236" t="s">
        <v>138</v>
      </c>
      <c r="J236" t="s">
        <v>139</v>
      </c>
      <c r="K236" t="s">
        <v>1521</v>
      </c>
      <c r="L236" t="s">
        <v>1522</v>
      </c>
      <c r="M236" t="s">
        <v>1523</v>
      </c>
      <c r="N236">
        <v>2021</v>
      </c>
      <c r="O236" t="s">
        <v>122</v>
      </c>
      <c r="P236" t="s">
        <v>123</v>
      </c>
      <c r="Q236">
        <v>1</v>
      </c>
      <c r="R236">
        <v>2</v>
      </c>
      <c r="S236" t="s">
        <v>2919</v>
      </c>
    </row>
    <row r="237" spans="1:19" x14ac:dyDescent="0.25">
      <c r="A237" t="s">
        <v>1524</v>
      </c>
      <c r="B237" t="s">
        <v>292</v>
      </c>
      <c r="C237" t="s">
        <v>134</v>
      </c>
      <c r="D237" s="2">
        <v>36762</v>
      </c>
      <c r="E237" t="s">
        <v>145</v>
      </c>
      <c r="F237" t="s">
        <v>544</v>
      </c>
      <c r="G237" t="s">
        <v>839</v>
      </c>
      <c r="H237" t="s">
        <v>1525</v>
      </c>
      <c r="I237" t="s">
        <v>82</v>
      </c>
      <c r="J237" t="s">
        <v>175</v>
      </c>
      <c r="K237" t="s">
        <v>1526</v>
      </c>
      <c r="L237" t="s">
        <v>1527</v>
      </c>
      <c r="M237" t="s">
        <v>1528</v>
      </c>
      <c r="N237">
        <v>2023</v>
      </c>
      <c r="O237" t="s">
        <v>63</v>
      </c>
      <c r="P237" t="s">
        <v>64</v>
      </c>
      <c r="Q237">
        <v>3</v>
      </c>
      <c r="R237">
        <v>6</v>
      </c>
      <c r="S237" t="s">
        <v>2932</v>
      </c>
    </row>
    <row r="238" spans="1:19" x14ac:dyDescent="0.25">
      <c r="A238" t="s">
        <v>1529</v>
      </c>
      <c r="B238" t="s">
        <v>1055</v>
      </c>
      <c r="C238" t="s">
        <v>20</v>
      </c>
      <c r="D238" s="2">
        <v>36406</v>
      </c>
      <c r="E238" t="s">
        <v>109</v>
      </c>
      <c r="F238" t="s">
        <v>746</v>
      </c>
      <c r="G238" t="s">
        <v>588</v>
      </c>
      <c r="H238" t="s">
        <v>1530</v>
      </c>
      <c r="I238" t="s">
        <v>200</v>
      </c>
      <c r="J238" t="s">
        <v>40</v>
      </c>
      <c r="K238" t="s">
        <v>1531</v>
      </c>
      <c r="L238" t="s">
        <v>1532</v>
      </c>
      <c r="M238" t="s">
        <v>1533</v>
      </c>
      <c r="N238">
        <v>2024</v>
      </c>
      <c r="O238" t="s">
        <v>95</v>
      </c>
      <c r="P238" t="s">
        <v>96</v>
      </c>
      <c r="Q238">
        <v>2</v>
      </c>
      <c r="R238">
        <v>4</v>
      </c>
      <c r="S238" t="s">
        <v>2889</v>
      </c>
    </row>
    <row r="239" spans="1:19" x14ac:dyDescent="0.25">
      <c r="A239" t="s">
        <v>1534</v>
      </c>
      <c r="B239" t="s">
        <v>609</v>
      </c>
      <c r="C239" t="s">
        <v>34</v>
      </c>
      <c r="D239" s="2">
        <v>38546</v>
      </c>
      <c r="E239" t="s">
        <v>171</v>
      </c>
      <c r="F239" t="s">
        <v>1030</v>
      </c>
      <c r="G239" t="s">
        <v>276</v>
      </c>
      <c r="H239" t="s">
        <v>1535</v>
      </c>
      <c r="I239" t="s">
        <v>59</v>
      </c>
      <c r="J239" t="s">
        <v>26</v>
      </c>
      <c r="K239" t="s">
        <v>1536</v>
      </c>
      <c r="L239" t="s">
        <v>1537</v>
      </c>
      <c r="M239" t="s">
        <v>1538</v>
      </c>
      <c r="N239">
        <v>2022</v>
      </c>
      <c r="O239" t="s">
        <v>105</v>
      </c>
      <c r="P239" t="s">
        <v>106</v>
      </c>
      <c r="Q239">
        <v>1</v>
      </c>
      <c r="R239">
        <v>2</v>
      </c>
      <c r="S239" t="s">
        <v>2908</v>
      </c>
    </row>
    <row r="240" spans="1:19" x14ac:dyDescent="0.25">
      <c r="A240" t="s">
        <v>1539</v>
      </c>
      <c r="B240" t="s">
        <v>1540</v>
      </c>
      <c r="C240" t="s">
        <v>20</v>
      </c>
      <c r="D240" s="2">
        <v>39073</v>
      </c>
      <c r="E240" t="s">
        <v>145</v>
      </c>
      <c r="F240" t="s">
        <v>1519</v>
      </c>
      <c r="G240" t="s">
        <v>445</v>
      </c>
      <c r="H240" t="s">
        <v>1541</v>
      </c>
      <c r="I240" t="s">
        <v>368</v>
      </c>
      <c r="J240" t="s">
        <v>50</v>
      </c>
      <c r="K240" t="s">
        <v>1542</v>
      </c>
      <c r="L240" t="s">
        <v>1543</v>
      </c>
      <c r="M240" t="s">
        <v>1544</v>
      </c>
      <c r="N240">
        <v>2024</v>
      </c>
      <c r="O240" t="s">
        <v>75</v>
      </c>
      <c r="P240" t="s">
        <v>76</v>
      </c>
      <c r="Q240">
        <v>2</v>
      </c>
      <c r="R240">
        <v>4</v>
      </c>
      <c r="S240" t="s">
        <v>2961</v>
      </c>
    </row>
    <row r="241" spans="1:19" x14ac:dyDescent="0.25">
      <c r="A241" t="s">
        <v>1545</v>
      </c>
      <c r="B241" t="s">
        <v>110</v>
      </c>
      <c r="C241" t="s">
        <v>20</v>
      </c>
      <c r="D241" s="2">
        <v>37044</v>
      </c>
      <c r="E241" t="s">
        <v>21</v>
      </c>
      <c r="F241" t="s">
        <v>351</v>
      </c>
      <c r="G241" t="s">
        <v>1546</v>
      </c>
      <c r="H241" t="s">
        <v>1547</v>
      </c>
      <c r="I241" t="s">
        <v>200</v>
      </c>
      <c r="J241" t="s">
        <v>40</v>
      </c>
      <c r="K241" t="s">
        <v>1548</v>
      </c>
      <c r="L241" t="s">
        <v>1549</v>
      </c>
      <c r="M241" t="s">
        <v>1550</v>
      </c>
      <c r="N241">
        <v>2022</v>
      </c>
      <c r="O241" t="s">
        <v>63</v>
      </c>
      <c r="P241" t="s">
        <v>64</v>
      </c>
      <c r="Q241">
        <v>1</v>
      </c>
      <c r="R241">
        <v>2</v>
      </c>
      <c r="S241" t="s">
        <v>2932</v>
      </c>
    </row>
    <row r="242" spans="1:19" x14ac:dyDescent="0.25">
      <c r="A242" t="s">
        <v>1551</v>
      </c>
      <c r="B242" t="s">
        <v>861</v>
      </c>
      <c r="C242" t="s">
        <v>134</v>
      </c>
      <c r="D242" s="2">
        <v>38907</v>
      </c>
      <c r="E242" t="s">
        <v>196</v>
      </c>
      <c r="F242" t="s">
        <v>1552</v>
      </c>
      <c r="G242" t="s">
        <v>1553</v>
      </c>
      <c r="H242" t="s">
        <v>1554</v>
      </c>
      <c r="I242" t="s">
        <v>200</v>
      </c>
      <c r="J242" t="s">
        <v>40</v>
      </c>
      <c r="K242" t="s">
        <v>1555</v>
      </c>
      <c r="L242" t="s">
        <v>1556</v>
      </c>
      <c r="M242" t="s">
        <v>1557</v>
      </c>
      <c r="N242">
        <v>2023</v>
      </c>
      <c r="O242" t="s">
        <v>95</v>
      </c>
      <c r="P242" t="s">
        <v>96</v>
      </c>
      <c r="Q242">
        <v>3</v>
      </c>
      <c r="R242">
        <v>6</v>
      </c>
      <c r="S242" t="s">
        <v>2889</v>
      </c>
    </row>
    <row r="243" spans="1:19" x14ac:dyDescent="0.25">
      <c r="A243" t="s">
        <v>1558</v>
      </c>
      <c r="B243" t="s">
        <v>1559</v>
      </c>
      <c r="C243" t="s">
        <v>34</v>
      </c>
      <c r="D243" s="2">
        <v>37980</v>
      </c>
      <c r="E243" t="s">
        <v>145</v>
      </c>
      <c r="F243" t="s">
        <v>45</v>
      </c>
      <c r="G243" t="s">
        <v>1560</v>
      </c>
      <c r="H243" t="s">
        <v>1561</v>
      </c>
      <c r="I243" t="s">
        <v>200</v>
      </c>
      <c r="J243" t="s">
        <v>40</v>
      </c>
      <c r="K243" t="s">
        <v>1562</v>
      </c>
      <c r="L243" t="s">
        <v>1563</v>
      </c>
      <c r="M243" t="s">
        <v>1564</v>
      </c>
      <c r="N243">
        <v>2021</v>
      </c>
      <c r="O243" t="s">
        <v>75</v>
      </c>
      <c r="P243" t="s">
        <v>76</v>
      </c>
      <c r="Q243">
        <v>1</v>
      </c>
      <c r="R243">
        <v>2</v>
      </c>
      <c r="S243" t="s">
        <v>2961</v>
      </c>
    </row>
    <row r="244" spans="1:19" x14ac:dyDescent="0.25">
      <c r="A244" t="s">
        <v>1565</v>
      </c>
      <c r="B244" t="s">
        <v>357</v>
      </c>
      <c r="C244" t="s">
        <v>134</v>
      </c>
      <c r="D244" s="2">
        <v>37471</v>
      </c>
      <c r="E244" t="s">
        <v>145</v>
      </c>
      <c r="F244" t="s">
        <v>127</v>
      </c>
      <c r="G244" t="s">
        <v>259</v>
      </c>
      <c r="H244" t="s">
        <v>1566</v>
      </c>
      <c r="I244" t="s">
        <v>200</v>
      </c>
      <c r="J244" t="s">
        <v>40</v>
      </c>
      <c r="K244" t="s">
        <v>1567</v>
      </c>
      <c r="L244" t="s">
        <v>1568</v>
      </c>
      <c r="M244" t="s">
        <v>1569</v>
      </c>
      <c r="N244">
        <v>2022</v>
      </c>
      <c r="O244" t="s">
        <v>122</v>
      </c>
      <c r="P244" t="s">
        <v>123</v>
      </c>
      <c r="Q244">
        <v>1</v>
      </c>
      <c r="R244">
        <v>2</v>
      </c>
      <c r="S244" t="s">
        <v>2919</v>
      </c>
    </row>
    <row r="245" spans="1:19" x14ac:dyDescent="0.25">
      <c r="A245" t="s">
        <v>1570</v>
      </c>
      <c r="B245" t="s">
        <v>133</v>
      </c>
      <c r="C245" t="s">
        <v>20</v>
      </c>
      <c r="D245" s="2">
        <v>36504</v>
      </c>
      <c r="E245" t="s">
        <v>171</v>
      </c>
      <c r="F245" t="s">
        <v>144</v>
      </c>
      <c r="G245" t="s">
        <v>238</v>
      </c>
      <c r="H245" t="s">
        <v>1571</v>
      </c>
      <c r="I245" t="s">
        <v>138</v>
      </c>
      <c r="J245" t="s">
        <v>139</v>
      </c>
      <c r="K245" t="s">
        <v>1572</v>
      </c>
      <c r="L245" t="s">
        <v>1573</v>
      </c>
      <c r="M245" t="s">
        <v>1574</v>
      </c>
      <c r="N245">
        <v>2022</v>
      </c>
      <c r="O245" t="s">
        <v>122</v>
      </c>
      <c r="P245" t="s">
        <v>123</v>
      </c>
      <c r="Q245">
        <v>1</v>
      </c>
      <c r="R245">
        <v>2</v>
      </c>
      <c r="S245" t="s">
        <v>2919</v>
      </c>
    </row>
    <row r="246" spans="1:19" x14ac:dyDescent="0.25">
      <c r="A246" t="s">
        <v>1575</v>
      </c>
      <c r="B246" t="s">
        <v>956</v>
      </c>
      <c r="C246" t="s">
        <v>134</v>
      </c>
      <c r="D246" s="2">
        <v>38348</v>
      </c>
      <c r="E246" t="s">
        <v>109</v>
      </c>
      <c r="F246" t="s">
        <v>1445</v>
      </c>
      <c r="G246" t="s">
        <v>290</v>
      </c>
      <c r="H246" t="s">
        <v>1576</v>
      </c>
      <c r="I246" t="s">
        <v>25</v>
      </c>
      <c r="J246" t="s">
        <v>25</v>
      </c>
      <c r="K246" t="s">
        <v>1577</v>
      </c>
      <c r="L246" t="s">
        <v>1578</v>
      </c>
      <c r="M246" t="s">
        <v>1579</v>
      </c>
      <c r="N246">
        <v>2021</v>
      </c>
      <c r="O246" t="s">
        <v>212</v>
      </c>
      <c r="P246" t="s">
        <v>213</v>
      </c>
      <c r="Q246">
        <v>1</v>
      </c>
      <c r="R246">
        <v>2</v>
      </c>
      <c r="S246" t="s">
        <v>3001</v>
      </c>
    </row>
    <row r="247" spans="1:19" x14ac:dyDescent="0.25">
      <c r="A247" t="s">
        <v>1580</v>
      </c>
      <c r="B247" t="s">
        <v>672</v>
      </c>
      <c r="C247" t="s">
        <v>134</v>
      </c>
      <c r="D247" s="2">
        <v>36871</v>
      </c>
      <c r="E247" t="s">
        <v>145</v>
      </c>
      <c r="F247" t="s">
        <v>760</v>
      </c>
      <c r="G247" t="s">
        <v>1581</v>
      </c>
      <c r="H247" t="s">
        <v>1582</v>
      </c>
      <c r="I247" t="s">
        <v>59</v>
      </c>
      <c r="J247" t="s">
        <v>26</v>
      </c>
      <c r="K247" t="s">
        <v>1583</v>
      </c>
      <c r="L247" t="s">
        <v>1584</v>
      </c>
      <c r="M247" t="s">
        <v>1585</v>
      </c>
      <c r="N247">
        <v>2024</v>
      </c>
      <c r="O247" t="s">
        <v>75</v>
      </c>
      <c r="P247" t="s">
        <v>76</v>
      </c>
      <c r="Q247">
        <v>2</v>
      </c>
      <c r="R247">
        <v>4</v>
      </c>
      <c r="S247" t="s">
        <v>2961</v>
      </c>
    </row>
    <row r="248" spans="1:19" x14ac:dyDescent="0.25">
      <c r="A248" t="s">
        <v>1586</v>
      </c>
      <c r="B248" t="s">
        <v>1559</v>
      </c>
      <c r="C248" t="s">
        <v>134</v>
      </c>
      <c r="D248" s="2">
        <v>39267</v>
      </c>
      <c r="E248" t="s">
        <v>196</v>
      </c>
      <c r="F248" t="s">
        <v>588</v>
      </c>
      <c r="G248" t="s">
        <v>645</v>
      </c>
      <c r="H248" t="s">
        <v>1587</v>
      </c>
      <c r="I248" t="s">
        <v>25</v>
      </c>
      <c r="J248" t="s">
        <v>25</v>
      </c>
      <c r="K248" t="s">
        <v>1588</v>
      </c>
      <c r="L248" t="s">
        <v>1589</v>
      </c>
      <c r="M248" t="s">
        <v>1590</v>
      </c>
      <c r="N248">
        <v>2022</v>
      </c>
      <c r="O248" t="s">
        <v>159</v>
      </c>
      <c r="P248" t="s">
        <v>160</v>
      </c>
      <c r="Q248">
        <v>1</v>
      </c>
      <c r="R248">
        <v>2</v>
      </c>
      <c r="S248" t="s">
        <v>2902</v>
      </c>
    </row>
    <row r="249" spans="1:19" x14ac:dyDescent="0.25">
      <c r="A249" t="s">
        <v>1591</v>
      </c>
      <c r="B249" t="s">
        <v>528</v>
      </c>
      <c r="C249" t="s">
        <v>134</v>
      </c>
      <c r="D249" s="2">
        <v>37094</v>
      </c>
      <c r="E249" t="s">
        <v>196</v>
      </c>
      <c r="F249" t="s">
        <v>292</v>
      </c>
      <c r="G249" t="s">
        <v>1553</v>
      </c>
      <c r="H249" t="s">
        <v>1592</v>
      </c>
      <c r="I249" t="s">
        <v>25</v>
      </c>
      <c r="J249" t="s">
        <v>25</v>
      </c>
      <c r="K249" t="s">
        <v>1593</v>
      </c>
      <c r="L249" t="s">
        <v>1594</v>
      </c>
      <c r="M249" t="s">
        <v>1595</v>
      </c>
      <c r="N249">
        <v>2023</v>
      </c>
      <c r="O249" t="s">
        <v>63</v>
      </c>
      <c r="P249" t="s">
        <v>64</v>
      </c>
      <c r="Q249">
        <v>3</v>
      </c>
      <c r="R249">
        <v>6</v>
      </c>
      <c r="S249" t="s">
        <v>2932</v>
      </c>
    </row>
    <row r="250" spans="1:19" x14ac:dyDescent="0.25">
      <c r="A250" t="s">
        <v>1596</v>
      </c>
      <c r="B250" t="s">
        <v>452</v>
      </c>
      <c r="C250" t="s">
        <v>20</v>
      </c>
      <c r="D250" s="2">
        <v>36182</v>
      </c>
      <c r="E250" t="s">
        <v>171</v>
      </c>
      <c r="F250" t="s">
        <v>438</v>
      </c>
      <c r="G250" t="s">
        <v>827</v>
      </c>
      <c r="H250" t="s">
        <v>1597</v>
      </c>
      <c r="I250" t="s">
        <v>82</v>
      </c>
      <c r="J250" t="s">
        <v>175</v>
      </c>
      <c r="K250" t="s">
        <v>1598</v>
      </c>
      <c r="L250" t="s">
        <v>1599</v>
      </c>
      <c r="M250" t="s">
        <v>1600</v>
      </c>
      <c r="N250">
        <v>2023</v>
      </c>
      <c r="O250" t="s">
        <v>95</v>
      </c>
      <c r="P250" t="s">
        <v>96</v>
      </c>
      <c r="Q250">
        <v>3</v>
      </c>
      <c r="R250">
        <v>6</v>
      </c>
      <c r="S250" t="s">
        <v>2889</v>
      </c>
    </row>
    <row r="251" spans="1:19" x14ac:dyDescent="0.25">
      <c r="A251" t="s">
        <v>1601</v>
      </c>
      <c r="B251" t="s">
        <v>1189</v>
      </c>
      <c r="C251" t="s">
        <v>134</v>
      </c>
      <c r="D251" s="2">
        <v>37957</v>
      </c>
      <c r="E251" t="s">
        <v>145</v>
      </c>
      <c r="F251" t="s">
        <v>1360</v>
      </c>
      <c r="G251" t="s">
        <v>79</v>
      </c>
      <c r="H251" t="s">
        <v>1602</v>
      </c>
      <c r="I251" t="s">
        <v>200</v>
      </c>
      <c r="J251" t="s">
        <v>40</v>
      </c>
      <c r="K251" t="s">
        <v>1603</v>
      </c>
      <c r="L251" t="s">
        <v>1604</v>
      </c>
      <c r="M251" t="s">
        <v>1605</v>
      </c>
      <c r="N251">
        <v>2021</v>
      </c>
      <c r="O251" t="s">
        <v>212</v>
      </c>
      <c r="P251" t="s">
        <v>213</v>
      </c>
      <c r="Q251">
        <v>1</v>
      </c>
      <c r="R251">
        <v>2</v>
      </c>
      <c r="S251" t="s">
        <v>3001</v>
      </c>
    </row>
    <row r="252" spans="1:19" x14ac:dyDescent="0.25">
      <c r="A252" t="s">
        <v>1606</v>
      </c>
      <c r="B252" t="s">
        <v>188</v>
      </c>
      <c r="C252" t="s">
        <v>20</v>
      </c>
      <c r="D252" s="2">
        <v>38701</v>
      </c>
      <c r="E252" t="s">
        <v>35</v>
      </c>
      <c r="F252" t="s">
        <v>1607</v>
      </c>
      <c r="G252" t="s">
        <v>146</v>
      </c>
      <c r="H252" t="s">
        <v>1608</v>
      </c>
      <c r="I252" t="s">
        <v>49</v>
      </c>
      <c r="J252" t="s">
        <v>201</v>
      </c>
      <c r="K252" t="s">
        <v>1609</v>
      </c>
      <c r="L252" t="s">
        <v>1610</v>
      </c>
      <c r="M252" t="s">
        <v>1611</v>
      </c>
      <c r="N252">
        <v>2024</v>
      </c>
      <c r="O252" t="s">
        <v>30</v>
      </c>
      <c r="P252" t="s">
        <v>31</v>
      </c>
      <c r="Q252">
        <v>2</v>
      </c>
      <c r="R252">
        <v>4</v>
      </c>
      <c r="S252" t="s">
        <v>2895</v>
      </c>
    </row>
    <row r="253" spans="1:19" x14ac:dyDescent="0.25">
      <c r="A253" t="s">
        <v>1612</v>
      </c>
      <c r="B253" t="s">
        <v>1123</v>
      </c>
      <c r="C253" t="s">
        <v>134</v>
      </c>
      <c r="D253" s="2">
        <v>39337</v>
      </c>
      <c r="E253" t="s">
        <v>35</v>
      </c>
      <c r="F253" t="s">
        <v>706</v>
      </c>
      <c r="G253" t="s">
        <v>510</v>
      </c>
      <c r="H253" t="s">
        <v>1613</v>
      </c>
      <c r="I253" t="s">
        <v>49</v>
      </c>
      <c r="J253" t="s">
        <v>201</v>
      </c>
      <c r="K253" t="s">
        <v>1614</v>
      </c>
      <c r="L253" t="s">
        <v>1615</v>
      </c>
      <c r="M253" t="s">
        <v>1616</v>
      </c>
      <c r="N253">
        <v>2023</v>
      </c>
      <c r="O253" t="s">
        <v>30</v>
      </c>
      <c r="P253" t="s">
        <v>31</v>
      </c>
      <c r="Q253">
        <v>3</v>
      </c>
      <c r="R253">
        <v>6</v>
      </c>
      <c r="S253" t="s">
        <v>2895</v>
      </c>
    </row>
    <row r="254" spans="1:19" x14ac:dyDescent="0.25">
      <c r="A254" t="s">
        <v>1617</v>
      </c>
      <c r="B254" t="s">
        <v>1618</v>
      </c>
      <c r="C254" t="s">
        <v>20</v>
      </c>
      <c r="D254" s="2">
        <v>37507</v>
      </c>
      <c r="E254" t="s">
        <v>109</v>
      </c>
      <c r="F254" t="s">
        <v>1619</v>
      </c>
      <c r="G254" t="s">
        <v>1042</v>
      </c>
      <c r="H254" t="s">
        <v>1620</v>
      </c>
      <c r="I254" t="s">
        <v>91</v>
      </c>
      <c r="J254" t="s">
        <v>71</v>
      </c>
      <c r="K254" t="s">
        <v>1621</v>
      </c>
      <c r="L254" t="s">
        <v>1622</v>
      </c>
      <c r="M254" t="s">
        <v>1623</v>
      </c>
      <c r="N254">
        <v>2023</v>
      </c>
      <c r="O254" t="s">
        <v>75</v>
      </c>
      <c r="P254" t="s">
        <v>76</v>
      </c>
      <c r="Q254">
        <v>3</v>
      </c>
      <c r="R254">
        <v>6</v>
      </c>
      <c r="S254" t="s">
        <v>2961</v>
      </c>
    </row>
    <row r="255" spans="1:19" x14ac:dyDescent="0.25">
      <c r="A255" t="s">
        <v>1624</v>
      </c>
      <c r="B255" t="s">
        <v>498</v>
      </c>
      <c r="C255" t="s">
        <v>134</v>
      </c>
      <c r="D255" s="2">
        <v>37324</v>
      </c>
      <c r="E255" t="s">
        <v>109</v>
      </c>
      <c r="F255" t="s">
        <v>734</v>
      </c>
      <c r="G255" t="s">
        <v>1625</v>
      </c>
      <c r="H255" t="s">
        <v>1626</v>
      </c>
      <c r="I255" t="s">
        <v>91</v>
      </c>
      <c r="J255" t="s">
        <v>71</v>
      </c>
      <c r="K255" t="s">
        <v>1627</v>
      </c>
      <c r="L255" t="s">
        <v>1628</v>
      </c>
      <c r="M255" t="s">
        <v>1629</v>
      </c>
      <c r="N255">
        <v>2021</v>
      </c>
      <c r="O255" t="s">
        <v>159</v>
      </c>
      <c r="P255" t="s">
        <v>160</v>
      </c>
      <c r="Q255">
        <v>1</v>
      </c>
      <c r="R255">
        <v>2</v>
      </c>
      <c r="S255" t="s">
        <v>2902</v>
      </c>
    </row>
    <row r="256" spans="1:19" x14ac:dyDescent="0.25">
      <c r="A256" t="s">
        <v>1630</v>
      </c>
      <c r="B256" t="s">
        <v>706</v>
      </c>
      <c r="C256" t="s">
        <v>134</v>
      </c>
      <c r="D256" s="2">
        <v>36946</v>
      </c>
      <c r="E256" t="s">
        <v>145</v>
      </c>
      <c r="F256" t="s">
        <v>1429</v>
      </c>
      <c r="G256" t="s">
        <v>658</v>
      </c>
      <c r="H256" t="s">
        <v>1631</v>
      </c>
      <c r="I256" t="s">
        <v>200</v>
      </c>
      <c r="J256" t="s">
        <v>40</v>
      </c>
      <c r="K256" t="s">
        <v>1632</v>
      </c>
      <c r="L256" t="s">
        <v>1633</v>
      </c>
      <c r="M256" t="s">
        <v>1634</v>
      </c>
      <c r="N256">
        <v>2024</v>
      </c>
      <c r="O256" t="s">
        <v>30</v>
      </c>
      <c r="P256" t="s">
        <v>31</v>
      </c>
      <c r="Q256">
        <v>2</v>
      </c>
      <c r="R256">
        <v>4</v>
      </c>
      <c r="S256" t="s">
        <v>2895</v>
      </c>
    </row>
    <row r="257" spans="1:19" x14ac:dyDescent="0.25">
      <c r="A257" t="s">
        <v>1635</v>
      </c>
      <c r="B257" t="s">
        <v>108</v>
      </c>
      <c r="C257" t="s">
        <v>20</v>
      </c>
      <c r="D257" s="2">
        <v>36894</v>
      </c>
      <c r="E257" t="s">
        <v>67</v>
      </c>
      <c r="F257" t="s">
        <v>136</v>
      </c>
      <c r="G257" t="s">
        <v>229</v>
      </c>
      <c r="H257" t="s">
        <v>1636</v>
      </c>
      <c r="I257" t="s">
        <v>368</v>
      </c>
      <c r="J257" t="s">
        <v>50</v>
      </c>
      <c r="K257" t="s">
        <v>1637</v>
      </c>
      <c r="L257" t="s">
        <v>1638</v>
      </c>
      <c r="M257" t="s">
        <v>1639</v>
      </c>
      <c r="N257">
        <v>2024</v>
      </c>
      <c r="O257" t="s">
        <v>30</v>
      </c>
      <c r="P257" t="s">
        <v>31</v>
      </c>
      <c r="Q257">
        <v>2</v>
      </c>
      <c r="R257">
        <v>4</v>
      </c>
      <c r="S257" t="s">
        <v>2895</v>
      </c>
    </row>
    <row r="258" spans="1:19" x14ac:dyDescent="0.25">
      <c r="A258" t="s">
        <v>1640</v>
      </c>
      <c r="B258" t="s">
        <v>980</v>
      </c>
      <c r="C258" t="s">
        <v>134</v>
      </c>
      <c r="D258" s="2">
        <v>38066</v>
      </c>
      <c r="E258" t="s">
        <v>35</v>
      </c>
      <c r="F258" t="s">
        <v>1641</v>
      </c>
      <c r="G258" t="s">
        <v>23</v>
      </c>
      <c r="H258" t="s">
        <v>1642</v>
      </c>
      <c r="I258" t="s">
        <v>82</v>
      </c>
      <c r="J258" t="s">
        <v>175</v>
      </c>
      <c r="K258" t="s">
        <v>1643</v>
      </c>
      <c r="L258" t="s">
        <v>1644</v>
      </c>
      <c r="M258" t="s">
        <v>1645</v>
      </c>
      <c r="N258">
        <v>2022</v>
      </c>
      <c r="O258" t="s">
        <v>30</v>
      </c>
      <c r="P258" t="s">
        <v>31</v>
      </c>
      <c r="Q258">
        <v>1</v>
      </c>
      <c r="R258">
        <v>2</v>
      </c>
      <c r="S258" t="s">
        <v>2895</v>
      </c>
    </row>
    <row r="259" spans="1:19" x14ac:dyDescent="0.25">
      <c r="A259" t="s">
        <v>1646</v>
      </c>
      <c r="B259" t="s">
        <v>197</v>
      </c>
      <c r="C259" t="s">
        <v>20</v>
      </c>
      <c r="D259" s="2">
        <v>37185</v>
      </c>
      <c r="E259" t="s">
        <v>145</v>
      </c>
      <c r="F259" t="s">
        <v>631</v>
      </c>
      <c r="G259" t="s">
        <v>260</v>
      </c>
      <c r="H259" t="s">
        <v>1647</v>
      </c>
      <c r="I259" t="s">
        <v>138</v>
      </c>
      <c r="J259" t="s">
        <v>139</v>
      </c>
      <c r="K259" t="s">
        <v>1648</v>
      </c>
      <c r="L259" t="s">
        <v>1649</v>
      </c>
      <c r="M259" t="s">
        <v>1650</v>
      </c>
      <c r="N259">
        <v>2022</v>
      </c>
      <c r="O259" t="s">
        <v>95</v>
      </c>
      <c r="P259" t="s">
        <v>96</v>
      </c>
      <c r="Q259">
        <v>1</v>
      </c>
      <c r="R259">
        <v>2</v>
      </c>
      <c r="S259" t="s">
        <v>2889</v>
      </c>
    </row>
    <row r="260" spans="1:19" x14ac:dyDescent="0.25">
      <c r="A260" t="s">
        <v>1651</v>
      </c>
      <c r="B260" t="s">
        <v>56</v>
      </c>
      <c r="C260" t="s">
        <v>20</v>
      </c>
      <c r="D260" s="2">
        <v>38565</v>
      </c>
      <c r="E260" t="s">
        <v>109</v>
      </c>
      <c r="F260" t="s">
        <v>878</v>
      </c>
      <c r="G260" t="s">
        <v>1111</v>
      </c>
      <c r="H260" t="s">
        <v>1652</v>
      </c>
      <c r="I260" t="s">
        <v>59</v>
      </c>
      <c r="J260" t="s">
        <v>26</v>
      </c>
      <c r="K260" t="s">
        <v>1653</v>
      </c>
      <c r="L260" t="s">
        <v>1654</v>
      </c>
      <c r="M260" t="s">
        <v>1655</v>
      </c>
      <c r="N260">
        <v>2024</v>
      </c>
      <c r="O260" t="s">
        <v>122</v>
      </c>
      <c r="P260" t="s">
        <v>123</v>
      </c>
      <c r="Q260">
        <v>2</v>
      </c>
      <c r="R260">
        <v>4</v>
      </c>
      <c r="S260" t="s">
        <v>2919</v>
      </c>
    </row>
    <row r="261" spans="1:19" x14ac:dyDescent="0.25">
      <c r="A261" t="s">
        <v>1656</v>
      </c>
      <c r="B261" t="s">
        <v>215</v>
      </c>
      <c r="C261" t="s">
        <v>134</v>
      </c>
      <c r="D261" s="2">
        <v>38485</v>
      </c>
      <c r="E261" t="s">
        <v>196</v>
      </c>
      <c r="F261" t="s">
        <v>943</v>
      </c>
      <c r="G261" t="s">
        <v>471</v>
      </c>
      <c r="H261" t="s">
        <v>1657</v>
      </c>
      <c r="I261" t="s">
        <v>82</v>
      </c>
      <c r="J261" t="s">
        <v>175</v>
      </c>
      <c r="K261" t="s">
        <v>1658</v>
      </c>
      <c r="L261" t="s">
        <v>1659</v>
      </c>
      <c r="M261" t="s">
        <v>1660</v>
      </c>
      <c r="N261">
        <v>2024</v>
      </c>
      <c r="O261" t="s">
        <v>122</v>
      </c>
      <c r="P261" t="s">
        <v>123</v>
      </c>
      <c r="Q261">
        <v>2</v>
      </c>
      <c r="R261">
        <v>4</v>
      </c>
      <c r="S261" t="s">
        <v>2919</v>
      </c>
    </row>
    <row r="262" spans="1:19" x14ac:dyDescent="0.25">
      <c r="A262" t="s">
        <v>1661</v>
      </c>
      <c r="B262" t="s">
        <v>712</v>
      </c>
      <c r="C262" t="s">
        <v>20</v>
      </c>
      <c r="D262" s="2">
        <v>38862</v>
      </c>
      <c r="E262" t="s">
        <v>35</v>
      </c>
      <c r="F262" t="s">
        <v>1055</v>
      </c>
      <c r="G262" t="s">
        <v>1042</v>
      </c>
      <c r="H262" t="s">
        <v>1662</v>
      </c>
      <c r="I262" t="s">
        <v>49</v>
      </c>
      <c r="J262" t="s">
        <v>201</v>
      </c>
      <c r="K262" t="s">
        <v>1663</v>
      </c>
      <c r="L262" t="s">
        <v>1664</v>
      </c>
      <c r="M262" t="s">
        <v>1665</v>
      </c>
      <c r="N262">
        <v>2022</v>
      </c>
      <c r="O262" t="s">
        <v>212</v>
      </c>
      <c r="P262" t="s">
        <v>213</v>
      </c>
      <c r="Q262">
        <v>1</v>
      </c>
      <c r="R262">
        <v>2</v>
      </c>
      <c r="S262" t="s">
        <v>3001</v>
      </c>
    </row>
    <row r="263" spans="1:19" x14ac:dyDescent="0.25">
      <c r="A263" t="s">
        <v>1666</v>
      </c>
      <c r="B263" t="s">
        <v>364</v>
      </c>
      <c r="C263" t="s">
        <v>134</v>
      </c>
      <c r="D263" s="2">
        <v>36745</v>
      </c>
      <c r="E263" t="s">
        <v>21</v>
      </c>
      <c r="F263" t="s">
        <v>276</v>
      </c>
      <c r="G263" t="s">
        <v>1667</v>
      </c>
      <c r="H263" t="s">
        <v>1668</v>
      </c>
      <c r="I263" t="s">
        <v>49</v>
      </c>
      <c r="J263" t="s">
        <v>201</v>
      </c>
      <c r="K263" t="s">
        <v>1669</v>
      </c>
      <c r="L263" t="s">
        <v>1670</v>
      </c>
      <c r="M263" t="s">
        <v>1671</v>
      </c>
      <c r="N263">
        <v>2024</v>
      </c>
      <c r="O263" t="s">
        <v>105</v>
      </c>
      <c r="P263" t="s">
        <v>106</v>
      </c>
      <c r="Q263">
        <v>2</v>
      </c>
      <c r="R263">
        <v>4</v>
      </c>
      <c r="S263" t="s">
        <v>2908</v>
      </c>
    </row>
    <row r="264" spans="1:19" x14ac:dyDescent="0.25">
      <c r="A264" t="s">
        <v>1672</v>
      </c>
      <c r="B264" t="s">
        <v>485</v>
      </c>
      <c r="C264" t="s">
        <v>134</v>
      </c>
      <c r="D264" s="2">
        <v>37772</v>
      </c>
      <c r="E264" t="s">
        <v>67</v>
      </c>
      <c r="F264" t="s">
        <v>1673</v>
      </c>
      <c r="G264" t="s">
        <v>378</v>
      </c>
      <c r="H264" t="s">
        <v>1674</v>
      </c>
      <c r="I264" t="s">
        <v>91</v>
      </c>
      <c r="J264" t="s">
        <v>71</v>
      </c>
      <c r="K264" t="s">
        <v>1675</v>
      </c>
      <c r="L264" t="s">
        <v>1676</v>
      </c>
      <c r="M264" t="s">
        <v>1677</v>
      </c>
      <c r="N264">
        <v>2024</v>
      </c>
      <c r="O264" t="s">
        <v>95</v>
      </c>
      <c r="P264" t="s">
        <v>96</v>
      </c>
      <c r="Q264">
        <v>2</v>
      </c>
      <c r="R264">
        <v>4</v>
      </c>
      <c r="S264" t="s">
        <v>2889</v>
      </c>
    </row>
    <row r="265" spans="1:19" x14ac:dyDescent="0.25">
      <c r="A265" t="s">
        <v>1678</v>
      </c>
      <c r="B265" t="s">
        <v>1679</v>
      </c>
      <c r="C265" t="s">
        <v>134</v>
      </c>
      <c r="D265" s="2">
        <v>37187</v>
      </c>
      <c r="E265" t="s">
        <v>145</v>
      </c>
      <c r="F265" t="s">
        <v>950</v>
      </c>
      <c r="G265" t="s">
        <v>471</v>
      </c>
      <c r="H265" t="s">
        <v>1680</v>
      </c>
      <c r="I265" t="s">
        <v>368</v>
      </c>
      <c r="J265" t="s">
        <v>50</v>
      </c>
      <c r="K265" t="s">
        <v>1681</v>
      </c>
      <c r="L265" t="s">
        <v>1682</v>
      </c>
      <c r="M265" t="s">
        <v>1683</v>
      </c>
      <c r="N265">
        <v>2024</v>
      </c>
      <c r="O265" t="s">
        <v>30</v>
      </c>
      <c r="P265" t="s">
        <v>31</v>
      </c>
      <c r="Q265">
        <v>2</v>
      </c>
      <c r="R265">
        <v>4</v>
      </c>
      <c r="S265" t="s">
        <v>2895</v>
      </c>
    </row>
    <row r="266" spans="1:19" x14ac:dyDescent="0.25">
      <c r="A266" t="s">
        <v>1684</v>
      </c>
      <c r="B266" t="s">
        <v>734</v>
      </c>
      <c r="C266" t="s">
        <v>134</v>
      </c>
      <c r="D266" s="2">
        <v>36302</v>
      </c>
      <c r="E266" t="s">
        <v>171</v>
      </c>
      <c r="F266" t="s">
        <v>904</v>
      </c>
      <c r="G266" t="s">
        <v>387</v>
      </c>
      <c r="H266" t="s">
        <v>1685</v>
      </c>
      <c r="I266" t="s">
        <v>59</v>
      </c>
      <c r="J266" t="s">
        <v>26</v>
      </c>
      <c r="K266" t="s">
        <v>1686</v>
      </c>
      <c r="L266" t="s">
        <v>1687</v>
      </c>
      <c r="M266" t="s">
        <v>1688</v>
      </c>
      <c r="N266">
        <v>2022</v>
      </c>
      <c r="O266" t="s">
        <v>105</v>
      </c>
      <c r="P266" t="s">
        <v>106</v>
      </c>
      <c r="Q266">
        <v>1</v>
      </c>
      <c r="R266">
        <v>2</v>
      </c>
      <c r="S266" t="s">
        <v>2908</v>
      </c>
    </row>
    <row r="267" spans="1:19" x14ac:dyDescent="0.25">
      <c r="A267" t="s">
        <v>1689</v>
      </c>
      <c r="B267" t="s">
        <v>386</v>
      </c>
      <c r="C267" t="s">
        <v>134</v>
      </c>
      <c r="D267" s="2">
        <v>36602</v>
      </c>
      <c r="E267" t="s">
        <v>21</v>
      </c>
      <c r="F267" t="s">
        <v>746</v>
      </c>
      <c r="G267" t="s">
        <v>861</v>
      </c>
      <c r="H267" t="s">
        <v>1690</v>
      </c>
      <c r="I267" t="s">
        <v>91</v>
      </c>
      <c r="J267" t="s">
        <v>71</v>
      </c>
      <c r="K267" t="s">
        <v>1691</v>
      </c>
      <c r="L267" t="s">
        <v>1692</v>
      </c>
      <c r="M267" t="s">
        <v>1693</v>
      </c>
      <c r="N267">
        <v>2023</v>
      </c>
      <c r="O267" t="s">
        <v>212</v>
      </c>
      <c r="P267" t="s">
        <v>213</v>
      </c>
      <c r="Q267">
        <v>3</v>
      </c>
      <c r="R267">
        <v>6</v>
      </c>
      <c r="S267" t="s">
        <v>3001</v>
      </c>
    </row>
    <row r="268" spans="1:19" x14ac:dyDescent="0.25">
      <c r="A268" t="s">
        <v>1694</v>
      </c>
      <c r="B268" t="s">
        <v>950</v>
      </c>
      <c r="C268" t="s">
        <v>134</v>
      </c>
      <c r="D268" s="2">
        <v>39402</v>
      </c>
      <c r="E268" t="s">
        <v>35</v>
      </c>
      <c r="F268" t="s">
        <v>1695</v>
      </c>
      <c r="G268" t="s">
        <v>100</v>
      </c>
      <c r="H268" t="s">
        <v>1696</v>
      </c>
      <c r="I268" t="s">
        <v>49</v>
      </c>
      <c r="J268" t="s">
        <v>201</v>
      </c>
      <c r="K268" t="s">
        <v>1697</v>
      </c>
      <c r="L268" t="s">
        <v>1698</v>
      </c>
      <c r="M268" t="s">
        <v>1699</v>
      </c>
      <c r="N268">
        <v>2021</v>
      </c>
      <c r="O268" t="s">
        <v>95</v>
      </c>
      <c r="P268" t="s">
        <v>96</v>
      </c>
      <c r="Q268">
        <v>1</v>
      </c>
      <c r="R268">
        <v>2</v>
      </c>
      <c r="S268" t="s">
        <v>2889</v>
      </c>
    </row>
    <row r="269" spans="1:19" x14ac:dyDescent="0.25">
      <c r="A269" t="s">
        <v>1700</v>
      </c>
      <c r="B269" t="s">
        <v>624</v>
      </c>
      <c r="C269" t="s">
        <v>134</v>
      </c>
      <c r="D269" s="2">
        <v>37426</v>
      </c>
      <c r="E269" t="s">
        <v>171</v>
      </c>
      <c r="F269" t="s">
        <v>1559</v>
      </c>
      <c r="G269" t="s">
        <v>1371</v>
      </c>
      <c r="H269" t="s">
        <v>1701</v>
      </c>
      <c r="I269" t="s">
        <v>138</v>
      </c>
      <c r="J269" t="s">
        <v>139</v>
      </c>
      <c r="K269" t="s">
        <v>1702</v>
      </c>
      <c r="L269" t="s">
        <v>1703</v>
      </c>
      <c r="M269" t="s">
        <v>1704</v>
      </c>
      <c r="N269">
        <v>2021</v>
      </c>
      <c r="O269" t="s">
        <v>95</v>
      </c>
      <c r="P269" t="s">
        <v>96</v>
      </c>
      <c r="Q269">
        <v>1</v>
      </c>
      <c r="R269">
        <v>2</v>
      </c>
      <c r="S269" t="s">
        <v>2889</v>
      </c>
    </row>
    <row r="270" spans="1:19" x14ac:dyDescent="0.25">
      <c r="A270" t="s">
        <v>1705</v>
      </c>
      <c r="B270" t="s">
        <v>409</v>
      </c>
      <c r="C270" t="s">
        <v>20</v>
      </c>
      <c r="D270" s="2">
        <v>37564</v>
      </c>
      <c r="E270" t="s">
        <v>67</v>
      </c>
      <c r="F270" t="s">
        <v>463</v>
      </c>
      <c r="G270" t="s">
        <v>936</v>
      </c>
      <c r="H270" t="s">
        <v>1706</v>
      </c>
      <c r="I270" t="s">
        <v>82</v>
      </c>
      <c r="J270" t="s">
        <v>175</v>
      </c>
      <c r="K270" t="s">
        <v>1707</v>
      </c>
      <c r="L270" t="s">
        <v>1708</v>
      </c>
      <c r="M270" t="s">
        <v>1709</v>
      </c>
      <c r="N270">
        <v>2022</v>
      </c>
      <c r="O270" t="s">
        <v>95</v>
      </c>
      <c r="P270" t="s">
        <v>96</v>
      </c>
      <c r="Q270">
        <v>1</v>
      </c>
      <c r="R270">
        <v>2</v>
      </c>
      <c r="S270" t="s">
        <v>2889</v>
      </c>
    </row>
    <row r="271" spans="1:19" x14ac:dyDescent="0.25">
      <c r="A271" t="s">
        <v>1710</v>
      </c>
      <c r="B271" t="s">
        <v>162</v>
      </c>
      <c r="C271" t="s">
        <v>134</v>
      </c>
      <c r="D271" s="2">
        <v>38642</v>
      </c>
      <c r="E271" t="s">
        <v>35</v>
      </c>
      <c r="F271" t="s">
        <v>478</v>
      </c>
      <c r="G271" t="s">
        <v>1123</v>
      </c>
      <c r="H271" t="s">
        <v>1711</v>
      </c>
      <c r="I271" t="s">
        <v>368</v>
      </c>
      <c r="J271" t="s">
        <v>50</v>
      </c>
      <c r="K271" t="s">
        <v>1712</v>
      </c>
      <c r="L271" t="s">
        <v>1713</v>
      </c>
      <c r="M271" t="s">
        <v>1714</v>
      </c>
      <c r="N271">
        <v>2022</v>
      </c>
      <c r="O271" t="s">
        <v>122</v>
      </c>
      <c r="P271" t="s">
        <v>123</v>
      </c>
      <c r="Q271">
        <v>1</v>
      </c>
      <c r="R271">
        <v>2</v>
      </c>
      <c r="S271" t="s">
        <v>2919</v>
      </c>
    </row>
    <row r="272" spans="1:19" x14ac:dyDescent="0.25">
      <c r="A272" t="s">
        <v>1715</v>
      </c>
      <c r="B272" t="s">
        <v>188</v>
      </c>
      <c r="C272" t="s">
        <v>20</v>
      </c>
      <c r="D272" s="2">
        <v>38018</v>
      </c>
      <c r="E272" t="s">
        <v>196</v>
      </c>
      <c r="F272" t="s">
        <v>357</v>
      </c>
      <c r="G272" t="s">
        <v>615</v>
      </c>
      <c r="H272" t="s">
        <v>967</v>
      </c>
      <c r="I272" t="s">
        <v>138</v>
      </c>
      <c r="J272" t="s">
        <v>139</v>
      </c>
      <c r="K272" t="s">
        <v>1716</v>
      </c>
      <c r="L272" t="s">
        <v>1717</v>
      </c>
      <c r="M272" t="s">
        <v>1718</v>
      </c>
      <c r="N272">
        <v>2024</v>
      </c>
      <c r="O272" t="s">
        <v>105</v>
      </c>
      <c r="P272" t="s">
        <v>106</v>
      </c>
      <c r="Q272">
        <v>2</v>
      </c>
      <c r="R272">
        <v>4</v>
      </c>
      <c r="S272" t="s">
        <v>2908</v>
      </c>
    </row>
    <row r="273" spans="1:19" x14ac:dyDescent="0.25">
      <c r="A273" t="s">
        <v>1719</v>
      </c>
      <c r="B273" t="s">
        <v>596</v>
      </c>
      <c r="C273" t="s">
        <v>20</v>
      </c>
      <c r="D273" s="2">
        <v>39320</v>
      </c>
      <c r="E273" t="s">
        <v>196</v>
      </c>
      <c r="F273" t="s">
        <v>645</v>
      </c>
      <c r="G273" t="s">
        <v>229</v>
      </c>
      <c r="H273" t="s">
        <v>1720</v>
      </c>
      <c r="I273" t="s">
        <v>200</v>
      </c>
      <c r="J273" t="s">
        <v>40</v>
      </c>
      <c r="K273" t="s">
        <v>1721</v>
      </c>
      <c r="L273" t="s">
        <v>1722</v>
      </c>
      <c r="M273" t="s">
        <v>1723</v>
      </c>
      <c r="N273">
        <v>2021</v>
      </c>
      <c r="O273" t="s">
        <v>159</v>
      </c>
      <c r="P273" t="s">
        <v>160</v>
      </c>
      <c r="Q273">
        <v>1</v>
      </c>
      <c r="R273">
        <v>2</v>
      </c>
      <c r="S273" t="s">
        <v>2902</v>
      </c>
    </row>
    <row r="274" spans="1:19" x14ac:dyDescent="0.25">
      <c r="A274" t="s">
        <v>1724</v>
      </c>
      <c r="B274" t="s">
        <v>1725</v>
      </c>
      <c r="C274" t="s">
        <v>20</v>
      </c>
      <c r="D274" s="2">
        <v>37789</v>
      </c>
      <c r="E274" t="s">
        <v>109</v>
      </c>
      <c r="F274" t="s">
        <v>485</v>
      </c>
      <c r="G274" t="s">
        <v>1726</v>
      </c>
      <c r="H274" t="s">
        <v>1727</v>
      </c>
      <c r="I274" t="s">
        <v>138</v>
      </c>
      <c r="J274" t="s">
        <v>139</v>
      </c>
      <c r="K274" t="s">
        <v>1728</v>
      </c>
      <c r="L274" t="s">
        <v>1729</v>
      </c>
      <c r="M274" t="s">
        <v>1730</v>
      </c>
      <c r="N274">
        <v>2024</v>
      </c>
      <c r="O274" t="s">
        <v>122</v>
      </c>
      <c r="P274" t="s">
        <v>123</v>
      </c>
      <c r="Q274">
        <v>2</v>
      </c>
      <c r="R274">
        <v>4</v>
      </c>
      <c r="S274" t="s">
        <v>2919</v>
      </c>
    </row>
    <row r="275" spans="1:19" x14ac:dyDescent="0.25">
      <c r="A275" t="s">
        <v>1731</v>
      </c>
      <c r="B275" t="s">
        <v>699</v>
      </c>
      <c r="C275" t="s">
        <v>20</v>
      </c>
      <c r="D275" s="2">
        <v>36167</v>
      </c>
      <c r="E275" t="s">
        <v>171</v>
      </c>
      <c r="F275" t="s">
        <v>334</v>
      </c>
      <c r="G275" t="s">
        <v>949</v>
      </c>
      <c r="H275" t="s">
        <v>1732</v>
      </c>
      <c r="I275" t="s">
        <v>82</v>
      </c>
      <c r="J275" t="s">
        <v>175</v>
      </c>
      <c r="K275" t="s">
        <v>1733</v>
      </c>
      <c r="L275" t="s">
        <v>1734</v>
      </c>
      <c r="M275" t="s">
        <v>1735</v>
      </c>
      <c r="N275">
        <v>2022</v>
      </c>
      <c r="O275" t="s">
        <v>159</v>
      </c>
      <c r="P275" t="s">
        <v>160</v>
      </c>
      <c r="Q275">
        <v>1</v>
      </c>
      <c r="R275">
        <v>2</v>
      </c>
      <c r="S275" t="s">
        <v>2902</v>
      </c>
    </row>
    <row r="276" spans="1:19" x14ac:dyDescent="0.25">
      <c r="A276" t="s">
        <v>1736</v>
      </c>
      <c r="B276" t="s">
        <v>290</v>
      </c>
      <c r="C276" t="s">
        <v>20</v>
      </c>
      <c r="D276" s="2">
        <v>36671</v>
      </c>
      <c r="E276" t="s">
        <v>67</v>
      </c>
      <c r="F276" t="s">
        <v>1223</v>
      </c>
      <c r="G276" t="s">
        <v>207</v>
      </c>
      <c r="H276" t="s">
        <v>1464</v>
      </c>
      <c r="I276" t="s">
        <v>368</v>
      </c>
      <c r="J276" t="s">
        <v>50</v>
      </c>
      <c r="K276" t="s">
        <v>1737</v>
      </c>
      <c r="L276" t="s">
        <v>1738</v>
      </c>
      <c r="M276" t="s">
        <v>1739</v>
      </c>
      <c r="N276">
        <v>2023</v>
      </c>
      <c r="O276" t="s">
        <v>30</v>
      </c>
      <c r="P276" t="s">
        <v>31</v>
      </c>
      <c r="Q276">
        <v>3</v>
      </c>
      <c r="R276">
        <v>6</v>
      </c>
      <c r="S276" t="s">
        <v>2895</v>
      </c>
    </row>
    <row r="277" spans="1:19" x14ac:dyDescent="0.25">
      <c r="A277" t="s">
        <v>1740</v>
      </c>
      <c r="B277" t="s">
        <v>437</v>
      </c>
      <c r="C277" t="s">
        <v>20</v>
      </c>
      <c r="D277" s="2">
        <v>38885</v>
      </c>
      <c r="E277" t="s">
        <v>196</v>
      </c>
      <c r="F277" t="s">
        <v>1741</v>
      </c>
      <c r="G277" t="s">
        <v>464</v>
      </c>
      <c r="H277" t="s">
        <v>1742</v>
      </c>
      <c r="I277" t="s">
        <v>59</v>
      </c>
      <c r="J277" t="s">
        <v>26</v>
      </c>
      <c r="K277" t="s">
        <v>1743</v>
      </c>
      <c r="L277" t="s">
        <v>1744</v>
      </c>
      <c r="M277" t="s">
        <v>1745</v>
      </c>
      <c r="N277">
        <v>2023</v>
      </c>
      <c r="O277" t="s">
        <v>75</v>
      </c>
      <c r="P277" t="s">
        <v>76</v>
      </c>
      <c r="Q277">
        <v>3</v>
      </c>
      <c r="R277">
        <v>6</v>
      </c>
      <c r="S277" t="s">
        <v>2961</v>
      </c>
    </row>
    <row r="278" spans="1:19" x14ac:dyDescent="0.25">
      <c r="A278" t="s">
        <v>1746</v>
      </c>
      <c r="B278" t="s">
        <v>1130</v>
      </c>
      <c r="C278" t="s">
        <v>134</v>
      </c>
      <c r="D278" s="2">
        <v>39174</v>
      </c>
      <c r="E278" t="s">
        <v>67</v>
      </c>
      <c r="F278" t="s">
        <v>146</v>
      </c>
      <c r="G278" t="s">
        <v>1747</v>
      </c>
      <c r="H278" t="s">
        <v>1748</v>
      </c>
      <c r="I278" t="s">
        <v>59</v>
      </c>
      <c r="J278" t="s">
        <v>26</v>
      </c>
      <c r="K278" t="s">
        <v>1749</v>
      </c>
      <c r="L278" t="s">
        <v>1750</v>
      </c>
      <c r="M278" t="s">
        <v>1751</v>
      </c>
      <c r="N278">
        <v>2024</v>
      </c>
      <c r="O278" t="s">
        <v>105</v>
      </c>
      <c r="P278" t="s">
        <v>106</v>
      </c>
      <c r="Q278">
        <v>2</v>
      </c>
      <c r="R278">
        <v>4</v>
      </c>
      <c r="S278" t="s">
        <v>2908</v>
      </c>
    </row>
    <row r="279" spans="1:19" x14ac:dyDescent="0.25">
      <c r="A279" t="s">
        <v>1752</v>
      </c>
      <c r="B279" t="s">
        <v>1552</v>
      </c>
      <c r="C279" t="s">
        <v>134</v>
      </c>
      <c r="D279" s="2">
        <v>38135</v>
      </c>
      <c r="E279" t="s">
        <v>171</v>
      </c>
      <c r="F279" t="s">
        <v>1254</v>
      </c>
      <c r="G279" t="s">
        <v>463</v>
      </c>
      <c r="H279" t="s">
        <v>1753</v>
      </c>
      <c r="I279" t="s">
        <v>59</v>
      </c>
      <c r="J279" t="s">
        <v>26</v>
      </c>
      <c r="K279" t="s">
        <v>1754</v>
      </c>
      <c r="L279" t="s">
        <v>1755</v>
      </c>
      <c r="M279" t="s">
        <v>1756</v>
      </c>
      <c r="N279">
        <v>2022</v>
      </c>
      <c r="O279" t="s">
        <v>159</v>
      </c>
      <c r="P279" t="s">
        <v>160</v>
      </c>
      <c r="Q279">
        <v>1</v>
      </c>
      <c r="R279">
        <v>2</v>
      </c>
      <c r="S279" t="s">
        <v>2902</v>
      </c>
    </row>
    <row r="280" spans="1:19" x14ac:dyDescent="0.25">
      <c r="A280" t="s">
        <v>1757</v>
      </c>
      <c r="B280" t="s">
        <v>1130</v>
      </c>
      <c r="C280" t="s">
        <v>20</v>
      </c>
      <c r="D280" s="2">
        <v>39099</v>
      </c>
      <c r="E280" t="s">
        <v>67</v>
      </c>
      <c r="F280" t="s">
        <v>537</v>
      </c>
      <c r="G280" t="s">
        <v>1435</v>
      </c>
      <c r="H280" t="s">
        <v>1758</v>
      </c>
      <c r="I280" t="s">
        <v>91</v>
      </c>
      <c r="J280" t="s">
        <v>71</v>
      </c>
      <c r="K280" t="s">
        <v>1759</v>
      </c>
      <c r="L280" t="s">
        <v>1760</v>
      </c>
      <c r="M280" t="s">
        <v>1761</v>
      </c>
      <c r="N280">
        <v>2023</v>
      </c>
      <c r="O280" t="s">
        <v>105</v>
      </c>
      <c r="P280" t="s">
        <v>106</v>
      </c>
      <c r="Q280">
        <v>3</v>
      </c>
      <c r="R280">
        <v>6</v>
      </c>
      <c r="S280" t="s">
        <v>2908</v>
      </c>
    </row>
    <row r="281" spans="1:19" x14ac:dyDescent="0.25">
      <c r="A281" t="s">
        <v>1762</v>
      </c>
      <c r="B281" t="s">
        <v>1763</v>
      </c>
      <c r="C281" t="s">
        <v>20</v>
      </c>
      <c r="D281" s="2">
        <v>38580</v>
      </c>
      <c r="E281" t="s">
        <v>109</v>
      </c>
      <c r="F281" t="s">
        <v>1764</v>
      </c>
      <c r="G281" t="s">
        <v>1679</v>
      </c>
      <c r="H281" t="s">
        <v>1765</v>
      </c>
      <c r="I281" t="s">
        <v>138</v>
      </c>
      <c r="J281" t="s">
        <v>139</v>
      </c>
      <c r="K281" t="s">
        <v>1766</v>
      </c>
      <c r="L281" t="s">
        <v>1767</v>
      </c>
      <c r="M281" t="s">
        <v>1768</v>
      </c>
      <c r="N281">
        <v>2022</v>
      </c>
      <c r="O281" t="s">
        <v>212</v>
      </c>
      <c r="P281" t="s">
        <v>213</v>
      </c>
      <c r="Q281">
        <v>1</v>
      </c>
      <c r="R281">
        <v>2</v>
      </c>
      <c r="S281" t="s">
        <v>3001</v>
      </c>
    </row>
    <row r="282" spans="1:19" x14ac:dyDescent="0.25">
      <c r="A282" t="s">
        <v>1769</v>
      </c>
      <c r="B282" t="s">
        <v>631</v>
      </c>
      <c r="C282" t="s">
        <v>20</v>
      </c>
      <c r="D282" s="2">
        <v>36401</v>
      </c>
      <c r="E282" t="s">
        <v>109</v>
      </c>
      <c r="F282" t="s">
        <v>923</v>
      </c>
      <c r="G282" t="s">
        <v>236</v>
      </c>
      <c r="H282" t="s">
        <v>1770</v>
      </c>
      <c r="I282" t="s">
        <v>138</v>
      </c>
      <c r="J282" t="s">
        <v>139</v>
      </c>
      <c r="K282" t="s">
        <v>1771</v>
      </c>
      <c r="L282" t="s">
        <v>1772</v>
      </c>
      <c r="M282" t="s">
        <v>1773</v>
      </c>
      <c r="N282">
        <v>2024</v>
      </c>
      <c r="O282" t="s">
        <v>159</v>
      </c>
      <c r="P282" t="s">
        <v>160</v>
      </c>
      <c r="Q282">
        <v>2</v>
      </c>
      <c r="R282">
        <v>4</v>
      </c>
      <c r="S282" t="s">
        <v>2902</v>
      </c>
    </row>
    <row r="283" spans="1:19" x14ac:dyDescent="0.25">
      <c r="A283" t="s">
        <v>1774</v>
      </c>
      <c r="B283" t="s">
        <v>1078</v>
      </c>
      <c r="C283" t="s">
        <v>134</v>
      </c>
      <c r="D283" s="2">
        <v>36382</v>
      </c>
      <c r="E283" t="s">
        <v>196</v>
      </c>
      <c r="F283" t="s">
        <v>409</v>
      </c>
      <c r="G283" t="s">
        <v>170</v>
      </c>
      <c r="H283" t="s">
        <v>1775</v>
      </c>
      <c r="I283" t="s">
        <v>138</v>
      </c>
      <c r="J283" t="s">
        <v>139</v>
      </c>
      <c r="K283" t="s">
        <v>1776</v>
      </c>
      <c r="L283" t="s">
        <v>1777</v>
      </c>
      <c r="M283" t="s">
        <v>1778</v>
      </c>
      <c r="N283">
        <v>2023</v>
      </c>
      <c r="O283" t="s">
        <v>212</v>
      </c>
      <c r="P283" t="s">
        <v>213</v>
      </c>
      <c r="Q283">
        <v>3</v>
      </c>
      <c r="R283">
        <v>6</v>
      </c>
      <c r="S283" t="s">
        <v>3001</v>
      </c>
    </row>
    <row r="284" spans="1:19" x14ac:dyDescent="0.25">
      <c r="A284" t="s">
        <v>1779</v>
      </c>
      <c r="B284" t="s">
        <v>804</v>
      </c>
      <c r="C284" t="s">
        <v>134</v>
      </c>
      <c r="D284" s="2">
        <v>38272</v>
      </c>
      <c r="E284" t="s">
        <v>196</v>
      </c>
      <c r="F284" t="s">
        <v>1130</v>
      </c>
      <c r="G284" t="s">
        <v>133</v>
      </c>
      <c r="H284" t="s">
        <v>1780</v>
      </c>
      <c r="I284" t="s">
        <v>91</v>
      </c>
      <c r="J284" t="s">
        <v>71</v>
      </c>
      <c r="K284" t="s">
        <v>1781</v>
      </c>
      <c r="L284" t="s">
        <v>1782</v>
      </c>
      <c r="M284" t="s">
        <v>1783</v>
      </c>
      <c r="N284">
        <v>2021</v>
      </c>
      <c r="O284" t="s">
        <v>159</v>
      </c>
      <c r="P284" t="s">
        <v>160</v>
      </c>
      <c r="Q284">
        <v>1</v>
      </c>
      <c r="R284">
        <v>2</v>
      </c>
      <c r="S284" t="s">
        <v>2902</v>
      </c>
    </row>
    <row r="285" spans="1:19" x14ac:dyDescent="0.25">
      <c r="A285" t="s">
        <v>1784</v>
      </c>
      <c r="B285" t="s">
        <v>671</v>
      </c>
      <c r="C285" t="s">
        <v>34</v>
      </c>
      <c r="D285" s="2">
        <v>38900</v>
      </c>
      <c r="E285" t="s">
        <v>196</v>
      </c>
      <c r="F285" t="s">
        <v>1785</v>
      </c>
      <c r="G285" t="s">
        <v>1786</v>
      </c>
      <c r="H285" t="s">
        <v>1787</v>
      </c>
      <c r="I285" t="s">
        <v>39</v>
      </c>
      <c r="J285" t="s">
        <v>26</v>
      </c>
      <c r="K285" t="s">
        <v>1788</v>
      </c>
      <c r="L285" t="s">
        <v>1789</v>
      </c>
      <c r="M285" t="s">
        <v>1790</v>
      </c>
      <c r="N285">
        <v>2021</v>
      </c>
      <c r="O285" t="s">
        <v>95</v>
      </c>
      <c r="P285" t="s">
        <v>96</v>
      </c>
      <c r="Q285">
        <v>1</v>
      </c>
      <c r="R285">
        <v>2</v>
      </c>
      <c r="S285" t="s">
        <v>2889</v>
      </c>
    </row>
    <row r="286" spans="1:19" x14ac:dyDescent="0.25">
      <c r="A286" t="s">
        <v>1791</v>
      </c>
      <c r="B286" t="s">
        <v>1378</v>
      </c>
      <c r="C286" t="s">
        <v>134</v>
      </c>
      <c r="D286" s="2">
        <v>38614</v>
      </c>
      <c r="E286" t="s">
        <v>109</v>
      </c>
      <c r="F286" t="s">
        <v>497</v>
      </c>
      <c r="G286" t="s">
        <v>841</v>
      </c>
      <c r="H286" t="s">
        <v>1792</v>
      </c>
      <c r="I286" t="s">
        <v>200</v>
      </c>
      <c r="J286" t="s">
        <v>40</v>
      </c>
      <c r="K286" t="s">
        <v>1793</v>
      </c>
      <c r="L286" t="s">
        <v>1794</v>
      </c>
      <c r="M286" t="s">
        <v>1795</v>
      </c>
      <c r="N286">
        <v>2024</v>
      </c>
      <c r="O286" t="s">
        <v>105</v>
      </c>
      <c r="P286" t="s">
        <v>106</v>
      </c>
      <c r="Q286">
        <v>2</v>
      </c>
      <c r="R286">
        <v>4</v>
      </c>
      <c r="S286" t="s">
        <v>2908</v>
      </c>
    </row>
    <row r="287" spans="1:19" x14ac:dyDescent="0.25">
      <c r="A287" t="s">
        <v>1796</v>
      </c>
      <c r="B287" t="s">
        <v>1206</v>
      </c>
      <c r="C287" t="s">
        <v>34</v>
      </c>
      <c r="D287" s="2">
        <v>37442</v>
      </c>
      <c r="E287" t="s">
        <v>109</v>
      </c>
      <c r="F287" t="s">
        <v>685</v>
      </c>
      <c r="G287" t="s">
        <v>790</v>
      </c>
      <c r="H287" t="s">
        <v>552</v>
      </c>
      <c r="I287" t="s">
        <v>200</v>
      </c>
      <c r="J287" t="s">
        <v>40</v>
      </c>
      <c r="K287" t="s">
        <v>1797</v>
      </c>
      <c r="L287" t="s">
        <v>1798</v>
      </c>
      <c r="M287" t="s">
        <v>1799</v>
      </c>
      <c r="N287">
        <v>2024</v>
      </c>
      <c r="O287" t="s">
        <v>105</v>
      </c>
      <c r="P287" t="s">
        <v>106</v>
      </c>
      <c r="Q287">
        <v>2</v>
      </c>
      <c r="R287">
        <v>4</v>
      </c>
      <c r="S287" t="s">
        <v>2908</v>
      </c>
    </row>
    <row r="288" spans="1:19" x14ac:dyDescent="0.25">
      <c r="A288" t="s">
        <v>1800</v>
      </c>
      <c r="B288" t="s">
        <v>387</v>
      </c>
      <c r="C288" t="s">
        <v>134</v>
      </c>
      <c r="D288" s="2">
        <v>38739</v>
      </c>
      <c r="E288" t="s">
        <v>67</v>
      </c>
      <c r="F288" t="s">
        <v>1553</v>
      </c>
      <c r="G288" t="s">
        <v>1725</v>
      </c>
      <c r="H288" t="s">
        <v>1801</v>
      </c>
      <c r="I288" t="s">
        <v>138</v>
      </c>
      <c r="J288" t="s">
        <v>139</v>
      </c>
      <c r="K288" t="s">
        <v>1802</v>
      </c>
      <c r="L288" t="s">
        <v>1803</v>
      </c>
      <c r="M288" t="s">
        <v>1804</v>
      </c>
      <c r="N288">
        <v>2021</v>
      </c>
      <c r="O288" t="s">
        <v>159</v>
      </c>
      <c r="P288" t="s">
        <v>160</v>
      </c>
      <c r="Q288">
        <v>1</v>
      </c>
      <c r="R288">
        <v>2</v>
      </c>
      <c r="S288" t="s">
        <v>2902</v>
      </c>
    </row>
    <row r="289" spans="1:19" x14ac:dyDescent="0.25">
      <c r="A289" t="s">
        <v>1805</v>
      </c>
      <c r="B289" t="s">
        <v>438</v>
      </c>
      <c r="C289" t="s">
        <v>20</v>
      </c>
      <c r="D289" s="2">
        <v>36591</v>
      </c>
      <c r="E289" t="s">
        <v>35</v>
      </c>
      <c r="F289" t="s">
        <v>566</v>
      </c>
      <c r="G289" t="s">
        <v>400</v>
      </c>
      <c r="H289" t="s">
        <v>1806</v>
      </c>
      <c r="I289" t="s">
        <v>368</v>
      </c>
      <c r="J289" t="s">
        <v>50</v>
      </c>
      <c r="K289" t="s">
        <v>1807</v>
      </c>
      <c r="L289" t="s">
        <v>1808</v>
      </c>
      <c r="M289" t="s">
        <v>1809</v>
      </c>
      <c r="N289">
        <v>2022</v>
      </c>
      <c r="O289" t="s">
        <v>122</v>
      </c>
      <c r="P289" t="s">
        <v>123</v>
      </c>
      <c r="Q289">
        <v>1</v>
      </c>
      <c r="R289">
        <v>2</v>
      </c>
      <c r="S289" t="s">
        <v>2919</v>
      </c>
    </row>
    <row r="290" spans="1:19" x14ac:dyDescent="0.25">
      <c r="A290" t="s">
        <v>1810</v>
      </c>
      <c r="B290" t="s">
        <v>761</v>
      </c>
      <c r="C290" t="s">
        <v>134</v>
      </c>
      <c r="D290" s="2">
        <v>39082</v>
      </c>
      <c r="E290" t="s">
        <v>21</v>
      </c>
      <c r="F290" t="s">
        <v>402</v>
      </c>
      <c r="G290" t="s">
        <v>706</v>
      </c>
      <c r="H290" t="s">
        <v>1811</v>
      </c>
      <c r="I290" t="s">
        <v>49</v>
      </c>
      <c r="J290" t="s">
        <v>201</v>
      </c>
      <c r="K290" t="s">
        <v>1812</v>
      </c>
      <c r="L290" t="s">
        <v>1813</v>
      </c>
      <c r="M290" t="s">
        <v>1814</v>
      </c>
      <c r="N290">
        <v>2023</v>
      </c>
      <c r="O290" t="s">
        <v>159</v>
      </c>
      <c r="P290" t="s">
        <v>160</v>
      </c>
      <c r="Q290">
        <v>3</v>
      </c>
      <c r="R290">
        <v>6</v>
      </c>
      <c r="S290" t="s">
        <v>2902</v>
      </c>
    </row>
    <row r="291" spans="1:19" x14ac:dyDescent="0.25">
      <c r="A291" t="s">
        <v>1815</v>
      </c>
      <c r="B291" t="s">
        <v>479</v>
      </c>
      <c r="C291" t="s">
        <v>134</v>
      </c>
      <c r="D291" s="2">
        <v>39150</v>
      </c>
      <c r="E291" t="s">
        <v>145</v>
      </c>
      <c r="F291" t="s">
        <v>1764</v>
      </c>
      <c r="G291" t="s">
        <v>33</v>
      </c>
      <c r="H291" t="s">
        <v>1816</v>
      </c>
      <c r="I291" t="s">
        <v>368</v>
      </c>
      <c r="J291" t="s">
        <v>50</v>
      </c>
      <c r="K291" t="s">
        <v>1817</v>
      </c>
      <c r="L291" t="s">
        <v>1818</v>
      </c>
      <c r="M291" t="s">
        <v>1819</v>
      </c>
      <c r="N291">
        <v>2021</v>
      </c>
      <c r="O291" t="s">
        <v>212</v>
      </c>
      <c r="P291" t="s">
        <v>213</v>
      </c>
      <c r="Q291">
        <v>1</v>
      </c>
      <c r="R291">
        <v>2</v>
      </c>
      <c r="S291" t="s">
        <v>3001</v>
      </c>
    </row>
    <row r="292" spans="1:19" x14ac:dyDescent="0.25">
      <c r="A292" t="s">
        <v>1820</v>
      </c>
      <c r="B292" t="s">
        <v>1821</v>
      </c>
      <c r="C292" t="s">
        <v>134</v>
      </c>
      <c r="D292" s="2">
        <v>37082</v>
      </c>
      <c r="E292" t="s">
        <v>21</v>
      </c>
      <c r="F292" t="s">
        <v>1619</v>
      </c>
      <c r="G292" t="s">
        <v>222</v>
      </c>
      <c r="H292" t="s">
        <v>1822</v>
      </c>
      <c r="I292" t="s">
        <v>82</v>
      </c>
      <c r="J292" t="s">
        <v>175</v>
      </c>
      <c r="K292" t="s">
        <v>1823</v>
      </c>
      <c r="L292" t="s">
        <v>1824</v>
      </c>
      <c r="M292" t="s">
        <v>1825</v>
      </c>
      <c r="N292">
        <v>2024</v>
      </c>
      <c r="O292" t="s">
        <v>75</v>
      </c>
      <c r="P292" t="s">
        <v>76</v>
      </c>
      <c r="Q292">
        <v>2</v>
      </c>
      <c r="R292">
        <v>4</v>
      </c>
      <c r="S292" t="s">
        <v>2961</v>
      </c>
    </row>
    <row r="293" spans="1:19" x14ac:dyDescent="0.25">
      <c r="A293" t="s">
        <v>1826</v>
      </c>
      <c r="B293" t="s">
        <v>1300</v>
      </c>
      <c r="C293" t="s">
        <v>20</v>
      </c>
      <c r="D293" s="2">
        <v>38046</v>
      </c>
      <c r="E293" t="s">
        <v>196</v>
      </c>
      <c r="F293" t="s">
        <v>424</v>
      </c>
      <c r="G293" t="s">
        <v>230</v>
      </c>
      <c r="H293" t="s">
        <v>1827</v>
      </c>
      <c r="I293" t="s">
        <v>82</v>
      </c>
      <c r="J293" t="s">
        <v>175</v>
      </c>
      <c r="K293" t="s">
        <v>1828</v>
      </c>
      <c r="L293" t="s">
        <v>1829</v>
      </c>
      <c r="M293" t="s">
        <v>1830</v>
      </c>
      <c r="N293">
        <v>2024</v>
      </c>
      <c r="O293" t="s">
        <v>212</v>
      </c>
      <c r="P293" t="s">
        <v>213</v>
      </c>
      <c r="Q293">
        <v>2</v>
      </c>
      <c r="R293">
        <v>4</v>
      </c>
      <c r="S293" t="s">
        <v>3001</v>
      </c>
    </row>
    <row r="294" spans="1:19" x14ac:dyDescent="0.25">
      <c r="A294" t="s">
        <v>1831</v>
      </c>
      <c r="B294" t="s">
        <v>152</v>
      </c>
      <c r="C294" t="s">
        <v>20</v>
      </c>
      <c r="D294" s="2">
        <v>39221</v>
      </c>
      <c r="E294" t="s">
        <v>35</v>
      </c>
      <c r="F294" t="s">
        <v>135</v>
      </c>
      <c r="G294" t="s">
        <v>172</v>
      </c>
      <c r="H294" t="s">
        <v>1832</v>
      </c>
      <c r="I294" t="s">
        <v>25</v>
      </c>
      <c r="J294" t="s">
        <v>25</v>
      </c>
      <c r="K294" t="s">
        <v>1833</v>
      </c>
      <c r="L294" t="s">
        <v>1834</v>
      </c>
      <c r="M294" t="s">
        <v>1835</v>
      </c>
      <c r="N294">
        <v>2024</v>
      </c>
      <c r="O294" t="s">
        <v>105</v>
      </c>
      <c r="P294" t="s">
        <v>106</v>
      </c>
      <c r="Q294">
        <v>2</v>
      </c>
      <c r="R294">
        <v>4</v>
      </c>
      <c r="S294" t="s">
        <v>2908</v>
      </c>
    </row>
    <row r="295" spans="1:19" x14ac:dyDescent="0.25">
      <c r="A295" t="s">
        <v>1836</v>
      </c>
      <c r="B295" t="s">
        <v>334</v>
      </c>
      <c r="C295" t="s">
        <v>134</v>
      </c>
      <c r="D295" s="2">
        <v>36677</v>
      </c>
      <c r="E295" t="s">
        <v>21</v>
      </c>
      <c r="F295" t="s">
        <v>1078</v>
      </c>
      <c r="G295" t="s">
        <v>1837</v>
      </c>
      <c r="H295" t="s">
        <v>1838</v>
      </c>
      <c r="I295" t="s">
        <v>49</v>
      </c>
      <c r="J295" t="s">
        <v>201</v>
      </c>
      <c r="K295" t="s">
        <v>1839</v>
      </c>
      <c r="L295" t="s">
        <v>1840</v>
      </c>
      <c r="M295" t="s">
        <v>1841</v>
      </c>
      <c r="N295">
        <v>2021</v>
      </c>
      <c r="O295" t="s">
        <v>105</v>
      </c>
      <c r="P295" t="s">
        <v>106</v>
      </c>
      <c r="Q295">
        <v>1</v>
      </c>
      <c r="R295">
        <v>2</v>
      </c>
      <c r="S295" t="s">
        <v>2908</v>
      </c>
    </row>
    <row r="296" spans="1:19" x14ac:dyDescent="0.25">
      <c r="A296" t="s">
        <v>1842</v>
      </c>
      <c r="B296" t="s">
        <v>1222</v>
      </c>
      <c r="C296" t="s">
        <v>134</v>
      </c>
      <c r="D296" s="2">
        <v>38759</v>
      </c>
      <c r="E296" t="s">
        <v>109</v>
      </c>
      <c r="F296" t="s">
        <v>1359</v>
      </c>
      <c r="G296" t="s">
        <v>350</v>
      </c>
      <c r="H296" t="s">
        <v>1561</v>
      </c>
      <c r="I296" t="s">
        <v>91</v>
      </c>
      <c r="J296" t="s">
        <v>71</v>
      </c>
      <c r="K296" t="s">
        <v>1843</v>
      </c>
      <c r="L296" t="s">
        <v>1844</v>
      </c>
      <c r="M296" t="s">
        <v>1845</v>
      </c>
      <c r="N296">
        <v>2024</v>
      </c>
      <c r="O296" t="s">
        <v>95</v>
      </c>
      <c r="P296" t="s">
        <v>96</v>
      </c>
      <c r="Q296">
        <v>2</v>
      </c>
      <c r="R296">
        <v>4</v>
      </c>
      <c r="S296" t="s">
        <v>2889</v>
      </c>
    </row>
    <row r="297" spans="1:19" x14ac:dyDescent="0.25">
      <c r="A297" t="s">
        <v>1846</v>
      </c>
      <c r="B297" t="s">
        <v>207</v>
      </c>
      <c r="C297" t="s">
        <v>134</v>
      </c>
      <c r="D297" s="2">
        <v>36328</v>
      </c>
      <c r="E297" t="s">
        <v>145</v>
      </c>
      <c r="F297" t="s">
        <v>672</v>
      </c>
      <c r="G297" t="s">
        <v>1847</v>
      </c>
      <c r="H297" t="s">
        <v>1848</v>
      </c>
      <c r="I297" t="s">
        <v>368</v>
      </c>
      <c r="J297" t="s">
        <v>50</v>
      </c>
      <c r="K297" t="s">
        <v>1849</v>
      </c>
      <c r="L297" t="s">
        <v>1850</v>
      </c>
      <c r="M297" t="s">
        <v>1851</v>
      </c>
      <c r="N297">
        <v>2023</v>
      </c>
      <c r="O297" t="s">
        <v>95</v>
      </c>
      <c r="P297" t="s">
        <v>96</v>
      </c>
      <c r="Q297">
        <v>3</v>
      </c>
      <c r="R297">
        <v>6</v>
      </c>
      <c r="S297" t="s">
        <v>2889</v>
      </c>
    </row>
    <row r="298" spans="1:19" x14ac:dyDescent="0.25">
      <c r="A298" t="s">
        <v>1852</v>
      </c>
      <c r="B298" t="s">
        <v>133</v>
      </c>
      <c r="C298" t="s">
        <v>134</v>
      </c>
      <c r="D298" s="2">
        <v>36596</v>
      </c>
      <c r="E298" t="s">
        <v>67</v>
      </c>
      <c r="F298" t="s">
        <v>402</v>
      </c>
      <c r="G298" t="s">
        <v>444</v>
      </c>
      <c r="H298" t="s">
        <v>1853</v>
      </c>
      <c r="I298" t="s">
        <v>91</v>
      </c>
      <c r="J298" t="s">
        <v>71</v>
      </c>
      <c r="K298" t="s">
        <v>1854</v>
      </c>
      <c r="L298" t="s">
        <v>1855</v>
      </c>
      <c r="M298" t="s">
        <v>1856</v>
      </c>
      <c r="N298">
        <v>2024</v>
      </c>
      <c r="O298" t="s">
        <v>159</v>
      </c>
      <c r="P298" t="s">
        <v>160</v>
      </c>
      <c r="Q298">
        <v>2</v>
      </c>
      <c r="R298">
        <v>4</v>
      </c>
      <c r="S298" t="s">
        <v>2902</v>
      </c>
    </row>
    <row r="299" spans="1:19" x14ac:dyDescent="0.25">
      <c r="A299" t="s">
        <v>1857</v>
      </c>
      <c r="B299" t="s">
        <v>859</v>
      </c>
      <c r="C299" t="s">
        <v>134</v>
      </c>
      <c r="D299" s="2">
        <v>38138</v>
      </c>
      <c r="E299" t="s">
        <v>145</v>
      </c>
      <c r="F299" t="s">
        <v>760</v>
      </c>
      <c r="G299" t="s">
        <v>1785</v>
      </c>
      <c r="H299" t="s">
        <v>1858</v>
      </c>
      <c r="I299" t="s">
        <v>25</v>
      </c>
      <c r="J299" t="s">
        <v>25</v>
      </c>
      <c r="K299" t="s">
        <v>1859</v>
      </c>
      <c r="L299" t="s">
        <v>1860</v>
      </c>
      <c r="M299" t="s">
        <v>1861</v>
      </c>
      <c r="N299">
        <v>2022</v>
      </c>
      <c r="O299" t="s">
        <v>75</v>
      </c>
      <c r="P299" t="s">
        <v>76</v>
      </c>
      <c r="Q299">
        <v>1</v>
      </c>
      <c r="R299">
        <v>2</v>
      </c>
      <c r="S299" t="s">
        <v>2961</v>
      </c>
    </row>
    <row r="300" spans="1:19" x14ac:dyDescent="0.25">
      <c r="A300" t="s">
        <v>1862</v>
      </c>
      <c r="B300" t="s">
        <v>33</v>
      </c>
      <c r="C300" t="s">
        <v>134</v>
      </c>
      <c r="D300" s="2">
        <v>38586</v>
      </c>
      <c r="E300" t="s">
        <v>109</v>
      </c>
      <c r="F300" t="s">
        <v>1673</v>
      </c>
      <c r="G300" t="s">
        <v>292</v>
      </c>
      <c r="H300" t="s">
        <v>1179</v>
      </c>
      <c r="I300" t="s">
        <v>91</v>
      </c>
      <c r="J300" t="s">
        <v>71</v>
      </c>
      <c r="K300" t="s">
        <v>1863</v>
      </c>
      <c r="L300" t="s">
        <v>1864</v>
      </c>
      <c r="M300" t="s">
        <v>1865</v>
      </c>
      <c r="N300">
        <v>2023</v>
      </c>
      <c r="O300" t="s">
        <v>30</v>
      </c>
      <c r="P300" t="s">
        <v>31</v>
      </c>
      <c r="Q300">
        <v>3</v>
      </c>
      <c r="R300">
        <v>6</v>
      </c>
      <c r="S300" t="s">
        <v>2895</v>
      </c>
    </row>
    <row r="301" spans="1:19" x14ac:dyDescent="0.25">
      <c r="A301" t="s">
        <v>1866</v>
      </c>
      <c r="B301" t="s">
        <v>827</v>
      </c>
      <c r="C301" t="s">
        <v>20</v>
      </c>
      <c r="D301" s="2">
        <v>38410</v>
      </c>
      <c r="E301" t="s">
        <v>171</v>
      </c>
      <c r="F301" t="s">
        <v>565</v>
      </c>
      <c r="G301" t="s">
        <v>127</v>
      </c>
      <c r="H301" t="s">
        <v>1867</v>
      </c>
      <c r="I301" t="s">
        <v>200</v>
      </c>
      <c r="J301" t="s">
        <v>40</v>
      </c>
      <c r="K301" t="s">
        <v>1868</v>
      </c>
      <c r="L301" t="s">
        <v>1869</v>
      </c>
      <c r="M301" t="s">
        <v>1870</v>
      </c>
      <c r="N301">
        <v>2024</v>
      </c>
      <c r="O301" t="s">
        <v>95</v>
      </c>
      <c r="P301" t="s">
        <v>96</v>
      </c>
      <c r="Q301">
        <v>2</v>
      </c>
      <c r="R301">
        <v>4</v>
      </c>
      <c r="S301" t="s">
        <v>2889</v>
      </c>
    </row>
    <row r="302" spans="1:19" x14ac:dyDescent="0.25">
      <c r="A302" t="s">
        <v>1871</v>
      </c>
      <c r="B302" t="s">
        <v>424</v>
      </c>
      <c r="C302" t="s">
        <v>134</v>
      </c>
      <c r="D302" s="2">
        <v>38543</v>
      </c>
      <c r="E302" t="s">
        <v>145</v>
      </c>
      <c r="F302" t="s">
        <v>319</v>
      </c>
      <c r="G302" t="s">
        <v>840</v>
      </c>
      <c r="H302" t="s">
        <v>1056</v>
      </c>
      <c r="I302" t="s">
        <v>138</v>
      </c>
      <c r="J302" t="s">
        <v>139</v>
      </c>
      <c r="K302" t="s">
        <v>1872</v>
      </c>
      <c r="L302" t="s">
        <v>1873</v>
      </c>
      <c r="M302" t="s">
        <v>1874</v>
      </c>
      <c r="N302">
        <v>2024</v>
      </c>
      <c r="O302" t="s">
        <v>63</v>
      </c>
      <c r="P302" t="s">
        <v>64</v>
      </c>
      <c r="Q302">
        <v>2</v>
      </c>
      <c r="R302">
        <v>4</v>
      </c>
      <c r="S302" t="s">
        <v>2932</v>
      </c>
    </row>
    <row r="303" spans="1:19" x14ac:dyDescent="0.25">
      <c r="A303" t="s">
        <v>1875</v>
      </c>
      <c r="B303" t="s">
        <v>950</v>
      </c>
      <c r="C303" t="s">
        <v>134</v>
      </c>
      <c r="D303" s="2">
        <v>36723</v>
      </c>
      <c r="E303" t="s">
        <v>21</v>
      </c>
      <c r="F303" t="s">
        <v>320</v>
      </c>
      <c r="G303" t="s">
        <v>1607</v>
      </c>
      <c r="H303" t="s">
        <v>1876</v>
      </c>
      <c r="I303" t="s">
        <v>39</v>
      </c>
      <c r="J303" t="s">
        <v>26</v>
      </c>
      <c r="K303" t="s">
        <v>1877</v>
      </c>
      <c r="L303" t="s">
        <v>1878</v>
      </c>
      <c r="M303" t="s">
        <v>1879</v>
      </c>
      <c r="N303">
        <v>2024</v>
      </c>
      <c r="O303" t="s">
        <v>105</v>
      </c>
      <c r="P303" t="s">
        <v>106</v>
      </c>
      <c r="Q303">
        <v>2</v>
      </c>
      <c r="R303">
        <v>4</v>
      </c>
      <c r="S303" t="s">
        <v>2908</v>
      </c>
    </row>
    <row r="304" spans="1:19" x14ac:dyDescent="0.25">
      <c r="A304" t="s">
        <v>1880</v>
      </c>
      <c r="B304" t="s">
        <v>1881</v>
      </c>
      <c r="C304" t="s">
        <v>20</v>
      </c>
      <c r="D304" s="2">
        <v>36793</v>
      </c>
      <c r="E304" t="s">
        <v>145</v>
      </c>
      <c r="F304" t="s">
        <v>1786</v>
      </c>
      <c r="G304" t="s">
        <v>291</v>
      </c>
      <c r="H304" t="s">
        <v>1882</v>
      </c>
      <c r="I304" t="s">
        <v>200</v>
      </c>
      <c r="J304" t="s">
        <v>40</v>
      </c>
      <c r="K304" t="s">
        <v>1883</v>
      </c>
      <c r="L304" t="s">
        <v>1884</v>
      </c>
      <c r="M304" t="s">
        <v>1885</v>
      </c>
      <c r="N304">
        <v>2021</v>
      </c>
      <c r="O304" t="s">
        <v>95</v>
      </c>
      <c r="P304" t="s">
        <v>96</v>
      </c>
      <c r="Q304">
        <v>1</v>
      </c>
      <c r="R304">
        <v>2</v>
      </c>
      <c r="S304" t="s">
        <v>2889</v>
      </c>
    </row>
    <row r="305" spans="1:19" x14ac:dyDescent="0.25">
      <c r="A305" t="s">
        <v>1886</v>
      </c>
      <c r="B305" t="s">
        <v>1887</v>
      </c>
      <c r="C305" t="s">
        <v>20</v>
      </c>
      <c r="D305" s="2">
        <v>36473</v>
      </c>
      <c r="E305" t="s">
        <v>171</v>
      </c>
      <c r="F305" t="s">
        <v>1560</v>
      </c>
      <c r="G305" t="s">
        <v>609</v>
      </c>
      <c r="H305" t="s">
        <v>1888</v>
      </c>
      <c r="I305" t="s">
        <v>138</v>
      </c>
      <c r="J305" t="s">
        <v>139</v>
      </c>
      <c r="K305" t="s">
        <v>1889</v>
      </c>
      <c r="L305" t="s">
        <v>1890</v>
      </c>
      <c r="M305" t="s">
        <v>1891</v>
      </c>
      <c r="N305">
        <v>2022</v>
      </c>
      <c r="O305" t="s">
        <v>105</v>
      </c>
      <c r="P305" t="s">
        <v>106</v>
      </c>
      <c r="Q305">
        <v>1</v>
      </c>
      <c r="R305">
        <v>2</v>
      </c>
      <c r="S305" t="s">
        <v>2908</v>
      </c>
    </row>
    <row r="306" spans="1:19" x14ac:dyDescent="0.25">
      <c r="A306" t="s">
        <v>1892</v>
      </c>
      <c r="B306" t="s">
        <v>394</v>
      </c>
      <c r="C306" t="s">
        <v>20</v>
      </c>
      <c r="D306" s="2">
        <v>37990</v>
      </c>
      <c r="E306" t="s">
        <v>35</v>
      </c>
      <c r="F306" t="s">
        <v>1277</v>
      </c>
      <c r="G306" t="s">
        <v>517</v>
      </c>
      <c r="H306" t="s">
        <v>1893</v>
      </c>
      <c r="I306" t="s">
        <v>138</v>
      </c>
      <c r="J306" t="s">
        <v>139</v>
      </c>
      <c r="K306" t="s">
        <v>1894</v>
      </c>
      <c r="L306" t="s">
        <v>1895</v>
      </c>
      <c r="M306" t="s">
        <v>1896</v>
      </c>
      <c r="N306">
        <v>2022</v>
      </c>
      <c r="O306" t="s">
        <v>63</v>
      </c>
      <c r="P306" t="s">
        <v>64</v>
      </c>
      <c r="Q306">
        <v>1</v>
      </c>
      <c r="R306">
        <v>2</v>
      </c>
      <c r="S306" t="s">
        <v>2932</v>
      </c>
    </row>
    <row r="307" spans="1:19" x14ac:dyDescent="0.25">
      <c r="A307" t="s">
        <v>1897</v>
      </c>
      <c r="B307" t="s">
        <v>1189</v>
      </c>
      <c r="C307" t="s">
        <v>134</v>
      </c>
      <c r="D307" s="2">
        <v>37888</v>
      </c>
      <c r="E307" t="s">
        <v>145</v>
      </c>
      <c r="F307" t="s">
        <v>1641</v>
      </c>
      <c r="G307" t="s">
        <v>949</v>
      </c>
      <c r="H307" t="s">
        <v>1898</v>
      </c>
      <c r="I307" t="s">
        <v>91</v>
      </c>
      <c r="J307" t="s">
        <v>71</v>
      </c>
      <c r="K307" t="s">
        <v>1899</v>
      </c>
      <c r="L307" t="s">
        <v>1900</v>
      </c>
      <c r="M307" t="s">
        <v>1901</v>
      </c>
      <c r="N307">
        <v>2022</v>
      </c>
      <c r="O307" t="s">
        <v>95</v>
      </c>
      <c r="P307" t="s">
        <v>96</v>
      </c>
      <c r="Q307">
        <v>1</v>
      </c>
      <c r="R307">
        <v>2</v>
      </c>
      <c r="S307" t="s">
        <v>2889</v>
      </c>
    </row>
    <row r="308" spans="1:19" x14ac:dyDescent="0.25">
      <c r="A308" t="s">
        <v>1902</v>
      </c>
      <c r="B308" t="s">
        <v>558</v>
      </c>
      <c r="C308" t="s">
        <v>134</v>
      </c>
      <c r="D308" s="2">
        <v>36641</v>
      </c>
      <c r="E308" t="s">
        <v>21</v>
      </c>
      <c r="F308" t="s">
        <v>847</v>
      </c>
      <c r="G308" t="s">
        <v>127</v>
      </c>
      <c r="H308" t="s">
        <v>1903</v>
      </c>
      <c r="I308" t="s">
        <v>49</v>
      </c>
      <c r="J308" t="s">
        <v>201</v>
      </c>
      <c r="K308" t="s">
        <v>1904</v>
      </c>
      <c r="L308" t="s">
        <v>1905</v>
      </c>
      <c r="M308" t="s">
        <v>1906</v>
      </c>
      <c r="N308">
        <v>2024</v>
      </c>
      <c r="O308" t="s">
        <v>30</v>
      </c>
      <c r="P308" t="s">
        <v>31</v>
      </c>
      <c r="Q308">
        <v>2</v>
      </c>
      <c r="R308">
        <v>4</v>
      </c>
      <c r="S308" t="s">
        <v>2895</v>
      </c>
    </row>
    <row r="309" spans="1:19" x14ac:dyDescent="0.25">
      <c r="A309" t="s">
        <v>1907</v>
      </c>
      <c r="B309" t="s">
        <v>839</v>
      </c>
      <c r="C309" t="s">
        <v>20</v>
      </c>
      <c r="D309" s="2">
        <v>36215</v>
      </c>
      <c r="E309" t="s">
        <v>21</v>
      </c>
      <c r="F309" t="s">
        <v>290</v>
      </c>
      <c r="G309" t="s">
        <v>981</v>
      </c>
      <c r="H309" t="s">
        <v>1908</v>
      </c>
      <c r="I309" t="s">
        <v>138</v>
      </c>
      <c r="J309" t="s">
        <v>139</v>
      </c>
      <c r="K309" t="s">
        <v>1909</v>
      </c>
      <c r="L309" t="s">
        <v>1910</v>
      </c>
      <c r="M309" t="s">
        <v>1911</v>
      </c>
      <c r="N309">
        <v>2021</v>
      </c>
      <c r="O309" t="s">
        <v>95</v>
      </c>
      <c r="P309" t="s">
        <v>96</v>
      </c>
      <c r="Q309">
        <v>1</v>
      </c>
      <c r="R309">
        <v>2</v>
      </c>
      <c r="S309" t="s">
        <v>2889</v>
      </c>
    </row>
    <row r="310" spans="1:19" x14ac:dyDescent="0.25">
      <c r="A310" t="s">
        <v>1912</v>
      </c>
      <c r="B310" t="s">
        <v>284</v>
      </c>
      <c r="C310" t="s">
        <v>134</v>
      </c>
      <c r="D310" s="2">
        <v>38451</v>
      </c>
      <c r="E310" t="s">
        <v>35</v>
      </c>
      <c r="F310" t="s">
        <v>1607</v>
      </c>
      <c r="G310" t="s">
        <v>678</v>
      </c>
      <c r="H310" t="s">
        <v>1913</v>
      </c>
      <c r="I310" t="s">
        <v>82</v>
      </c>
      <c r="J310" t="s">
        <v>175</v>
      </c>
      <c r="K310" t="s">
        <v>1914</v>
      </c>
      <c r="L310" t="s">
        <v>1915</v>
      </c>
      <c r="M310" t="s">
        <v>1916</v>
      </c>
      <c r="N310">
        <v>2022</v>
      </c>
      <c r="O310" t="s">
        <v>75</v>
      </c>
      <c r="P310" t="s">
        <v>76</v>
      </c>
      <c r="Q310">
        <v>1</v>
      </c>
      <c r="R310">
        <v>2</v>
      </c>
      <c r="S310" t="s">
        <v>2961</v>
      </c>
    </row>
    <row r="311" spans="1:19" x14ac:dyDescent="0.25">
      <c r="A311" t="s">
        <v>1917</v>
      </c>
      <c r="B311" t="s">
        <v>478</v>
      </c>
      <c r="C311" t="s">
        <v>134</v>
      </c>
      <c r="D311" s="2">
        <v>38496</v>
      </c>
      <c r="E311" t="s">
        <v>35</v>
      </c>
      <c r="F311" t="s">
        <v>270</v>
      </c>
      <c r="G311" t="s">
        <v>1206</v>
      </c>
      <c r="H311" t="s">
        <v>1918</v>
      </c>
      <c r="I311" t="s">
        <v>39</v>
      </c>
      <c r="J311" t="s">
        <v>26</v>
      </c>
      <c r="K311" t="s">
        <v>1919</v>
      </c>
      <c r="L311" t="s">
        <v>1920</v>
      </c>
      <c r="M311" t="s">
        <v>1921</v>
      </c>
      <c r="N311">
        <v>2024</v>
      </c>
      <c r="O311" t="s">
        <v>212</v>
      </c>
      <c r="P311" t="s">
        <v>213</v>
      </c>
      <c r="Q311">
        <v>2</v>
      </c>
      <c r="R311">
        <v>4</v>
      </c>
      <c r="S311" t="s">
        <v>3001</v>
      </c>
    </row>
    <row r="312" spans="1:19" x14ac:dyDescent="0.25">
      <c r="A312" t="s">
        <v>1922</v>
      </c>
      <c r="B312" t="s">
        <v>270</v>
      </c>
      <c r="C312" t="s">
        <v>20</v>
      </c>
      <c r="D312" s="2">
        <v>36821</v>
      </c>
      <c r="E312" t="s">
        <v>145</v>
      </c>
      <c r="F312" t="s">
        <v>402</v>
      </c>
      <c r="G312" t="s">
        <v>276</v>
      </c>
      <c r="H312" t="s">
        <v>1923</v>
      </c>
      <c r="I312" t="s">
        <v>91</v>
      </c>
      <c r="J312" t="s">
        <v>71</v>
      </c>
      <c r="K312" t="s">
        <v>1924</v>
      </c>
      <c r="L312" t="s">
        <v>1925</v>
      </c>
      <c r="M312" t="s">
        <v>1926</v>
      </c>
      <c r="N312">
        <v>2022</v>
      </c>
      <c r="O312" t="s">
        <v>159</v>
      </c>
      <c r="P312" t="s">
        <v>160</v>
      </c>
      <c r="Q312">
        <v>1</v>
      </c>
      <c r="R312">
        <v>2</v>
      </c>
      <c r="S312" t="s">
        <v>2902</v>
      </c>
    </row>
    <row r="313" spans="1:19" x14ac:dyDescent="0.25">
      <c r="A313" t="s">
        <v>1927</v>
      </c>
      <c r="B313" t="s">
        <v>393</v>
      </c>
      <c r="C313" t="s">
        <v>134</v>
      </c>
      <c r="D313" s="2">
        <v>38198</v>
      </c>
      <c r="E313" t="s">
        <v>196</v>
      </c>
      <c r="F313" t="s">
        <v>80</v>
      </c>
      <c r="G313" t="s">
        <v>528</v>
      </c>
      <c r="H313" t="s">
        <v>1928</v>
      </c>
      <c r="I313" t="s">
        <v>39</v>
      </c>
      <c r="J313" t="s">
        <v>26</v>
      </c>
      <c r="K313" t="s">
        <v>1929</v>
      </c>
      <c r="L313" t="s">
        <v>1930</v>
      </c>
      <c r="M313" t="s">
        <v>1931</v>
      </c>
      <c r="N313">
        <v>2023</v>
      </c>
      <c r="O313" t="s">
        <v>122</v>
      </c>
      <c r="P313" t="s">
        <v>123</v>
      </c>
      <c r="Q313">
        <v>3</v>
      </c>
      <c r="R313">
        <v>6</v>
      </c>
      <c r="S313" t="s">
        <v>2919</v>
      </c>
    </row>
    <row r="314" spans="1:19" x14ac:dyDescent="0.25">
      <c r="A314" t="s">
        <v>1932</v>
      </c>
      <c r="B314" t="s">
        <v>1741</v>
      </c>
      <c r="C314" t="s">
        <v>20</v>
      </c>
      <c r="D314" s="2">
        <v>38948</v>
      </c>
      <c r="E314" t="s">
        <v>21</v>
      </c>
      <c r="F314" t="s">
        <v>840</v>
      </c>
      <c r="G314" t="s">
        <v>229</v>
      </c>
      <c r="H314" t="s">
        <v>1933</v>
      </c>
      <c r="I314" t="s">
        <v>39</v>
      </c>
      <c r="J314" t="s">
        <v>26</v>
      </c>
      <c r="K314" t="s">
        <v>1934</v>
      </c>
      <c r="L314" t="s">
        <v>1935</v>
      </c>
      <c r="M314" t="s">
        <v>1936</v>
      </c>
      <c r="N314">
        <v>2024</v>
      </c>
      <c r="O314" t="s">
        <v>159</v>
      </c>
      <c r="P314" t="s">
        <v>160</v>
      </c>
      <c r="Q314">
        <v>2</v>
      </c>
      <c r="R314">
        <v>4</v>
      </c>
      <c r="S314" t="s">
        <v>2902</v>
      </c>
    </row>
    <row r="315" spans="1:19" x14ac:dyDescent="0.25">
      <c r="A315" t="s">
        <v>1937</v>
      </c>
      <c r="B315" t="s">
        <v>1162</v>
      </c>
      <c r="C315" t="s">
        <v>20</v>
      </c>
      <c r="D315" s="2">
        <v>38792</v>
      </c>
      <c r="E315" t="s">
        <v>171</v>
      </c>
      <c r="F315" t="s">
        <v>452</v>
      </c>
      <c r="G315" t="s">
        <v>334</v>
      </c>
      <c r="H315" t="s">
        <v>1938</v>
      </c>
      <c r="I315" t="s">
        <v>82</v>
      </c>
      <c r="J315" t="s">
        <v>175</v>
      </c>
      <c r="K315" t="s">
        <v>1939</v>
      </c>
      <c r="L315" t="s">
        <v>1940</v>
      </c>
      <c r="M315" t="s">
        <v>1941</v>
      </c>
      <c r="N315">
        <v>2023</v>
      </c>
      <c r="O315" t="s">
        <v>63</v>
      </c>
      <c r="P315" t="s">
        <v>64</v>
      </c>
      <c r="Q315">
        <v>3</v>
      </c>
      <c r="R315">
        <v>6</v>
      </c>
      <c r="S315" t="s">
        <v>2932</v>
      </c>
    </row>
    <row r="316" spans="1:19" x14ac:dyDescent="0.25">
      <c r="A316" t="s">
        <v>1942</v>
      </c>
      <c r="B316" t="s">
        <v>56</v>
      </c>
      <c r="C316" t="s">
        <v>134</v>
      </c>
      <c r="D316" s="2">
        <v>37027</v>
      </c>
      <c r="E316" t="s">
        <v>21</v>
      </c>
      <c r="F316" t="s">
        <v>966</v>
      </c>
      <c r="G316" t="s">
        <v>1043</v>
      </c>
      <c r="H316" t="s">
        <v>1943</v>
      </c>
      <c r="I316" t="s">
        <v>138</v>
      </c>
      <c r="J316" t="s">
        <v>139</v>
      </c>
      <c r="K316" t="s">
        <v>1944</v>
      </c>
      <c r="L316" t="s">
        <v>1945</v>
      </c>
      <c r="M316" t="s">
        <v>1946</v>
      </c>
      <c r="N316">
        <v>2024</v>
      </c>
      <c r="O316" t="s">
        <v>105</v>
      </c>
      <c r="P316" t="s">
        <v>106</v>
      </c>
      <c r="Q316">
        <v>2</v>
      </c>
      <c r="R316">
        <v>4</v>
      </c>
      <c r="S316" t="s">
        <v>2908</v>
      </c>
    </row>
    <row r="317" spans="1:19" x14ac:dyDescent="0.25">
      <c r="A317" t="s">
        <v>1947</v>
      </c>
      <c r="B317" t="s">
        <v>544</v>
      </c>
      <c r="C317" t="s">
        <v>20</v>
      </c>
      <c r="D317" s="2">
        <v>38999</v>
      </c>
      <c r="E317" t="s">
        <v>109</v>
      </c>
      <c r="F317" t="s">
        <v>133</v>
      </c>
      <c r="G317" t="s">
        <v>1948</v>
      </c>
      <c r="H317" t="s">
        <v>1949</v>
      </c>
      <c r="I317" t="s">
        <v>138</v>
      </c>
      <c r="J317" t="s">
        <v>139</v>
      </c>
      <c r="K317" t="s">
        <v>1950</v>
      </c>
      <c r="L317" t="s">
        <v>1951</v>
      </c>
      <c r="M317" t="s">
        <v>1952</v>
      </c>
      <c r="N317">
        <v>2024</v>
      </c>
      <c r="O317" t="s">
        <v>159</v>
      </c>
      <c r="P317" t="s">
        <v>160</v>
      </c>
      <c r="Q317">
        <v>2</v>
      </c>
      <c r="R317">
        <v>4</v>
      </c>
      <c r="S317" t="s">
        <v>2902</v>
      </c>
    </row>
    <row r="318" spans="1:19" x14ac:dyDescent="0.25">
      <c r="A318" t="s">
        <v>1953</v>
      </c>
      <c r="B318" t="s">
        <v>116</v>
      </c>
      <c r="C318" t="s">
        <v>134</v>
      </c>
      <c r="D318" s="2">
        <v>36929</v>
      </c>
      <c r="E318" t="s">
        <v>196</v>
      </c>
      <c r="F318" t="s">
        <v>811</v>
      </c>
      <c r="G318" t="s">
        <v>1322</v>
      </c>
      <c r="H318" t="s">
        <v>1954</v>
      </c>
      <c r="I318" t="s">
        <v>49</v>
      </c>
      <c r="J318" t="s">
        <v>201</v>
      </c>
      <c r="K318" t="s">
        <v>1955</v>
      </c>
      <c r="L318" t="s">
        <v>1956</v>
      </c>
      <c r="M318" t="s">
        <v>1957</v>
      </c>
      <c r="N318">
        <v>2022</v>
      </c>
      <c r="O318" t="s">
        <v>212</v>
      </c>
      <c r="P318" t="s">
        <v>213</v>
      </c>
      <c r="Q318">
        <v>1</v>
      </c>
      <c r="R318">
        <v>2</v>
      </c>
      <c r="S318" t="s">
        <v>3001</v>
      </c>
    </row>
    <row r="319" spans="1:19" x14ac:dyDescent="0.25">
      <c r="A319" t="s">
        <v>1958</v>
      </c>
      <c r="B319" t="s">
        <v>221</v>
      </c>
      <c r="C319" t="s">
        <v>134</v>
      </c>
      <c r="D319" s="2">
        <v>38425</v>
      </c>
      <c r="E319" t="s">
        <v>109</v>
      </c>
      <c r="F319" t="s">
        <v>930</v>
      </c>
      <c r="G319" t="s">
        <v>1429</v>
      </c>
      <c r="H319" t="s">
        <v>1959</v>
      </c>
      <c r="I319" t="s">
        <v>25</v>
      </c>
      <c r="J319" t="s">
        <v>25</v>
      </c>
      <c r="K319" t="s">
        <v>1960</v>
      </c>
      <c r="L319" t="s">
        <v>1961</v>
      </c>
      <c r="M319" t="s">
        <v>1962</v>
      </c>
      <c r="N319">
        <v>2023</v>
      </c>
      <c r="O319" t="s">
        <v>63</v>
      </c>
      <c r="P319" t="s">
        <v>64</v>
      </c>
      <c r="Q319">
        <v>3</v>
      </c>
      <c r="R319">
        <v>6</v>
      </c>
      <c r="S319" t="s">
        <v>2932</v>
      </c>
    </row>
    <row r="320" spans="1:19" x14ac:dyDescent="0.25">
      <c r="A320" t="s">
        <v>1963</v>
      </c>
      <c r="B320" t="s">
        <v>712</v>
      </c>
      <c r="C320" t="s">
        <v>20</v>
      </c>
      <c r="D320" s="2">
        <v>38420</v>
      </c>
      <c r="E320" t="s">
        <v>196</v>
      </c>
      <c r="F320" t="s">
        <v>608</v>
      </c>
      <c r="G320" t="s">
        <v>1964</v>
      </c>
      <c r="H320" t="s">
        <v>1965</v>
      </c>
      <c r="I320" t="s">
        <v>368</v>
      </c>
      <c r="J320" t="s">
        <v>50</v>
      </c>
      <c r="K320" t="s">
        <v>1966</v>
      </c>
      <c r="L320" t="s">
        <v>1967</v>
      </c>
      <c r="M320" t="s">
        <v>1968</v>
      </c>
      <c r="N320">
        <v>2021</v>
      </c>
      <c r="O320" t="s">
        <v>105</v>
      </c>
      <c r="P320" t="s">
        <v>106</v>
      </c>
      <c r="Q320">
        <v>1</v>
      </c>
      <c r="R320">
        <v>2</v>
      </c>
      <c r="S320" t="s">
        <v>2908</v>
      </c>
    </row>
    <row r="321" spans="1:19" x14ac:dyDescent="0.25">
      <c r="A321" t="s">
        <v>1969</v>
      </c>
      <c r="B321" t="s">
        <v>923</v>
      </c>
      <c r="C321" t="s">
        <v>20</v>
      </c>
      <c r="D321" s="2">
        <v>39197</v>
      </c>
      <c r="E321" t="s">
        <v>171</v>
      </c>
      <c r="F321" t="s">
        <v>1560</v>
      </c>
      <c r="G321" t="s">
        <v>394</v>
      </c>
      <c r="H321" t="s">
        <v>1970</v>
      </c>
      <c r="I321" t="s">
        <v>82</v>
      </c>
      <c r="J321" t="s">
        <v>175</v>
      </c>
      <c r="K321" t="s">
        <v>1971</v>
      </c>
      <c r="L321" t="s">
        <v>1972</v>
      </c>
      <c r="M321" t="s">
        <v>1973</v>
      </c>
      <c r="N321">
        <v>2023</v>
      </c>
      <c r="O321" t="s">
        <v>105</v>
      </c>
      <c r="P321" t="s">
        <v>106</v>
      </c>
      <c r="Q321">
        <v>3</v>
      </c>
      <c r="R321">
        <v>6</v>
      </c>
      <c r="S321" t="s">
        <v>2908</v>
      </c>
    </row>
    <row r="322" spans="1:19" x14ac:dyDescent="0.25">
      <c r="A322" t="s">
        <v>1974</v>
      </c>
      <c r="B322" t="s">
        <v>437</v>
      </c>
      <c r="C322" t="s">
        <v>134</v>
      </c>
      <c r="D322" s="2">
        <v>36543</v>
      </c>
      <c r="E322" t="s">
        <v>196</v>
      </c>
      <c r="F322" t="s">
        <v>46</v>
      </c>
      <c r="G322" t="s">
        <v>761</v>
      </c>
      <c r="H322" t="s">
        <v>1975</v>
      </c>
      <c r="I322" t="s">
        <v>39</v>
      </c>
      <c r="J322" t="s">
        <v>26</v>
      </c>
      <c r="K322" t="s">
        <v>1976</v>
      </c>
      <c r="L322" t="s">
        <v>1977</v>
      </c>
      <c r="M322" t="s">
        <v>1978</v>
      </c>
      <c r="N322">
        <v>2022</v>
      </c>
      <c r="O322" t="s">
        <v>75</v>
      </c>
      <c r="P322" t="s">
        <v>76</v>
      </c>
      <c r="Q322">
        <v>1</v>
      </c>
      <c r="R322">
        <v>2</v>
      </c>
      <c r="S322" t="s">
        <v>2961</v>
      </c>
    </row>
    <row r="323" spans="1:19" x14ac:dyDescent="0.25">
      <c r="A323" t="s">
        <v>1979</v>
      </c>
      <c r="B323" t="s">
        <v>198</v>
      </c>
      <c r="C323" t="s">
        <v>134</v>
      </c>
      <c r="D323" s="2">
        <v>36615</v>
      </c>
      <c r="E323" t="s">
        <v>196</v>
      </c>
      <c r="F323" t="s">
        <v>336</v>
      </c>
      <c r="G323" t="s">
        <v>334</v>
      </c>
      <c r="H323" t="s">
        <v>1980</v>
      </c>
      <c r="I323" t="s">
        <v>138</v>
      </c>
      <c r="J323" t="s">
        <v>139</v>
      </c>
      <c r="K323" t="s">
        <v>1981</v>
      </c>
      <c r="L323" t="s">
        <v>1982</v>
      </c>
      <c r="M323" t="s">
        <v>1983</v>
      </c>
      <c r="N323">
        <v>2022</v>
      </c>
      <c r="O323" t="s">
        <v>75</v>
      </c>
      <c r="P323" t="s">
        <v>76</v>
      </c>
      <c r="Q323">
        <v>1</v>
      </c>
      <c r="R323">
        <v>2</v>
      </c>
      <c r="S323" t="s">
        <v>2961</v>
      </c>
    </row>
    <row r="324" spans="1:19" x14ac:dyDescent="0.25">
      <c r="A324" t="s">
        <v>1984</v>
      </c>
      <c r="B324" t="s">
        <v>609</v>
      </c>
      <c r="C324" t="s">
        <v>20</v>
      </c>
      <c r="D324" s="2">
        <v>38143</v>
      </c>
      <c r="E324" t="s">
        <v>21</v>
      </c>
      <c r="F324" t="s">
        <v>1985</v>
      </c>
      <c r="G324" t="s">
        <v>936</v>
      </c>
      <c r="H324" t="s">
        <v>1986</v>
      </c>
      <c r="I324" t="s">
        <v>91</v>
      </c>
      <c r="J324" t="s">
        <v>71</v>
      </c>
      <c r="K324" t="s">
        <v>1987</v>
      </c>
      <c r="L324" t="s">
        <v>1988</v>
      </c>
      <c r="M324" t="s">
        <v>1989</v>
      </c>
      <c r="N324">
        <v>2024</v>
      </c>
      <c r="O324" t="s">
        <v>63</v>
      </c>
      <c r="P324" t="s">
        <v>64</v>
      </c>
      <c r="Q324">
        <v>2</v>
      </c>
      <c r="R324">
        <v>4</v>
      </c>
      <c r="S324" t="s">
        <v>2932</v>
      </c>
    </row>
    <row r="325" spans="1:19" x14ac:dyDescent="0.25">
      <c r="A325" t="s">
        <v>1990</v>
      </c>
      <c r="B325" t="s">
        <v>1991</v>
      </c>
      <c r="C325" t="s">
        <v>134</v>
      </c>
      <c r="D325" s="2">
        <v>37185</v>
      </c>
      <c r="E325" t="s">
        <v>35</v>
      </c>
      <c r="F325" t="s">
        <v>734</v>
      </c>
      <c r="G325" t="s">
        <v>1847</v>
      </c>
      <c r="H325" t="s">
        <v>1992</v>
      </c>
      <c r="I325" t="s">
        <v>25</v>
      </c>
      <c r="J325" t="s">
        <v>25</v>
      </c>
      <c r="K325" t="s">
        <v>1993</v>
      </c>
      <c r="L325" t="s">
        <v>1994</v>
      </c>
      <c r="M325" t="s">
        <v>1995</v>
      </c>
      <c r="N325">
        <v>2023</v>
      </c>
      <c r="O325" t="s">
        <v>63</v>
      </c>
      <c r="P325" t="s">
        <v>64</v>
      </c>
      <c r="Q325">
        <v>3</v>
      </c>
      <c r="R325">
        <v>6</v>
      </c>
      <c r="S325" t="s">
        <v>2932</v>
      </c>
    </row>
    <row r="326" spans="1:19" x14ac:dyDescent="0.25">
      <c r="A326" t="s">
        <v>1996</v>
      </c>
      <c r="B326" t="s">
        <v>1123</v>
      </c>
      <c r="C326" t="s">
        <v>134</v>
      </c>
      <c r="D326" s="2">
        <v>38333</v>
      </c>
      <c r="E326" t="s">
        <v>196</v>
      </c>
      <c r="F326" t="s">
        <v>1997</v>
      </c>
      <c r="G326" t="s">
        <v>551</v>
      </c>
      <c r="H326" t="s">
        <v>1998</v>
      </c>
      <c r="I326" t="s">
        <v>138</v>
      </c>
      <c r="J326" t="s">
        <v>139</v>
      </c>
      <c r="K326" t="s">
        <v>1999</v>
      </c>
      <c r="L326" t="s">
        <v>2000</v>
      </c>
      <c r="M326" t="s">
        <v>2001</v>
      </c>
      <c r="N326">
        <v>2023</v>
      </c>
      <c r="O326" t="s">
        <v>159</v>
      </c>
      <c r="P326" t="s">
        <v>160</v>
      </c>
      <c r="Q326">
        <v>3</v>
      </c>
      <c r="R326">
        <v>6</v>
      </c>
      <c r="S326" t="s">
        <v>2902</v>
      </c>
    </row>
    <row r="327" spans="1:19" x14ac:dyDescent="0.25">
      <c r="A327" t="s">
        <v>2002</v>
      </c>
      <c r="B327" t="s">
        <v>630</v>
      </c>
      <c r="C327" t="s">
        <v>20</v>
      </c>
      <c r="D327" s="2">
        <v>38955</v>
      </c>
      <c r="E327" t="s">
        <v>35</v>
      </c>
      <c r="F327" t="s">
        <v>299</v>
      </c>
      <c r="G327" t="s">
        <v>834</v>
      </c>
      <c r="H327" t="s">
        <v>2003</v>
      </c>
      <c r="I327" t="s">
        <v>368</v>
      </c>
      <c r="J327" t="s">
        <v>50</v>
      </c>
      <c r="K327" t="s">
        <v>2004</v>
      </c>
      <c r="L327" t="s">
        <v>2005</v>
      </c>
      <c r="M327" t="s">
        <v>2006</v>
      </c>
      <c r="N327">
        <v>2021</v>
      </c>
      <c r="O327" t="s">
        <v>30</v>
      </c>
      <c r="P327" t="s">
        <v>31</v>
      </c>
      <c r="Q327">
        <v>1</v>
      </c>
      <c r="R327">
        <v>2</v>
      </c>
      <c r="S327" t="s">
        <v>2895</v>
      </c>
    </row>
    <row r="328" spans="1:19" x14ac:dyDescent="0.25">
      <c r="A328" t="s">
        <v>2007</v>
      </c>
      <c r="B328" t="s">
        <v>796</v>
      </c>
      <c r="C328" t="s">
        <v>134</v>
      </c>
      <c r="D328" s="2">
        <v>38085</v>
      </c>
      <c r="E328" t="s">
        <v>145</v>
      </c>
      <c r="F328" t="s">
        <v>797</v>
      </c>
      <c r="G328" t="s">
        <v>1553</v>
      </c>
      <c r="H328" t="s">
        <v>2008</v>
      </c>
      <c r="I328" t="s">
        <v>82</v>
      </c>
      <c r="J328" t="s">
        <v>175</v>
      </c>
      <c r="K328" t="s">
        <v>2009</v>
      </c>
      <c r="L328" t="s">
        <v>2010</v>
      </c>
      <c r="M328" t="s">
        <v>2011</v>
      </c>
      <c r="N328">
        <v>2022</v>
      </c>
      <c r="O328" t="s">
        <v>159</v>
      </c>
      <c r="P328" t="s">
        <v>160</v>
      </c>
      <c r="Q328">
        <v>1</v>
      </c>
      <c r="R328">
        <v>2</v>
      </c>
      <c r="S328" t="s">
        <v>2902</v>
      </c>
    </row>
    <row r="329" spans="1:19" x14ac:dyDescent="0.25">
      <c r="A329" t="s">
        <v>2012</v>
      </c>
      <c r="B329" t="s">
        <v>1151</v>
      </c>
      <c r="C329" t="s">
        <v>20</v>
      </c>
      <c r="D329" s="2">
        <v>38362</v>
      </c>
      <c r="E329" t="s">
        <v>35</v>
      </c>
      <c r="F329" t="s">
        <v>564</v>
      </c>
      <c r="G329" t="s">
        <v>966</v>
      </c>
      <c r="H329" t="s">
        <v>2013</v>
      </c>
      <c r="I329" t="s">
        <v>200</v>
      </c>
      <c r="J329" t="s">
        <v>40</v>
      </c>
      <c r="K329" t="s">
        <v>2014</v>
      </c>
      <c r="L329" t="s">
        <v>2015</v>
      </c>
      <c r="M329" t="s">
        <v>2016</v>
      </c>
      <c r="N329">
        <v>2022</v>
      </c>
      <c r="O329" t="s">
        <v>212</v>
      </c>
      <c r="P329" t="s">
        <v>213</v>
      </c>
      <c r="Q329">
        <v>1</v>
      </c>
      <c r="R329">
        <v>2</v>
      </c>
      <c r="S329" t="s">
        <v>3001</v>
      </c>
    </row>
    <row r="330" spans="1:19" x14ac:dyDescent="0.25">
      <c r="A330" t="s">
        <v>2017</v>
      </c>
      <c r="B330" t="s">
        <v>223</v>
      </c>
      <c r="C330" t="s">
        <v>20</v>
      </c>
      <c r="D330" s="2">
        <v>37479</v>
      </c>
      <c r="E330" t="s">
        <v>171</v>
      </c>
      <c r="F330" t="s">
        <v>949</v>
      </c>
      <c r="G330" t="s">
        <v>56</v>
      </c>
      <c r="H330" t="s">
        <v>2018</v>
      </c>
      <c r="I330" t="s">
        <v>39</v>
      </c>
      <c r="J330" t="s">
        <v>26</v>
      </c>
      <c r="K330" t="s">
        <v>2019</v>
      </c>
      <c r="L330" t="s">
        <v>2020</v>
      </c>
      <c r="M330" t="s">
        <v>2021</v>
      </c>
      <c r="N330">
        <v>2023</v>
      </c>
      <c r="O330" t="s">
        <v>212</v>
      </c>
      <c r="P330" t="s">
        <v>213</v>
      </c>
      <c r="Q330">
        <v>3</v>
      </c>
      <c r="R330">
        <v>6</v>
      </c>
      <c r="S330" t="s">
        <v>3001</v>
      </c>
    </row>
    <row r="331" spans="1:19" x14ac:dyDescent="0.25">
      <c r="A331" t="s">
        <v>2022</v>
      </c>
      <c r="B331" t="s">
        <v>98</v>
      </c>
      <c r="C331" t="s">
        <v>134</v>
      </c>
      <c r="D331" s="2">
        <v>36593</v>
      </c>
      <c r="E331" t="s">
        <v>67</v>
      </c>
      <c r="F331" t="s">
        <v>471</v>
      </c>
      <c r="G331" t="s">
        <v>644</v>
      </c>
      <c r="H331" t="s">
        <v>2023</v>
      </c>
      <c r="I331" t="s">
        <v>91</v>
      </c>
      <c r="J331" t="s">
        <v>71</v>
      </c>
      <c r="K331" t="s">
        <v>2024</v>
      </c>
      <c r="L331" t="s">
        <v>2025</v>
      </c>
      <c r="M331" t="s">
        <v>2026</v>
      </c>
      <c r="N331">
        <v>2021</v>
      </c>
      <c r="O331" t="s">
        <v>159</v>
      </c>
      <c r="P331" t="s">
        <v>160</v>
      </c>
      <c r="Q331">
        <v>1</v>
      </c>
      <c r="R331">
        <v>2</v>
      </c>
      <c r="S331" t="s">
        <v>2902</v>
      </c>
    </row>
    <row r="332" spans="1:19" x14ac:dyDescent="0.25">
      <c r="A332" t="s">
        <v>2027</v>
      </c>
      <c r="B332" t="s">
        <v>1997</v>
      </c>
      <c r="C332" t="s">
        <v>134</v>
      </c>
      <c r="D332" s="2">
        <v>36777</v>
      </c>
      <c r="E332" t="s">
        <v>35</v>
      </c>
      <c r="F332" t="s">
        <v>306</v>
      </c>
      <c r="G332" t="s">
        <v>760</v>
      </c>
      <c r="H332" t="s">
        <v>2028</v>
      </c>
      <c r="I332" t="s">
        <v>25</v>
      </c>
      <c r="J332" t="s">
        <v>25</v>
      </c>
      <c r="K332" t="s">
        <v>2029</v>
      </c>
      <c r="L332" t="s">
        <v>2030</v>
      </c>
      <c r="M332" t="s">
        <v>2031</v>
      </c>
      <c r="N332">
        <v>2023</v>
      </c>
      <c r="O332" t="s">
        <v>95</v>
      </c>
      <c r="P332" t="s">
        <v>96</v>
      </c>
      <c r="Q332">
        <v>3</v>
      </c>
      <c r="R332">
        <v>6</v>
      </c>
      <c r="S332" t="s">
        <v>2889</v>
      </c>
    </row>
    <row r="333" spans="1:19" x14ac:dyDescent="0.25">
      <c r="A333" t="s">
        <v>2032</v>
      </c>
      <c r="B333" t="s">
        <v>45</v>
      </c>
      <c r="C333" t="s">
        <v>134</v>
      </c>
      <c r="D333" s="2">
        <v>37289</v>
      </c>
      <c r="E333" t="s">
        <v>145</v>
      </c>
      <c r="F333" t="s">
        <v>980</v>
      </c>
      <c r="G333" t="s">
        <v>847</v>
      </c>
      <c r="H333" t="s">
        <v>2033</v>
      </c>
      <c r="I333" t="s">
        <v>39</v>
      </c>
      <c r="J333" t="s">
        <v>26</v>
      </c>
      <c r="K333" t="s">
        <v>2034</v>
      </c>
      <c r="L333" t="s">
        <v>2035</v>
      </c>
      <c r="M333" t="s">
        <v>2036</v>
      </c>
      <c r="N333">
        <v>2023</v>
      </c>
      <c r="O333" t="s">
        <v>159</v>
      </c>
      <c r="P333" t="s">
        <v>160</v>
      </c>
      <c r="Q333">
        <v>3</v>
      </c>
      <c r="R333">
        <v>6</v>
      </c>
      <c r="S333" t="s">
        <v>2902</v>
      </c>
    </row>
    <row r="334" spans="1:19" x14ac:dyDescent="0.25">
      <c r="A334" t="s">
        <v>2037</v>
      </c>
      <c r="B334" t="s">
        <v>152</v>
      </c>
      <c r="C334" t="s">
        <v>20</v>
      </c>
      <c r="D334" s="2">
        <v>38025</v>
      </c>
      <c r="E334" t="s">
        <v>171</v>
      </c>
      <c r="F334" t="s">
        <v>981</v>
      </c>
      <c r="G334" t="s">
        <v>223</v>
      </c>
      <c r="H334" t="s">
        <v>2038</v>
      </c>
      <c r="I334" t="s">
        <v>138</v>
      </c>
      <c r="J334" t="s">
        <v>139</v>
      </c>
      <c r="K334" t="s">
        <v>2039</v>
      </c>
      <c r="L334" t="s">
        <v>2040</v>
      </c>
      <c r="M334" t="s">
        <v>2041</v>
      </c>
      <c r="N334">
        <v>2022</v>
      </c>
      <c r="O334" t="s">
        <v>159</v>
      </c>
      <c r="P334" t="s">
        <v>160</v>
      </c>
      <c r="Q334">
        <v>1</v>
      </c>
      <c r="R334">
        <v>2</v>
      </c>
      <c r="S334" t="s">
        <v>2902</v>
      </c>
    </row>
    <row r="335" spans="1:19" x14ac:dyDescent="0.25">
      <c r="A335" t="s">
        <v>2042</v>
      </c>
      <c r="B335" t="s">
        <v>1887</v>
      </c>
      <c r="C335" t="s">
        <v>134</v>
      </c>
      <c r="D335" s="2">
        <v>37535</v>
      </c>
      <c r="E335" t="s">
        <v>67</v>
      </c>
      <c r="F335" t="s">
        <v>87</v>
      </c>
      <c r="G335" t="s">
        <v>379</v>
      </c>
      <c r="H335" t="s">
        <v>2043</v>
      </c>
      <c r="I335" t="s">
        <v>25</v>
      </c>
      <c r="J335" t="s">
        <v>25</v>
      </c>
      <c r="K335" t="s">
        <v>2044</v>
      </c>
      <c r="L335" t="s">
        <v>2045</v>
      </c>
      <c r="M335" t="s">
        <v>2046</v>
      </c>
      <c r="N335">
        <v>2024</v>
      </c>
      <c r="O335" t="s">
        <v>75</v>
      </c>
      <c r="P335" t="s">
        <v>76</v>
      </c>
      <c r="Q335">
        <v>2</v>
      </c>
      <c r="R335">
        <v>4</v>
      </c>
      <c r="S335" t="s">
        <v>2961</v>
      </c>
    </row>
    <row r="336" spans="1:19" x14ac:dyDescent="0.25">
      <c r="A336" t="s">
        <v>2047</v>
      </c>
      <c r="B336" t="s">
        <v>980</v>
      </c>
      <c r="C336" t="s">
        <v>134</v>
      </c>
      <c r="D336" s="2">
        <v>39011</v>
      </c>
      <c r="E336" t="s">
        <v>171</v>
      </c>
      <c r="F336" t="s">
        <v>221</v>
      </c>
      <c r="G336" t="s">
        <v>1151</v>
      </c>
      <c r="H336" t="s">
        <v>2048</v>
      </c>
      <c r="I336" t="s">
        <v>39</v>
      </c>
      <c r="J336" t="s">
        <v>26</v>
      </c>
      <c r="K336" t="s">
        <v>2049</v>
      </c>
      <c r="L336" t="s">
        <v>2050</v>
      </c>
      <c r="M336" t="s">
        <v>2051</v>
      </c>
      <c r="N336">
        <v>2021</v>
      </c>
      <c r="O336" t="s">
        <v>63</v>
      </c>
      <c r="P336" t="s">
        <v>64</v>
      </c>
      <c r="Q336">
        <v>1</v>
      </c>
      <c r="R336">
        <v>2</v>
      </c>
      <c r="S336" t="s">
        <v>2932</v>
      </c>
    </row>
    <row r="337" spans="1:19" x14ac:dyDescent="0.25">
      <c r="A337" t="s">
        <v>2052</v>
      </c>
      <c r="B337" t="s">
        <v>2053</v>
      </c>
      <c r="C337" t="s">
        <v>20</v>
      </c>
      <c r="D337" s="2">
        <v>39407</v>
      </c>
      <c r="E337" t="s">
        <v>196</v>
      </c>
      <c r="F337" t="s">
        <v>923</v>
      </c>
      <c r="G337" t="s">
        <v>290</v>
      </c>
      <c r="H337" t="s">
        <v>2054</v>
      </c>
      <c r="I337" t="s">
        <v>138</v>
      </c>
      <c r="J337" t="s">
        <v>139</v>
      </c>
      <c r="K337" t="s">
        <v>2055</v>
      </c>
      <c r="L337" t="s">
        <v>2056</v>
      </c>
      <c r="M337" t="s">
        <v>2057</v>
      </c>
      <c r="N337">
        <v>2023</v>
      </c>
      <c r="O337" t="s">
        <v>105</v>
      </c>
      <c r="P337" t="s">
        <v>106</v>
      </c>
      <c r="Q337">
        <v>3</v>
      </c>
      <c r="R337">
        <v>6</v>
      </c>
      <c r="S337" t="s">
        <v>2908</v>
      </c>
    </row>
    <row r="338" spans="1:19" x14ac:dyDescent="0.25">
      <c r="A338" t="s">
        <v>2058</v>
      </c>
      <c r="B338" t="s">
        <v>57</v>
      </c>
      <c r="C338" t="s">
        <v>20</v>
      </c>
      <c r="D338" s="2">
        <v>38886</v>
      </c>
      <c r="E338" t="s">
        <v>171</v>
      </c>
      <c r="F338" t="s">
        <v>2059</v>
      </c>
      <c r="G338" t="s">
        <v>173</v>
      </c>
      <c r="H338" t="s">
        <v>2060</v>
      </c>
      <c r="I338" t="s">
        <v>91</v>
      </c>
      <c r="J338" t="s">
        <v>71</v>
      </c>
      <c r="K338" t="s">
        <v>2061</v>
      </c>
      <c r="L338" t="s">
        <v>2062</v>
      </c>
      <c r="M338" t="s">
        <v>2063</v>
      </c>
      <c r="N338">
        <v>2022</v>
      </c>
      <c r="O338" t="s">
        <v>95</v>
      </c>
      <c r="P338" t="s">
        <v>96</v>
      </c>
      <c r="Q338">
        <v>1</v>
      </c>
      <c r="R338">
        <v>2</v>
      </c>
      <c r="S338" t="s">
        <v>2889</v>
      </c>
    </row>
    <row r="339" spans="1:19" x14ac:dyDescent="0.25">
      <c r="A339" t="s">
        <v>2064</v>
      </c>
      <c r="B339" t="s">
        <v>365</v>
      </c>
      <c r="C339" t="s">
        <v>20</v>
      </c>
      <c r="D339" s="2">
        <v>38431</v>
      </c>
      <c r="E339" t="s">
        <v>171</v>
      </c>
      <c r="F339" t="s">
        <v>328</v>
      </c>
      <c r="G339" t="s">
        <v>290</v>
      </c>
      <c r="H339" t="s">
        <v>2065</v>
      </c>
      <c r="I339" t="s">
        <v>263</v>
      </c>
      <c r="J339" t="s">
        <v>139</v>
      </c>
      <c r="K339" t="s">
        <v>2066</v>
      </c>
      <c r="L339" t="s">
        <v>2067</v>
      </c>
      <c r="M339" t="s">
        <v>2068</v>
      </c>
      <c r="N339">
        <v>2022</v>
      </c>
      <c r="O339" t="s">
        <v>122</v>
      </c>
      <c r="P339" t="s">
        <v>123</v>
      </c>
      <c r="Q339">
        <v>1</v>
      </c>
      <c r="R339">
        <v>2</v>
      </c>
      <c r="S339" t="s">
        <v>2919</v>
      </c>
    </row>
    <row r="340" spans="1:19" x14ac:dyDescent="0.25">
      <c r="A340" t="s">
        <v>2069</v>
      </c>
      <c r="B340" t="s">
        <v>2070</v>
      </c>
      <c r="C340" t="s">
        <v>20</v>
      </c>
      <c r="D340" s="2">
        <v>38258</v>
      </c>
      <c r="E340" t="s">
        <v>109</v>
      </c>
      <c r="F340" t="s">
        <v>222</v>
      </c>
      <c r="G340" t="s">
        <v>790</v>
      </c>
      <c r="H340" t="s">
        <v>2071</v>
      </c>
      <c r="I340" t="s">
        <v>82</v>
      </c>
      <c r="J340" t="s">
        <v>175</v>
      </c>
      <c r="K340" t="s">
        <v>2072</v>
      </c>
      <c r="L340" t="s">
        <v>2073</v>
      </c>
      <c r="M340" t="s">
        <v>2074</v>
      </c>
      <c r="N340">
        <v>2022</v>
      </c>
      <c r="O340" t="s">
        <v>105</v>
      </c>
      <c r="P340" t="s">
        <v>106</v>
      </c>
      <c r="Q340">
        <v>1</v>
      </c>
      <c r="R340">
        <v>2</v>
      </c>
      <c r="S340" t="s">
        <v>2908</v>
      </c>
    </row>
    <row r="341" spans="1:19" x14ac:dyDescent="0.25">
      <c r="A341" t="s">
        <v>2075</v>
      </c>
      <c r="B341" t="s">
        <v>291</v>
      </c>
      <c r="C341" t="s">
        <v>20</v>
      </c>
      <c r="D341" s="2">
        <v>36719</v>
      </c>
      <c r="E341" t="s">
        <v>171</v>
      </c>
      <c r="F341" t="s">
        <v>342</v>
      </c>
      <c r="G341" t="s">
        <v>98</v>
      </c>
      <c r="H341" t="s">
        <v>2076</v>
      </c>
      <c r="I341" t="s">
        <v>368</v>
      </c>
      <c r="J341" t="s">
        <v>50</v>
      </c>
      <c r="K341" t="s">
        <v>2077</v>
      </c>
      <c r="L341" t="s">
        <v>2078</v>
      </c>
      <c r="M341" t="s">
        <v>2079</v>
      </c>
      <c r="N341">
        <v>2024</v>
      </c>
      <c r="O341" t="s">
        <v>159</v>
      </c>
      <c r="P341" t="s">
        <v>160</v>
      </c>
      <c r="Q341">
        <v>2</v>
      </c>
      <c r="R341">
        <v>4</v>
      </c>
      <c r="S341" t="s">
        <v>2902</v>
      </c>
    </row>
    <row r="342" spans="1:19" x14ac:dyDescent="0.25">
      <c r="A342" t="s">
        <v>2080</v>
      </c>
      <c r="B342" t="s">
        <v>2081</v>
      </c>
      <c r="C342" t="s">
        <v>20</v>
      </c>
      <c r="D342" s="2">
        <v>36249</v>
      </c>
      <c r="E342" t="s">
        <v>109</v>
      </c>
      <c r="F342" t="s">
        <v>152</v>
      </c>
      <c r="G342" t="s">
        <v>678</v>
      </c>
      <c r="H342" t="s">
        <v>2082</v>
      </c>
      <c r="I342" t="s">
        <v>91</v>
      </c>
      <c r="J342" t="s">
        <v>71</v>
      </c>
      <c r="K342" t="s">
        <v>2083</v>
      </c>
      <c r="L342" t="s">
        <v>2084</v>
      </c>
      <c r="M342" t="s">
        <v>2085</v>
      </c>
      <c r="N342">
        <v>2024</v>
      </c>
      <c r="O342" t="s">
        <v>75</v>
      </c>
      <c r="P342" t="s">
        <v>76</v>
      </c>
      <c r="Q342">
        <v>2</v>
      </c>
      <c r="R342">
        <v>4</v>
      </c>
      <c r="S342" t="s">
        <v>2961</v>
      </c>
    </row>
    <row r="343" spans="1:19" x14ac:dyDescent="0.25">
      <c r="A343" t="s">
        <v>2086</v>
      </c>
      <c r="B343" t="s">
        <v>282</v>
      </c>
      <c r="C343" t="s">
        <v>134</v>
      </c>
      <c r="D343" s="2">
        <v>38077</v>
      </c>
      <c r="E343" t="s">
        <v>21</v>
      </c>
      <c r="F343" t="s">
        <v>1581</v>
      </c>
      <c r="G343" t="s">
        <v>298</v>
      </c>
      <c r="H343" t="s">
        <v>2087</v>
      </c>
      <c r="I343" t="s">
        <v>91</v>
      </c>
      <c r="J343" t="s">
        <v>71</v>
      </c>
      <c r="K343" t="s">
        <v>2088</v>
      </c>
      <c r="L343" t="s">
        <v>2089</v>
      </c>
      <c r="M343" t="s">
        <v>2090</v>
      </c>
      <c r="N343">
        <v>2024</v>
      </c>
      <c r="O343" t="s">
        <v>105</v>
      </c>
      <c r="P343" t="s">
        <v>106</v>
      </c>
      <c r="Q343">
        <v>2</v>
      </c>
      <c r="R343">
        <v>4</v>
      </c>
      <c r="S343" t="s">
        <v>2908</v>
      </c>
    </row>
    <row r="344" spans="1:19" x14ac:dyDescent="0.25">
      <c r="A344" t="s">
        <v>2091</v>
      </c>
      <c r="B344" t="s">
        <v>700</v>
      </c>
      <c r="C344" t="s">
        <v>20</v>
      </c>
      <c r="D344" s="2">
        <v>39337</v>
      </c>
      <c r="E344" t="s">
        <v>109</v>
      </c>
      <c r="F344" t="s">
        <v>1254</v>
      </c>
      <c r="G344" t="s">
        <v>365</v>
      </c>
      <c r="H344" t="s">
        <v>694</v>
      </c>
      <c r="I344" t="s">
        <v>49</v>
      </c>
      <c r="J344" t="s">
        <v>201</v>
      </c>
      <c r="K344" t="s">
        <v>2092</v>
      </c>
      <c r="L344" t="s">
        <v>2093</v>
      </c>
      <c r="M344" t="s">
        <v>2094</v>
      </c>
      <c r="N344">
        <v>2024</v>
      </c>
      <c r="O344" t="s">
        <v>63</v>
      </c>
      <c r="P344" t="s">
        <v>64</v>
      </c>
      <c r="Q344">
        <v>2</v>
      </c>
      <c r="R344">
        <v>4</v>
      </c>
      <c r="S344" t="s">
        <v>2932</v>
      </c>
    </row>
    <row r="345" spans="1:19" x14ac:dyDescent="0.25">
      <c r="A345" t="s">
        <v>2095</v>
      </c>
      <c r="B345" t="s">
        <v>251</v>
      </c>
      <c r="C345" t="s">
        <v>134</v>
      </c>
      <c r="D345" s="2">
        <v>38667</v>
      </c>
      <c r="E345" t="s">
        <v>109</v>
      </c>
      <c r="F345" t="s">
        <v>1223</v>
      </c>
      <c r="G345" t="s">
        <v>558</v>
      </c>
      <c r="H345" t="s">
        <v>2096</v>
      </c>
      <c r="I345" t="s">
        <v>200</v>
      </c>
      <c r="J345" t="s">
        <v>40</v>
      </c>
      <c r="K345" t="s">
        <v>2097</v>
      </c>
      <c r="L345" t="s">
        <v>2098</v>
      </c>
      <c r="M345" t="s">
        <v>2099</v>
      </c>
      <c r="N345">
        <v>2021</v>
      </c>
      <c r="O345" t="s">
        <v>95</v>
      </c>
      <c r="P345" t="s">
        <v>96</v>
      </c>
      <c r="Q345">
        <v>1</v>
      </c>
      <c r="R345">
        <v>2</v>
      </c>
      <c r="S345" t="s">
        <v>2889</v>
      </c>
    </row>
    <row r="346" spans="1:19" x14ac:dyDescent="0.25">
      <c r="A346" t="s">
        <v>2100</v>
      </c>
      <c r="B346" t="s">
        <v>956</v>
      </c>
      <c r="C346" t="s">
        <v>134</v>
      </c>
      <c r="D346" s="2">
        <v>37633</v>
      </c>
      <c r="E346" t="s">
        <v>145</v>
      </c>
      <c r="F346" t="s">
        <v>299</v>
      </c>
      <c r="G346" t="s">
        <v>915</v>
      </c>
      <c r="H346" t="s">
        <v>2101</v>
      </c>
      <c r="I346" t="s">
        <v>263</v>
      </c>
      <c r="J346" t="s">
        <v>139</v>
      </c>
      <c r="K346" t="s">
        <v>2102</v>
      </c>
      <c r="L346" t="s">
        <v>2103</v>
      </c>
      <c r="M346" t="s">
        <v>2104</v>
      </c>
      <c r="N346">
        <v>2023</v>
      </c>
      <c r="O346" t="s">
        <v>159</v>
      </c>
      <c r="P346" t="s">
        <v>160</v>
      </c>
      <c r="Q346">
        <v>3</v>
      </c>
      <c r="R346">
        <v>6</v>
      </c>
      <c r="S346" t="s">
        <v>2902</v>
      </c>
    </row>
    <row r="347" spans="1:19" x14ac:dyDescent="0.25">
      <c r="A347" t="s">
        <v>2105</v>
      </c>
      <c r="B347" t="s">
        <v>671</v>
      </c>
      <c r="C347" t="s">
        <v>134</v>
      </c>
      <c r="D347" s="2">
        <v>36371</v>
      </c>
      <c r="E347" t="s">
        <v>196</v>
      </c>
      <c r="F347" t="s">
        <v>790</v>
      </c>
      <c r="G347" t="s">
        <v>207</v>
      </c>
      <c r="H347" t="s">
        <v>2106</v>
      </c>
      <c r="I347" t="s">
        <v>82</v>
      </c>
      <c r="J347" t="s">
        <v>175</v>
      </c>
      <c r="K347" t="s">
        <v>2107</v>
      </c>
      <c r="L347" t="s">
        <v>2108</v>
      </c>
      <c r="M347" t="s">
        <v>2109</v>
      </c>
      <c r="N347">
        <v>2023</v>
      </c>
      <c r="O347" t="s">
        <v>63</v>
      </c>
      <c r="P347" t="s">
        <v>64</v>
      </c>
      <c r="Q347">
        <v>3</v>
      </c>
      <c r="R347">
        <v>6</v>
      </c>
      <c r="S347" t="s">
        <v>2932</v>
      </c>
    </row>
    <row r="348" spans="1:19" x14ac:dyDescent="0.25">
      <c r="A348" t="s">
        <v>2110</v>
      </c>
      <c r="B348" t="s">
        <v>364</v>
      </c>
      <c r="C348" t="s">
        <v>20</v>
      </c>
      <c r="D348" s="2">
        <v>39293</v>
      </c>
      <c r="E348" t="s">
        <v>21</v>
      </c>
      <c r="F348" t="s">
        <v>956</v>
      </c>
      <c r="G348" t="s">
        <v>2111</v>
      </c>
      <c r="H348" t="s">
        <v>2112</v>
      </c>
      <c r="I348" t="s">
        <v>91</v>
      </c>
      <c r="J348" t="s">
        <v>71</v>
      </c>
      <c r="K348" t="s">
        <v>2113</v>
      </c>
      <c r="L348" t="s">
        <v>2114</v>
      </c>
      <c r="M348" t="s">
        <v>2115</v>
      </c>
      <c r="N348">
        <v>2022</v>
      </c>
      <c r="O348" t="s">
        <v>30</v>
      </c>
      <c r="P348" t="s">
        <v>31</v>
      </c>
      <c r="Q348">
        <v>1</v>
      </c>
      <c r="R348">
        <v>2</v>
      </c>
      <c r="S348" t="s">
        <v>2895</v>
      </c>
    </row>
    <row r="349" spans="1:19" x14ac:dyDescent="0.25">
      <c r="A349" t="s">
        <v>2116</v>
      </c>
      <c r="B349" t="s">
        <v>125</v>
      </c>
      <c r="C349" t="s">
        <v>20</v>
      </c>
      <c r="D349" s="2">
        <v>39362</v>
      </c>
      <c r="E349" t="s">
        <v>145</v>
      </c>
      <c r="F349" t="s">
        <v>2117</v>
      </c>
      <c r="G349" t="s">
        <v>672</v>
      </c>
      <c r="H349" t="s">
        <v>2118</v>
      </c>
      <c r="I349" t="s">
        <v>82</v>
      </c>
      <c r="J349" t="s">
        <v>175</v>
      </c>
      <c r="K349" t="s">
        <v>2119</v>
      </c>
      <c r="L349" t="s">
        <v>2120</v>
      </c>
      <c r="M349" t="s">
        <v>2121</v>
      </c>
      <c r="N349">
        <v>2021</v>
      </c>
      <c r="O349" t="s">
        <v>75</v>
      </c>
      <c r="P349" t="s">
        <v>76</v>
      </c>
      <c r="Q349">
        <v>1</v>
      </c>
      <c r="R349">
        <v>2</v>
      </c>
      <c r="S349" t="s">
        <v>2961</v>
      </c>
    </row>
    <row r="350" spans="1:19" x14ac:dyDescent="0.25">
      <c r="A350" t="s">
        <v>2122</v>
      </c>
      <c r="B350" t="s">
        <v>162</v>
      </c>
      <c r="C350" t="s">
        <v>134</v>
      </c>
      <c r="D350" s="2">
        <v>39243</v>
      </c>
      <c r="E350" t="s">
        <v>171</v>
      </c>
      <c r="F350" t="s">
        <v>292</v>
      </c>
      <c r="G350" t="s">
        <v>270</v>
      </c>
      <c r="H350" t="s">
        <v>2123</v>
      </c>
      <c r="I350" t="s">
        <v>200</v>
      </c>
      <c r="J350" t="s">
        <v>40</v>
      </c>
      <c r="K350" t="s">
        <v>2124</v>
      </c>
      <c r="L350" t="s">
        <v>2125</v>
      </c>
      <c r="M350" t="s">
        <v>2126</v>
      </c>
      <c r="N350">
        <v>2022</v>
      </c>
      <c r="O350" t="s">
        <v>212</v>
      </c>
      <c r="P350" t="s">
        <v>213</v>
      </c>
      <c r="Q350">
        <v>1</v>
      </c>
      <c r="R350">
        <v>2</v>
      </c>
      <c r="S350" t="s">
        <v>3001</v>
      </c>
    </row>
    <row r="351" spans="1:19" x14ac:dyDescent="0.25">
      <c r="A351" t="s">
        <v>2127</v>
      </c>
      <c r="B351" t="s">
        <v>164</v>
      </c>
      <c r="C351" t="s">
        <v>20</v>
      </c>
      <c r="D351" s="2">
        <v>39356</v>
      </c>
      <c r="E351" t="s">
        <v>109</v>
      </c>
      <c r="F351" t="s">
        <v>78</v>
      </c>
      <c r="G351" t="s">
        <v>144</v>
      </c>
      <c r="H351" t="s">
        <v>2128</v>
      </c>
      <c r="I351" t="s">
        <v>39</v>
      </c>
      <c r="J351" t="s">
        <v>26</v>
      </c>
      <c r="K351" t="s">
        <v>2129</v>
      </c>
      <c r="L351" t="s">
        <v>2130</v>
      </c>
      <c r="M351" t="s">
        <v>2131</v>
      </c>
      <c r="N351">
        <v>2024</v>
      </c>
      <c r="O351" t="s">
        <v>159</v>
      </c>
      <c r="P351" t="s">
        <v>160</v>
      </c>
      <c r="Q351">
        <v>2</v>
      </c>
      <c r="R351">
        <v>4</v>
      </c>
      <c r="S351" t="s">
        <v>2902</v>
      </c>
    </row>
    <row r="352" spans="1:19" x14ac:dyDescent="0.25">
      <c r="A352" t="s">
        <v>2132</v>
      </c>
      <c r="B352" t="s">
        <v>55</v>
      </c>
      <c r="C352" t="s">
        <v>134</v>
      </c>
      <c r="D352" s="2">
        <v>37268</v>
      </c>
      <c r="E352" t="s">
        <v>171</v>
      </c>
      <c r="F352" t="s">
        <v>2133</v>
      </c>
      <c r="G352" t="s">
        <v>686</v>
      </c>
      <c r="H352" t="s">
        <v>2134</v>
      </c>
      <c r="I352" t="s">
        <v>25</v>
      </c>
      <c r="J352" t="s">
        <v>25</v>
      </c>
      <c r="K352" t="s">
        <v>2135</v>
      </c>
      <c r="L352" t="s">
        <v>2136</v>
      </c>
      <c r="M352" t="s">
        <v>2137</v>
      </c>
      <c r="N352">
        <v>2022</v>
      </c>
      <c r="O352" t="s">
        <v>75</v>
      </c>
      <c r="P352" t="s">
        <v>76</v>
      </c>
      <c r="Q352">
        <v>1</v>
      </c>
      <c r="R352">
        <v>2</v>
      </c>
      <c r="S352" t="s">
        <v>2961</v>
      </c>
    </row>
    <row r="353" spans="1:19" x14ac:dyDescent="0.25">
      <c r="A353" t="s">
        <v>2138</v>
      </c>
      <c r="B353" t="s">
        <v>136</v>
      </c>
      <c r="C353" t="s">
        <v>20</v>
      </c>
      <c r="D353" s="2">
        <v>37938</v>
      </c>
      <c r="E353" t="s">
        <v>196</v>
      </c>
      <c r="F353" t="s">
        <v>153</v>
      </c>
      <c r="G353" t="s">
        <v>693</v>
      </c>
      <c r="H353" t="s">
        <v>2139</v>
      </c>
      <c r="I353" t="s">
        <v>82</v>
      </c>
      <c r="J353" t="s">
        <v>175</v>
      </c>
      <c r="K353" t="s">
        <v>2140</v>
      </c>
      <c r="L353" t="s">
        <v>2141</v>
      </c>
      <c r="M353" t="s">
        <v>2142</v>
      </c>
      <c r="N353">
        <v>2022</v>
      </c>
      <c r="O353" t="s">
        <v>122</v>
      </c>
      <c r="P353" t="s">
        <v>123</v>
      </c>
      <c r="Q353">
        <v>1</v>
      </c>
      <c r="R353">
        <v>2</v>
      </c>
      <c r="S353" t="s">
        <v>2919</v>
      </c>
    </row>
    <row r="354" spans="1:19" x14ac:dyDescent="0.25">
      <c r="A354" t="s">
        <v>2143</v>
      </c>
      <c r="B354" t="s">
        <v>215</v>
      </c>
      <c r="C354" t="s">
        <v>20</v>
      </c>
      <c r="D354" s="2">
        <v>36319</v>
      </c>
      <c r="E354" t="s">
        <v>196</v>
      </c>
      <c r="F354" t="s">
        <v>1618</v>
      </c>
      <c r="G354" t="s">
        <v>57</v>
      </c>
      <c r="H354" t="s">
        <v>2144</v>
      </c>
      <c r="I354" t="s">
        <v>200</v>
      </c>
      <c r="J354" t="s">
        <v>40</v>
      </c>
      <c r="K354" t="s">
        <v>2145</v>
      </c>
      <c r="L354" t="s">
        <v>2146</v>
      </c>
      <c r="M354" t="s">
        <v>2147</v>
      </c>
      <c r="N354">
        <v>2024</v>
      </c>
      <c r="O354" t="s">
        <v>105</v>
      </c>
      <c r="P354" t="s">
        <v>106</v>
      </c>
      <c r="Q354">
        <v>2</v>
      </c>
      <c r="R354">
        <v>4</v>
      </c>
      <c r="S354" t="s">
        <v>2908</v>
      </c>
    </row>
    <row r="355" spans="1:19" x14ac:dyDescent="0.25">
      <c r="A355" t="s">
        <v>2148</v>
      </c>
      <c r="B355" t="s">
        <v>69</v>
      </c>
      <c r="C355" t="s">
        <v>20</v>
      </c>
      <c r="D355" s="2">
        <v>38188</v>
      </c>
      <c r="E355" t="s">
        <v>196</v>
      </c>
      <c r="F355" t="s">
        <v>1359</v>
      </c>
      <c r="G355" t="s">
        <v>98</v>
      </c>
      <c r="H355" t="s">
        <v>2149</v>
      </c>
      <c r="I355" t="s">
        <v>39</v>
      </c>
      <c r="J355" t="s">
        <v>26</v>
      </c>
      <c r="K355" t="s">
        <v>2150</v>
      </c>
      <c r="L355" t="s">
        <v>2151</v>
      </c>
      <c r="M355" t="s">
        <v>2152</v>
      </c>
      <c r="N355">
        <v>2021</v>
      </c>
      <c r="O355" t="s">
        <v>212</v>
      </c>
      <c r="P355" t="s">
        <v>213</v>
      </c>
      <c r="Q355">
        <v>1</v>
      </c>
      <c r="R355">
        <v>2</v>
      </c>
      <c r="S355" t="s">
        <v>3001</v>
      </c>
    </row>
    <row r="356" spans="1:19" x14ac:dyDescent="0.25">
      <c r="A356" t="s">
        <v>2153</v>
      </c>
      <c r="B356" t="s">
        <v>665</v>
      </c>
      <c r="C356" t="s">
        <v>134</v>
      </c>
      <c r="D356" s="2">
        <v>37131</v>
      </c>
      <c r="E356" t="s">
        <v>171</v>
      </c>
      <c r="F356" t="s">
        <v>1030</v>
      </c>
      <c r="G356" t="s">
        <v>692</v>
      </c>
      <c r="H356" t="s">
        <v>2154</v>
      </c>
      <c r="I356" t="s">
        <v>82</v>
      </c>
      <c r="J356" t="s">
        <v>175</v>
      </c>
      <c r="K356" t="s">
        <v>2155</v>
      </c>
      <c r="L356" t="s">
        <v>2156</v>
      </c>
      <c r="M356" t="s">
        <v>2157</v>
      </c>
      <c r="N356">
        <v>2023</v>
      </c>
      <c r="O356" t="s">
        <v>30</v>
      </c>
      <c r="P356" t="s">
        <v>31</v>
      </c>
      <c r="Q356">
        <v>3</v>
      </c>
      <c r="R356">
        <v>6</v>
      </c>
      <c r="S356" t="s">
        <v>2895</v>
      </c>
    </row>
    <row r="357" spans="1:19" x14ac:dyDescent="0.25">
      <c r="A357" t="s">
        <v>2158</v>
      </c>
      <c r="B357" t="s">
        <v>596</v>
      </c>
      <c r="C357" t="s">
        <v>134</v>
      </c>
      <c r="D357" s="2">
        <v>36294</v>
      </c>
      <c r="E357" t="s">
        <v>171</v>
      </c>
      <c r="F357" t="s">
        <v>1847</v>
      </c>
      <c r="G357" t="s">
        <v>127</v>
      </c>
      <c r="H357" t="s">
        <v>2159</v>
      </c>
      <c r="I357" t="s">
        <v>91</v>
      </c>
      <c r="J357" t="s">
        <v>71</v>
      </c>
      <c r="K357" t="s">
        <v>2160</v>
      </c>
      <c r="L357" t="s">
        <v>2161</v>
      </c>
      <c r="M357" t="s">
        <v>2162</v>
      </c>
      <c r="N357">
        <v>2023</v>
      </c>
      <c r="O357" t="s">
        <v>95</v>
      </c>
      <c r="P357" t="s">
        <v>96</v>
      </c>
      <c r="Q357">
        <v>3</v>
      </c>
      <c r="R357">
        <v>6</v>
      </c>
      <c r="S357" t="s">
        <v>2889</v>
      </c>
    </row>
    <row r="358" spans="1:19" x14ac:dyDescent="0.25">
      <c r="A358" t="s">
        <v>2163</v>
      </c>
      <c r="B358" t="s">
        <v>22</v>
      </c>
      <c r="C358" t="s">
        <v>20</v>
      </c>
      <c r="D358" s="2">
        <v>36633</v>
      </c>
      <c r="E358" t="s">
        <v>67</v>
      </c>
      <c r="F358" t="s">
        <v>753</v>
      </c>
      <c r="G358" t="s">
        <v>659</v>
      </c>
      <c r="H358" t="s">
        <v>2164</v>
      </c>
      <c r="I358" t="s">
        <v>39</v>
      </c>
      <c r="J358" t="s">
        <v>26</v>
      </c>
      <c r="K358" t="s">
        <v>2165</v>
      </c>
      <c r="L358" t="s">
        <v>2166</v>
      </c>
      <c r="M358" t="s">
        <v>2167</v>
      </c>
      <c r="N358">
        <v>2023</v>
      </c>
      <c r="O358" t="s">
        <v>159</v>
      </c>
      <c r="P358" t="s">
        <v>160</v>
      </c>
      <c r="Q358">
        <v>3</v>
      </c>
      <c r="R358">
        <v>6</v>
      </c>
      <c r="S358" t="s">
        <v>2902</v>
      </c>
    </row>
    <row r="359" spans="1:19" x14ac:dyDescent="0.25">
      <c r="A359" t="s">
        <v>2168</v>
      </c>
      <c r="B359" t="s">
        <v>180</v>
      </c>
      <c r="C359" t="s">
        <v>20</v>
      </c>
      <c r="D359" s="2">
        <v>38229</v>
      </c>
      <c r="E359" t="s">
        <v>21</v>
      </c>
      <c r="F359" t="s">
        <v>393</v>
      </c>
      <c r="G359" t="s">
        <v>924</v>
      </c>
      <c r="H359" t="s">
        <v>2169</v>
      </c>
      <c r="I359" t="s">
        <v>368</v>
      </c>
      <c r="J359" t="s">
        <v>50</v>
      </c>
      <c r="K359" t="s">
        <v>2170</v>
      </c>
      <c r="L359" t="s">
        <v>2171</v>
      </c>
      <c r="M359" t="s">
        <v>2172</v>
      </c>
      <c r="N359">
        <v>2022</v>
      </c>
      <c r="O359" t="s">
        <v>122</v>
      </c>
      <c r="P359" t="s">
        <v>123</v>
      </c>
      <c r="Q359">
        <v>1</v>
      </c>
      <c r="R359">
        <v>2</v>
      </c>
      <c r="S359" t="s">
        <v>2919</v>
      </c>
    </row>
    <row r="360" spans="1:19" x14ac:dyDescent="0.25">
      <c r="A360" t="s">
        <v>2173</v>
      </c>
      <c r="B360" t="s">
        <v>609</v>
      </c>
      <c r="C360" t="s">
        <v>20</v>
      </c>
      <c r="D360" s="2">
        <v>38583</v>
      </c>
      <c r="E360" t="s">
        <v>67</v>
      </c>
      <c r="F360" t="s">
        <v>1985</v>
      </c>
      <c r="G360" t="s">
        <v>950</v>
      </c>
      <c r="H360" t="s">
        <v>2174</v>
      </c>
      <c r="I360" t="s">
        <v>368</v>
      </c>
      <c r="J360" t="s">
        <v>50</v>
      </c>
      <c r="K360" t="s">
        <v>2175</v>
      </c>
      <c r="L360" t="s">
        <v>2176</v>
      </c>
      <c r="M360" t="s">
        <v>2177</v>
      </c>
      <c r="N360">
        <v>2024</v>
      </c>
      <c r="O360" t="s">
        <v>105</v>
      </c>
      <c r="P360" t="s">
        <v>106</v>
      </c>
      <c r="Q360">
        <v>2</v>
      </c>
      <c r="R360">
        <v>4</v>
      </c>
      <c r="S360" t="s">
        <v>2908</v>
      </c>
    </row>
    <row r="361" spans="1:19" x14ac:dyDescent="0.25">
      <c r="A361" t="s">
        <v>2178</v>
      </c>
      <c r="B361" t="s">
        <v>1243</v>
      </c>
      <c r="C361" t="s">
        <v>20</v>
      </c>
      <c r="D361" s="2">
        <v>37305</v>
      </c>
      <c r="E361" t="s">
        <v>145</v>
      </c>
      <c r="F361" t="s">
        <v>1360</v>
      </c>
      <c r="G361" t="s">
        <v>478</v>
      </c>
      <c r="H361" t="s">
        <v>2179</v>
      </c>
      <c r="I361" t="s">
        <v>82</v>
      </c>
      <c r="J361" t="s">
        <v>175</v>
      </c>
      <c r="K361" t="s">
        <v>2180</v>
      </c>
      <c r="L361" t="s">
        <v>2181</v>
      </c>
      <c r="M361" t="s">
        <v>2182</v>
      </c>
      <c r="N361">
        <v>2022</v>
      </c>
      <c r="O361" t="s">
        <v>122</v>
      </c>
      <c r="P361" t="s">
        <v>123</v>
      </c>
      <c r="Q361">
        <v>1</v>
      </c>
      <c r="R361">
        <v>2</v>
      </c>
      <c r="S361" t="s">
        <v>2919</v>
      </c>
    </row>
    <row r="362" spans="1:19" x14ac:dyDescent="0.25">
      <c r="A362" t="s">
        <v>2183</v>
      </c>
      <c r="B362" t="s">
        <v>110</v>
      </c>
      <c r="C362" t="s">
        <v>134</v>
      </c>
      <c r="D362" s="2">
        <v>39247</v>
      </c>
      <c r="E362" t="s">
        <v>21</v>
      </c>
      <c r="F362" t="s">
        <v>187</v>
      </c>
      <c r="G362" t="s">
        <v>245</v>
      </c>
      <c r="H362" t="s">
        <v>2184</v>
      </c>
      <c r="I362" t="s">
        <v>263</v>
      </c>
      <c r="J362" t="s">
        <v>139</v>
      </c>
      <c r="K362" t="s">
        <v>2185</v>
      </c>
      <c r="L362" t="s">
        <v>2186</v>
      </c>
      <c r="M362" t="s">
        <v>2187</v>
      </c>
      <c r="N362">
        <v>2024</v>
      </c>
      <c r="O362" t="s">
        <v>212</v>
      </c>
      <c r="P362" t="s">
        <v>213</v>
      </c>
      <c r="Q362">
        <v>2</v>
      </c>
      <c r="R362">
        <v>4</v>
      </c>
      <c r="S362" t="s">
        <v>3001</v>
      </c>
    </row>
    <row r="363" spans="1:19" x14ac:dyDescent="0.25">
      <c r="A363" t="s">
        <v>2188</v>
      </c>
      <c r="B363" t="s">
        <v>1223</v>
      </c>
      <c r="C363" t="s">
        <v>134</v>
      </c>
      <c r="D363" s="2">
        <v>37301</v>
      </c>
      <c r="E363" t="s">
        <v>109</v>
      </c>
      <c r="F363" t="s">
        <v>973</v>
      </c>
      <c r="G363" t="s">
        <v>609</v>
      </c>
      <c r="H363" t="s">
        <v>2189</v>
      </c>
      <c r="I363" t="s">
        <v>39</v>
      </c>
      <c r="J363" t="s">
        <v>26</v>
      </c>
      <c r="K363" t="s">
        <v>2190</v>
      </c>
      <c r="L363" t="s">
        <v>2191</v>
      </c>
      <c r="M363" t="s">
        <v>2192</v>
      </c>
      <c r="N363">
        <v>2021</v>
      </c>
      <c r="O363" t="s">
        <v>95</v>
      </c>
      <c r="P363" t="s">
        <v>96</v>
      </c>
      <c r="Q363">
        <v>1</v>
      </c>
      <c r="R363">
        <v>2</v>
      </c>
      <c r="S363" t="s">
        <v>2889</v>
      </c>
    </row>
    <row r="364" spans="1:19" x14ac:dyDescent="0.25">
      <c r="A364" t="s">
        <v>2193</v>
      </c>
      <c r="B364" t="s">
        <v>393</v>
      </c>
      <c r="C364" t="s">
        <v>20</v>
      </c>
      <c r="D364" s="2">
        <v>37062</v>
      </c>
      <c r="E364" t="s">
        <v>21</v>
      </c>
      <c r="F364" t="s">
        <v>759</v>
      </c>
      <c r="G364" t="s">
        <v>1029</v>
      </c>
      <c r="H364" t="s">
        <v>2194</v>
      </c>
      <c r="I364" t="s">
        <v>368</v>
      </c>
      <c r="J364" t="s">
        <v>50</v>
      </c>
      <c r="K364" t="s">
        <v>2195</v>
      </c>
      <c r="L364" t="s">
        <v>2196</v>
      </c>
      <c r="M364" t="s">
        <v>2197</v>
      </c>
      <c r="N364">
        <v>2022</v>
      </c>
      <c r="O364" t="s">
        <v>122</v>
      </c>
      <c r="P364" t="s">
        <v>123</v>
      </c>
      <c r="Q364">
        <v>1</v>
      </c>
      <c r="R364">
        <v>2</v>
      </c>
      <c r="S364" t="s">
        <v>2919</v>
      </c>
    </row>
    <row r="365" spans="1:19" x14ac:dyDescent="0.25">
      <c r="A365" t="s">
        <v>2198</v>
      </c>
      <c r="B365" t="s">
        <v>491</v>
      </c>
      <c r="C365" t="s">
        <v>20</v>
      </c>
      <c r="D365" s="2">
        <v>38897</v>
      </c>
      <c r="E365" t="s">
        <v>171</v>
      </c>
      <c r="F365" t="s">
        <v>268</v>
      </c>
      <c r="G365" t="s">
        <v>860</v>
      </c>
      <c r="H365" t="s">
        <v>2199</v>
      </c>
      <c r="I365" t="s">
        <v>368</v>
      </c>
      <c r="J365" t="s">
        <v>50</v>
      </c>
      <c r="K365" t="s">
        <v>2200</v>
      </c>
      <c r="L365" t="s">
        <v>2201</v>
      </c>
      <c r="M365" t="s">
        <v>2202</v>
      </c>
      <c r="N365">
        <v>2024</v>
      </c>
      <c r="O365" t="s">
        <v>63</v>
      </c>
      <c r="P365" t="s">
        <v>64</v>
      </c>
      <c r="Q365">
        <v>2</v>
      </c>
      <c r="R365">
        <v>4</v>
      </c>
      <c r="S365" t="s">
        <v>2932</v>
      </c>
    </row>
    <row r="366" spans="1:19" x14ac:dyDescent="0.25">
      <c r="A366" t="s">
        <v>2203</v>
      </c>
      <c r="B366" t="s">
        <v>759</v>
      </c>
      <c r="C366" t="s">
        <v>134</v>
      </c>
      <c r="D366" s="2">
        <v>37352</v>
      </c>
      <c r="E366" t="s">
        <v>145</v>
      </c>
      <c r="F366" t="s">
        <v>638</v>
      </c>
      <c r="G366" t="s">
        <v>596</v>
      </c>
      <c r="H366" t="s">
        <v>1195</v>
      </c>
      <c r="I366" t="s">
        <v>49</v>
      </c>
      <c r="J366" t="s">
        <v>201</v>
      </c>
      <c r="K366" t="s">
        <v>2204</v>
      </c>
      <c r="L366" t="s">
        <v>2205</v>
      </c>
      <c r="M366" t="s">
        <v>2206</v>
      </c>
      <c r="N366">
        <v>2021</v>
      </c>
      <c r="O366" t="s">
        <v>75</v>
      </c>
      <c r="P366" t="s">
        <v>76</v>
      </c>
      <c r="Q366">
        <v>1</v>
      </c>
      <c r="R366">
        <v>2</v>
      </c>
      <c r="S366" t="s">
        <v>2961</v>
      </c>
    </row>
    <row r="367" spans="1:19" x14ac:dyDescent="0.25">
      <c r="A367" t="s">
        <v>2207</v>
      </c>
      <c r="B367" t="s">
        <v>2208</v>
      </c>
      <c r="C367" t="s">
        <v>134</v>
      </c>
      <c r="D367" s="2">
        <v>39357</v>
      </c>
      <c r="E367" t="s">
        <v>171</v>
      </c>
      <c r="F367" t="s">
        <v>658</v>
      </c>
      <c r="G367" t="s">
        <v>282</v>
      </c>
      <c r="H367" t="s">
        <v>2209</v>
      </c>
      <c r="I367" t="s">
        <v>91</v>
      </c>
      <c r="J367" t="s">
        <v>71</v>
      </c>
      <c r="K367" t="s">
        <v>2210</v>
      </c>
      <c r="L367" t="s">
        <v>2211</v>
      </c>
      <c r="M367" t="s">
        <v>2212</v>
      </c>
      <c r="N367">
        <v>2024</v>
      </c>
      <c r="O367" t="s">
        <v>75</v>
      </c>
      <c r="P367" t="s">
        <v>76</v>
      </c>
      <c r="Q367">
        <v>2</v>
      </c>
      <c r="R367">
        <v>4</v>
      </c>
      <c r="S367" t="s">
        <v>2961</v>
      </c>
    </row>
    <row r="368" spans="1:19" x14ac:dyDescent="0.25">
      <c r="A368" t="s">
        <v>2213</v>
      </c>
      <c r="B368" t="s">
        <v>100</v>
      </c>
      <c r="C368" t="s">
        <v>20</v>
      </c>
      <c r="D368" s="2">
        <v>36260</v>
      </c>
      <c r="E368" t="s">
        <v>145</v>
      </c>
      <c r="F368" t="s">
        <v>342</v>
      </c>
      <c r="G368" t="s">
        <v>949</v>
      </c>
      <c r="H368" t="s">
        <v>2214</v>
      </c>
      <c r="I368" t="s">
        <v>39</v>
      </c>
      <c r="J368" t="s">
        <v>26</v>
      </c>
      <c r="K368" t="s">
        <v>2215</v>
      </c>
      <c r="L368" t="s">
        <v>2216</v>
      </c>
      <c r="M368" t="s">
        <v>2217</v>
      </c>
      <c r="N368">
        <v>2023</v>
      </c>
      <c r="O368" t="s">
        <v>30</v>
      </c>
      <c r="P368" t="s">
        <v>31</v>
      </c>
      <c r="Q368">
        <v>3</v>
      </c>
      <c r="R368">
        <v>6</v>
      </c>
      <c r="S368" t="s">
        <v>2895</v>
      </c>
    </row>
    <row r="369" spans="1:19" x14ac:dyDescent="0.25">
      <c r="A369" t="s">
        <v>2218</v>
      </c>
      <c r="B369" t="s">
        <v>760</v>
      </c>
      <c r="C369" t="s">
        <v>20</v>
      </c>
      <c r="D369" s="2">
        <v>36256</v>
      </c>
      <c r="E369" t="s">
        <v>21</v>
      </c>
      <c r="F369" t="s">
        <v>335</v>
      </c>
      <c r="G369" t="s">
        <v>1747</v>
      </c>
      <c r="H369" t="s">
        <v>2219</v>
      </c>
      <c r="I369" t="s">
        <v>368</v>
      </c>
      <c r="J369" t="s">
        <v>50</v>
      </c>
      <c r="K369" t="s">
        <v>2220</v>
      </c>
      <c r="L369" t="s">
        <v>2221</v>
      </c>
      <c r="M369" t="s">
        <v>2222</v>
      </c>
      <c r="N369">
        <v>2022</v>
      </c>
      <c r="O369" t="s">
        <v>212</v>
      </c>
      <c r="P369" t="s">
        <v>213</v>
      </c>
      <c r="Q369">
        <v>1</v>
      </c>
      <c r="R369">
        <v>2</v>
      </c>
      <c r="S369" t="s">
        <v>3001</v>
      </c>
    </row>
    <row r="370" spans="1:19" x14ac:dyDescent="0.25">
      <c r="A370" t="s">
        <v>2223</v>
      </c>
      <c r="B370" t="s">
        <v>1162</v>
      </c>
      <c r="C370" t="s">
        <v>20</v>
      </c>
      <c r="D370" s="2">
        <v>36607</v>
      </c>
      <c r="E370" t="s">
        <v>171</v>
      </c>
      <c r="F370" t="s">
        <v>366</v>
      </c>
      <c r="G370" t="s">
        <v>394</v>
      </c>
      <c r="H370" t="s">
        <v>2224</v>
      </c>
      <c r="I370" t="s">
        <v>263</v>
      </c>
      <c r="J370" t="s">
        <v>139</v>
      </c>
      <c r="K370" t="s">
        <v>2225</v>
      </c>
      <c r="L370" t="s">
        <v>2226</v>
      </c>
      <c r="M370" t="s">
        <v>2227</v>
      </c>
      <c r="N370">
        <v>2021</v>
      </c>
      <c r="O370" t="s">
        <v>122</v>
      </c>
      <c r="P370" t="s">
        <v>123</v>
      </c>
      <c r="Q370">
        <v>1</v>
      </c>
      <c r="R370">
        <v>2</v>
      </c>
      <c r="S370" t="s">
        <v>2919</v>
      </c>
    </row>
    <row r="371" spans="1:19" x14ac:dyDescent="0.25">
      <c r="A371" t="s">
        <v>2228</v>
      </c>
      <c r="B371" t="s">
        <v>753</v>
      </c>
      <c r="C371" t="s">
        <v>134</v>
      </c>
      <c r="D371" s="2">
        <v>39416</v>
      </c>
      <c r="E371" t="s">
        <v>145</v>
      </c>
      <c r="F371" t="s">
        <v>108</v>
      </c>
      <c r="G371" t="s">
        <v>536</v>
      </c>
      <c r="H371" t="s">
        <v>2229</v>
      </c>
      <c r="I371" t="s">
        <v>368</v>
      </c>
      <c r="J371" t="s">
        <v>50</v>
      </c>
      <c r="K371" t="s">
        <v>2230</v>
      </c>
      <c r="L371" t="s">
        <v>2231</v>
      </c>
      <c r="M371" t="s">
        <v>2232</v>
      </c>
      <c r="N371">
        <v>2024</v>
      </c>
      <c r="O371" t="s">
        <v>105</v>
      </c>
      <c r="P371" t="s">
        <v>106</v>
      </c>
      <c r="Q371">
        <v>2</v>
      </c>
      <c r="R371">
        <v>4</v>
      </c>
      <c r="S371" t="s">
        <v>2908</v>
      </c>
    </row>
    <row r="372" spans="1:19" x14ac:dyDescent="0.25">
      <c r="A372" t="s">
        <v>2233</v>
      </c>
      <c r="B372" t="s">
        <v>66</v>
      </c>
      <c r="C372" t="s">
        <v>20</v>
      </c>
      <c r="D372" s="2">
        <v>37796</v>
      </c>
      <c r="E372" t="s">
        <v>35</v>
      </c>
      <c r="F372" t="s">
        <v>1168</v>
      </c>
      <c r="G372" t="s">
        <v>797</v>
      </c>
      <c r="H372" t="s">
        <v>2234</v>
      </c>
      <c r="I372" t="s">
        <v>49</v>
      </c>
      <c r="J372" t="s">
        <v>201</v>
      </c>
      <c r="K372" t="s">
        <v>2235</v>
      </c>
      <c r="L372" t="s">
        <v>2236</v>
      </c>
      <c r="M372" t="s">
        <v>2237</v>
      </c>
      <c r="N372">
        <v>2024</v>
      </c>
      <c r="O372" t="s">
        <v>75</v>
      </c>
      <c r="P372" t="s">
        <v>76</v>
      </c>
      <c r="Q372">
        <v>2</v>
      </c>
      <c r="R372">
        <v>4</v>
      </c>
      <c r="S372" t="s">
        <v>2961</v>
      </c>
    </row>
    <row r="373" spans="1:19" x14ac:dyDescent="0.25">
      <c r="A373" t="s">
        <v>2238</v>
      </c>
      <c r="B373" t="s">
        <v>23</v>
      </c>
      <c r="C373" t="s">
        <v>134</v>
      </c>
      <c r="D373" s="2">
        <v>36776</v>
      </c>
      <c r="E373" t="s">
        <v>67</v>
      </c>
      <c r="F373" t="s">
        <v>623</v>
      </c>
      <c r="G373" t="s">
        <v>1168</v>
      </c>
      <c r="H373" t="s">
        <v>2239</v>
      </c>
      <c r="I373" t="s">
        <v>39</v>
      </c>
      <c r="J373" t="s">
        <v>26</v>
      </c>
      <c r="K373" t="s">
        <v>2240</v>
      </c>
      <c r="L373" t="s">
        <v>2241</v>
      </c>
      <c r="M373" t="s">
        <v>2242</v>
      </c>
      <c r="N373">
        <v>2022</v>
      </c>
      <c r="O373" t="s">
        <v>159</v>
      </c>
      <c r="P373" t="s">
        <v>160</v>
      </c>
      <c r="Q373">
        <v>1</v>
      </c>
      <c r="R373">
        <v>2</v>
      </c>
      <c r="S373" t="s">
        <v>2902</v>
      </c>
    </row>
    <row r="374" spans="1:19" x14ac:dyDescent="0.25">
      <c r="A374" t="s">
        <v>2243</v>
      </c>
      <c r="B374" t="s">
        <v>2244</v>
      </c>
      <c r="C374" t="s">
        <v>134</v>
      </c>
      <c r="D374" s="2">
        <v>39153</v>
      </c>
      <c r="E374" t="s">
        <v>67</v>
      </c>
      <c r="F374" t="s">
        <v>328</v>
      </c>
      <c r="G374" t="s">
        <v>100</v>
      </c>
      <c r="H374" t="s">
        <v>2245</v>
      </c>
      <c r="I374" t="s">
        <v>82</v>
      </c>
      <c r="J374" t="s">
        <v>175</v>
      </c>
      <c r="K374" t="s">
        <v>2246</v>
      </c>
      <c r="L374" t="s">
        <v>2247</v>
      </c>
      <c r="M374" t="s">
        <v>2248</v>
      </c>
      <c r="N374">
        <v>2021</v>
      </c>
      <c r="O374" t="s">
        <v>75</v>
      </c>
      <c r="P374" t="s">
        <v>76</v>
      </c>
      <c r="Q374">
        <v>1</v>
      </c>
      <c r="R374">
        <v>2</v>
      </c>
      <c r="S374" t="s">
        <v>2961</v>
      </c>
    </row>
    <row r="375" spans="1:19" x14ac:dyDescent="0.25">
      <c r="A375" t="s">
        <v>2249</v>
      </c>
      <c r="B375" t="s">
        <v>451</v>
      </c>
      <c r="C375" t="s">
        <v>20</v>
      </c>
      <c r="D375" s="2">
        <v>37903</v>
      </c>
      <c r="E375" t="s">
        <v>109</v>
      </c>
      <c r="F375" t="s">
        <v>223</v>
      </c>
      <c r="G375" t="s">
        <v>424</v>
      </c>
      <c r="H375" t="s">
        <v>2250</v>
      </c>
      <c r="I375" t="s">
        <v>82</v>
      </c>
      <c r="J375" t="s">
        <v>175</v>
      </c>
      <c r="K375" t="s">
        <v>2251</v>
      </c>
      <c r="L375" t="s">
        <v>2252</v>
      </c>
      <c r="M375" t="s">
        <v>2253</v>
      </c>
      <c r="N375">
        <v>2021</v>
      </c>
      <c r="O375" t="s">
        <v>63</v>
      </c>
      <c r="P375" t="s">
        <v>64</v>
      </c>
      <c r="Q375">
        <v>1</v>
      </c>
      <c r="R375">
        <v>2</v>
      </c>
      <c r="S375" t="s">
        <v>2932</v>
      </c>
    </row>
    <row r="376" spans="1:19" x14ac:dyDescent="0.25">
      <c r="A376" t="s">
        <v>2254</v>
      </c>
      <c r="B376" t="s">
        <v>1130</v>
      </c>
      <c r="C376" t="s">
        <v>134</v>
      </c>
      <c r="D376" s="2">
        <v>36264</v>
      </c>
      <c r="E376" t="s">
        <v>196</v>
      </c>
      <c r="F376" t="s">
        <v>1061</v>
      </c>
      <c r="G376" t="s">
        <v>195</v>
      </c>
      <c r="H376" t="s">
        <v>2255</v>
      </c>
      <c r="I376" t="s">
        <v>91</v>
      </c>
      <c r="J376" t="s">
        <v>71</v>
      </c>
      <c r="K376" t="s">
        <v>2256</v>
      </c>
      <c r="L376" t="s">
        <v>2257</v>
      </c>
      <c r="M376" t="s">
        <v>2258</v>
      </c>
      <c r="N376">
        <v>2023</v>
      </c>
      <c r="O376" t="s">
        <v>212</v>
      </c>
      <c r="P376" t="s">
        <v>213</v>
      </c>
      <c r="Q376">
        <v>3</v>
      </c>
      <c r="R376">
        <v>6</v>
      </c>
      <c r="S376" t="s">
        <v>3001</v>
      </c>
    </row>
    <row r="377" spans="1:19" x14ac:dyDescent="0.25">
      <c r="A377" t="s">
        <v>2259</v>
      </c>
      <c r="B377" t="s">
        <v>1679</v>
      </c>
      <c r="C377" t="s">
        <v>134</v>
      </c>
      <c r="D377" s="2">
        <v>39045</v>
      </c>
      <c r="E377" t="s">
        <v>67</v>
      </c>
      <c r="F377" t="s">
        <v>69</v>
      </c>
      <c r="G377" t="s">
        <v>796</v>
      </c>
      <c r="H377" t="s">
        <v>199</v>
      </c>
      <c r="I377" t="s">
        <v>368</v>
      </c>
      <c r="J377" t="s">
        <v>50</v>
      </c>
      <c r="K377" t="s">
        <v>2260</v>
      </c>
      <c r="L377" t="s">
        <v>2261</v>
      </c>
      <c r="M377" t="s">
        <v>2262</v>
      </c>
      <c r="N377">
        <v>2021</v>
      </c>
      <c r="O377" t="s">
        <v>122</v>
      </c>
      <c r="P377" t="s">
        <v>123</v>
      </c>
      <c r="Q377">
        <v>1</v>
      </c>
      <c r="R377">
        <v>2</v>
      </c>
      <c r="S377" t="s">
        <v>2919</v>
      </c>
    </row>
    <row r="378" spans="1:19" x14ac:dyDescent="0.25">
      <c r="A378" t="s">
        <v>2263</v>
      </c>
      <c r="B378" t="s">
        <v>2117</v>
      </c>
      <c r="C378" t="s">
        <v>20</v>
      </c>
      <c r="D378" s="2">
        <v>38675</v>
      </c>
      <c r="E378" t="s">
        <v>67</v>
      </c>
      <c r="F378" t="s">
        <v>320</v>
      </c>
      <c r="G378" t="s">
        <v>146</v>
      </c>
      <c r="H378" t="s">
        <v>1146</v>
      </c>
      <c r="I378" t="s">
        <v>49</v>
      </c>
      <c r="J378" t="s">
        <v>201</v>
      </c>
      <c r="K378" t="s">
        <v>2264</v>
      </c>
      <c r="L378" t="s">
        <v>2265</v>
      </c>
      <c r="M378" t="s">
        <v>2266</v>
      </c>
      <c r="N378">
        <v>2023</v>
      </c>
      <c r="O378" t="s">
        <v>30</v>
      </c>
      <c r="P378" t="s">
        <v>31</v>
      </c>
      <c r="Q378">
        <v>3</v>
      </c>
      <c r="R378">
        <v>6</v>
      </c>
      <c r="S378" t="s">
        <v>2895</v>
      </c>
    </row>
    <row r="379" spans="1:19" x14ac:dyDescent="0.25">
      <c r="A379" t="s">
        <v>2267</v>
      </c>
      <c r="B379" t="s">
        <v>609</v>
      </c>
      <c r="C379" t="s">
        <v>20</v>
      </c>
      <c r="D379" s="2">
        <v>38488</v>
      </c>
      <c r="E379" t="s">
        <v>109</v>
      </c>
      <c r="F379" t="s">
        <v>678</v>
      </c>
      <c r="G379" t="s">
        <v>1189</v>
      </c>
      <c r="H379" t="s">
        <v>2268</v>
      </c>
      <c r="I379" t="s">
        <v>39</v>
      </c>
      <c r="J379" t="s">
        <v>26</v>
      </c>
      <c r="K379" t="s">
        <v>2269</v>
      </c>
      <c r="L379" t="s">
        <v>2270</v>
      </c>
      <c r="M379" t="s">
        <v>2271</v>
      </c>
      <c r="N379">
        <v>2022</v>
      </c>
      <c r="O379" t="s">
        <v>122</v>
      </c>
      <c r="P379" t="s">
        <v>123</v>
      </c>
      <c r="Q379">
        <v>1</v>
      </c>
      <c r="R379">
        <v>2</v>
      </c>
      <c r="S379" t="s">
        <v>2919</v>
      </c>
    </row>
    <row r="380" spans="1:19" x14ac:dyDescent="0.25">
      <c r="A380" t="s">
        <v>2272</v>
      </c>
      <c r="B380" t="s">
        <v>386</v>
      </c>
      <c r="C380" t="s">
        <v>134</v>
      </c>
      <c r="D380" s="2">
        <v>37336</v>
      </c>
      <c r="E380" t="s">
        <v>109</v>
      </c>
      <c r="F380" t="s">
        <v>100</v>
      </c>
      <c r="G380" t="s">
        <v>393</v>
      </c>
      <c r="H380" t="s">
        <v>2273</v>
      </c>
      <c r="I380" t="s">
        <v>91</v>
      </c>
      <c r="J380" t="s">
        <v>71</v>
      </c>
      <c r="K380" t="s">
        <v>2274</v>
      </c>
      <c r="L380" t="s">
        <v>2275</v>
      </c>
      <c r="M380" t="s">
        <v>2276</v>
      </c>
      <c r="N380">
        <v>2024</v>
      </c>
      <c r="O380" t="s">
        <v>30</v>
      </c>
      <c r="P380" t="s">
        <v>31</v>
      </c>
      <c r="Q380">
        <v>2</v>
      </c>
      <c r="R380">
        <v>4</v>
      </c>
      <c r="S380" t="s">
        <v>2895</v>
      </c>
    </row>
    <row r="381" spans="1:19" x14ac:dyDescent="0.25">
      <c r="A381" t="s">
        <v>2277</v>
      </c>
      <c r="B381" t="s">
        <v>472</v>
      </c>
      <c r="C381" t="s">
        <v>20</v>
      </c>
      <c r="D381" s="2">
        <v>37010</v>
      </c>
      <c r="E381" t="s">
        <v>21</v>
      </c>
      <c r="F381" t="s">
        <v>136</v>
      </c>
      <c r="G381" t="s">
        <v>1067</v>
      </c>
      <c r="H381" t="s">
        <v>1163</v>
      </c>
      <c r="I381" t="s">
        <v>91</v>
      </c>
      <c r="J381" t="s">
        <v>71</v>
      </c>
      <c r="K381" t="s">
        <v>2278</v>
      </c>
      <c r="L381" t="s">
        <v>2279</v>
      </c>
      <c r="M381" t="s">
        <v>2280</v>
      </c>
      <c r="N381">
        <v>2024</v>
      </c>
      <c r="O381" t="s">
        <v>30</v>
      </c>
      <c r="P381" t="s">
        <v>31</v>
      </c>
      <c r="Q381">
        <v>2</v>
      </c>
      <c r="R381">
        <v>4</v>
      </c>
      <c r="S381" t="s">
        <v>2895</v>
      </c>
    </row>
    <row r="382" spans="1:19" x14ac:dyDescent="0.25">
      <c r="A382" t="s">
        <v>2281</v>
      </c>
      <c r="B382" t="s">
        <v>146</v>
      </c>
      <c r="C382" t="s">
        <v>134</v>
      </c>
      <c r="D382" s="2">
        <v>36927</v>
      </c>
      <c r="E382" t="s">
        <v>21</v>
      </c>
      <c r="F382" t="s">
        <v>282</v>
      </c>
      <c r="G382" t="s">
        <v>773</v>
      </c>
      <c r="H382" t="s">
        <v>2282</v>
      </c>
      <c r="I382" t="s">
        <v>368</v>
      </c>
      <c r="J382" t="s">
        <v>50</v>
      </c>
      <c r="K382" t="s">
        <v>2283</v>
      </c>
      <c r="L382" t="s">
        <v>2284</v>
      </c>
      <c r="M382" t="s">
        <v>2285</v>
      </c>
      <c r="N382">
        <v>2024</v>
      </c>
      <c r="O382" t="s">
        <v>122</v>
      </c>
      <c r="P382" t="s">
        <v>123</v>
      </c>
      <c r="Q382">
        <v>2</v>
      </c>
      <c r="R382">
        <v>4</v>
      </c>
      <c r="S382" t="s">
        <v>2919</v>
      </c>
    </row>
    <row r="383" spans="1:19" x14ac:dyDescent="0.25">
      <c r="A383" t="s">
        <v>2286</v>
      </c>
      <c r="B383" t="s">
        <v>133</v>
      </c>
      <c r="C383" t="s">
        <v>20</v>
      </c>
      <c r="D383" s="2">
        <v>36277</v>
      </c>
      <c r="E383" t="s">
        <v>196</v>
      </c>
      <c r="F383" t="s">
        <v>400</v>
      </c>
      <c r="G383" t="s">
        <v>100</v>
      </c>
      <c r="H383" t="s">
        <v>2287</v>
      </c>
      <c r="I383" t="s">
        <v>263</v>
      </c>
      <c r="J383" t="s">
        <v>139</v>
      </c>
      <c r="K383" t="s">
        <v>2288</v>
      </c>
      <c r="L383" t="s">
        <v>2289</v>
      </c>
      <c r="M383" t="s">
        <v>2290</v>
      </c>
      <c r="N383">
        <v>2022</v>
      </c>
      <c r="O383" t="s">
        <v>105</v>
      </c>
      <c r="P383" t="s">
        <v>106</v>
      </c>
      <c r="Q383">
        <v>1</v>
      </c>
      <c r="R383">
        <v>2</v>
      </c>
      <c r="S383" t="s">
        <v>2908</v>
      </c>
    </row>
    <row r="384" spans="1:19" x14ac:dyDescent="0.25">
      <c r="A384" t="s">
        <v>2291</v>
      </c>
      <c r="B384" t="s">
        <v>1254</v>
      </c>
      <c r="C384" t="s">
        <v>20</v>
      </c>
      <c r="D384" s="2">
        <v>36181</v>
      </c>
      <c r="E384" t="s">
        <v>145</v>
      </c>
      <c r="F384" t="s">
        <v>529</v>
      </c>
      <c r="G384" t="s">
        <v>230</v>
      </c>
      <c r="H384" t="s">
        <v>2292</v>
      </c>
      <c r="I384" t="s">
        <v>368</v>
      </c>
      <c r="J384" t="s">
        <v>50</v>
      </c>
      <c r="K384" t="s">
        <v>2293</v>
      </c>
      <c r="L384" t="s">
        <v>2294</v>
      </c>
      <c r="M384" t="s">
        <v>2295</v>
      </c>
      <c r="N384">
        <v>2022</v>
      </c>
      <c r="O384" t="s">
        <v>95</v>
      </c>
      <c r="P384" t="s">
        <v>96</v>
      </c>
      <c r="Q384">
        <v>1</v>
      </c>
      <c r="R384">
        <v>2</v>
      </c>
      <c r="S384" t="s">
        <v>2889</v>
      </c>
    </row>
    <row r="385" spans="1:19" x14ac:dyDescent="0.25">
      <c r="A385" t="s">
        <v>2296</v>
      </c>
      <c r="B385" t="s">
        <v>1085</v>
      </c>
      <c r="C385" t="s">
        <v>20</v>
      </c>
      <c r="D385" s="2">
        <v>38214</v>
      </c>
      <c r="E385" t="s">
        <v>21</v>
      </c>
      <c r="F385" t="s">
        <v>1948</v>
      </c>
      <c r="G385" t="s">
        <v>1985</v>
      </c>
      <c r="H385" t="s">
        <v>2297</v>
      </c>
      <c r="I385" t="s">
        <v>91</v>
      </c>
      <c r="J385" t="s">
        <v>71</v>
      </c>
      <c r="K385" t="s">
        <v>2298</v>
      </c>
      <c r="L385" t="s">
        <v>2299</v>
      </c>
      <c r="M385" t="s">
        <v>2300</v>
      </c>
      <c r="N385">
        <v>2021</v>
      </c>
      <c r="O385" t="s">
        <v>30</v>
      </c>
      <c r="P385" t="s">
        <v>31</v>
      </c>
      <c r="Q385">
        <v>1</v>
      </c>
      <c r="R385">
        <v>2</v>
      </c>
      <c r="S385" t="s">
        <v>2895</v>
      </c>
    </row>
    <row r="386" spans="1:19" x14ac:dyDescent="0.25">
      <c r="A386" t="s">
        <v>2301</v>
      </c>
      <c r="B386" t="s">
        <v>1847</v>
      </c>
      <c r="C386" t="s">
        <v>134</v>
      </c>
      <c r="D386" s="2">
        <v>38847</v>
      </c>
      <c r="E386" t="s">
        <v>196</v>
      </c>
      <c r="F386" t="s">
        <v>153</v>
      </c>
      <c r="G386" t="s">
        <v>943</v>
      </c>
      <c r="H386" t="s">
        <v>2302</v>
      </c>
      <c r="I386" t="s">
        <v>82</v>
      </c>
      <c r="J386" t="s">
        <v>175</v>
      </c>
      <c r="K386" t="s">
        <v>2303</v>
      </c>
      <c r="L386" t="s">
        <v>2304</v>
      </c>
      <c r="M386" t="s">
        <v>2305</v>
      </c>
      <c r="N386">
        <v>2022</v>
      </c>
      <c r="O386" t="s">
        <v>63</v>
      </c>
      <c r="P386" t="s">
        <v>64</v>
      </c>
      <c r="Q386">
        <v>1</v>
      </c>
      <c r="R386">
        <v>2</v>
      </c>
      <c r="S386" t="s">
        <v>2932</v>
      </c>
    </row>
    <row r="387" spans="1:19" x14ac:dyDescent="0.25">
      <c r="A387" t="s">
        <v>2306</v>
      </c>
      <c r="B387" t="s">
        <v>1429</v>
      </c>
      <c r="C387" t="s">
        <v>20</v>
      </c>
      <c r="D387" s="2">
        <v>36488</v>
      </c>
      <c r="E387" t="s">
        <v>67</v>
      </c>
      <c r="F387" t="s">
        <v>981</v>
      </c>
      <c r="G387" t="s">
        <v>136</v>
      </c>
      <c r="H387" t="s">
        <v>2307</v>
      </c>
      <c r="I387" t="s">
        <v>368</v>
      </c>
      <c r="J387" t="s">
        <v>50</v>
      </c>
      <c r="K387" t="s">
        <v>2308</v>
      </c>
      <c r="L387" t="s">
        <v>2309</v>
      </c>
      <c r="M387" t="s">
        <v>2310</v>
      </c>
      <c r="N387">
        <v>2021</v>
      </c>
      <c r="O387" t="s">
        <v>159</v>
      </c>
      <c r="P387" t="s">
        <v>160</v>
      </c>
      <c r="Q387">
        <v>1</v>
      </c>
      <c r="R387">
        <v>2</v>
      </c>
      <c r="S387" t="s">
        <v>2902</v>
      </c>
    </row>
    <row r="388" spans="1:19" x14ac:dyDescent="0.25">
      <c r="A388" t="s">
        <v>2311</v>
      </c>
      <c r="B388" t="s">
        <v>172</v>
      </c>
      <c r="C388" t="s">
        <v>134</v>
      </c>
      <c r="D388" s="2">
        <v>38337</v>
      </c>
      <c r="E388" t="s">
        <v>21</v>
      </c>
      <c r="F388" t="s">
        <v>1435</v>
      </c>
      <c r="G388" t="s">
        <v>378</v>
      </c>
      <c r="H388" t="s">
        <v>660</v>
      </c>
      <c r="I388" t="s">
        <v>263</v>
      </c>
      <c r="J388" t="s">
        <v>139</v>
      </c>
      <c r="K388" t="s">
        <v>2312</v>
      </c>
      <c r="L388" t="s">
        <v>2313</v>
      </c>
      <c r="M388" t="s">
        <v>2314</v>
      </c>
      <c r="N388">
        <v>2021</v>
      </c>
      <c r="O388" t="s">
        <v>30</v>
      </c>
      <c r="P388" t="s">
        <v>31</v>
      </c>
      <c r="Q388">
        <v>1</v>
      </c>
      <c r="R388">
        <v>2</v>
      </c>
      <c r="S388" t="s">
        <v>2895</v>
      </c>
    </row>
    <row r="389" spans="1:19" x14ac:dyDescent="0.25">
      <c r="A389" t="s">
        <v>2315</v>
      </c>
      <c r="B389" t="s">
        <v>772</v>
      </c>
      <c r="C389" t="s">
        <v>134</v>
      </c>
      <c r="D389" s="2">
        <v>37397</v>
      </c>
      <c r="E389" t="s">
        <v>35</v>
      </c>
      <c r="F389" t="s">
        <v>358</v>
      </c>
      <c r="G389" t="s">
        <v>699</v>
      </c>
      <c r="H389" t="s">
        <v>2316</v>
      </c>
      <c r="I389" t="s">
        <v>82</v>
      </c>
      <c r="J389" t="s">
        <v>175</v>
      </c>
      <c r="K389" t="s">
        <v>2317</v>
      </c>
      <c r="L389" t="s">
        <v>2318</v>
      </c>
      <c r="M389" t="s">
        <v>2319</v>
      </c>
      <c r="N389">
        <v>2024</v>
      </c>
      <c r="O389" t="s">
        <v>105</v>
      </c>
      <c r="P389" t="s">
        <v>106</v>
      </c>
      <c r="Q389">
        <v>2</v>
      </c>
      <c r="R389">
        <v>4</v>
      </c>
      <c r="S389" t="s">
        <v>2908</v>
      </c>
    </row>
    <row r="390" spans="1:19" x14ac:dyDescent="0.25">
      <c r="A390" t="s">
        <v>2320</v>
      </c>
      <c r="B390" t="s">
        <v>245</v>
      </c>
      <c r="C390" t="s">
        <v>20</v>
      </c>
      <c r="D390" s="2">
        <v>36181</v>
      </c>
      <c r="E390" t="s">
        <v>67</v>
      </c>
      <c r="F390" t="s">
        <v>1371</v>
      </c>
      <c r="G390" t="s">
        <v>46</v>
      </c>
      <c r="H390" t="s">
        <v>2321</v>
      </c>
      <c r="I390" t="s">
        <v>25</v>
      </c>
      <c r="J390" t="s">
        <v>25</v>
      </c>
      <c r="K390" t="s">
        <v>2322</v>
      </c>
      <c r="L390" t="s">
        <v>2323</v>
      </c>
      <c r="M390" t="s">
        <v>2324</v>
      </c>
      <c r="N390">
        <v>2023</v>
      </c>
      <c r="O390" t="s">
        <v>30</v>
      </c>
      <c r="P390" t="s">
        <v>31</v>
      </c>
      <c r="Q390">
        <v>3</v>
      </c>
      <c r="R390">
        <v>6</v>
      </c>
      <c r="S390" t="s">
        <v>2895</v>
      </c>
    </row>
    <row r="391" spans="1:19" x14ac:dyDescent="0.25">
      <c r="A391" t="s">
        <v>2325</v>
      </c>
      <c r="B391" t="s">
        <v>1162</v>
      </c>
      <c r="C391" t="s">
        <v>134</v>
      </c>
      <c r="D391" s="2">
        <v>38053</v>
      </c>
      <c r="E391" t="s">
        <v>35</v>
      </c>
      <c r="F391" t="s">
        <v>409</v>
      </c>
      <c r="G391" t="s">
        <v>56</v>
      </c>
      <c r="H391" t="s">
        <v>2326</v>
      </c>
      <c r="I391" t="s">
        <v>25</v>
      </c>
      <c r="J391" t="s">
        <v>25</v>
      </c>
      <c r="K391" t="s">
        <v>2327</v>
      </c>
      <c r="L391" t="s">
        <v>2328</v>
      </c>
      <c r="M391" t="s">
        <v>2329</v>
      </c>
      <c r="N391">
        <v>2024</v>
      </c>
      <c r="O391" t="s">
        <v>63</v>
      </c>
      <c r="P391" t="s">
        <v>64</v>
      </c>
      <c r="Q391">
        <v>2</v>
      </c>
      <c r="R391">
        <v>4</v>
      </c>
      <c r="S391" t="s">
        <v>2932</v>
      </c>
    </row>
    <row r="392" spans="1:19" x14ac:dyDescent="0.25">
      <c r="A392" t="s">
        <v>2330</v>
      </c>
      <c r="B392" t="s">
        <v>637</v>
      </c>
      <c r="C392" t="s">
        <v>20</v>
      </c>
      <c r="D392" s="2">
        <v>38440</v>
      </c>
      <c r="E392" t="s">
        <v>35</v>
      </c>
      <c r="F392" t="s">
        <v>1277</v>
      </c>
      <c r="G392" t="s">
        <v>162</v>
      </c>
      <c r="H392" t="s">
        <v>2331</v>
      </c>
      <c r="I392" t="s">
        <v>39</v>
      </c>
      <c r="J392" t="s">
        <v>26</v>
      </c>
      <c r="K392" t="s">
        <v>2332</v>
      </c>
      <c r="L392" t="s">
        <v>2333</v>
      </c>
      <c r="M392" t="s">
        <v>2334</v>
      </c>
      <c r="N392">
        <v>2024</v>
      </c>
      <c r="O392" t="s">
        <v>95</v>
      </c>
      <c r="P392" t="s">
        <v>96</v>
      </c>
      <c r="Q392">
        <v>2</v>
      </c>
      <c r="R392">
        <v>4</v>
      </c>
      <c r="S392" t="s">
        <v>2889</v>
      </c>
    </row>
    <row r="393" spans="1:19" x14ac:dyDescent="0.25">
      <c r="A393" t="s">
        <v>2335</v>
      </c>
      <c r="B393" t="s">
        <v>153</v>
      </c>
      <c r="C393" t="s">
        <v>20</v>
      </c>
      <c r="D393" s="2">
        <v>39260</v>
      </c>
      <c r="E393" t="s">
        <v>196</v>
      </c>
      <c r="F393" t="s">
        <v>298</v>
      </c>
      <c r="G393" t="s">
        <v>47</v>
      </c>
      <c r="H393" t="s">
        <v>2336</v>
      </c>
      <c r="I393" t="s">
        <v>25</v>
      </c>
      <c r="J393" t="s">
        <v>25</v>
      </c>
      <c r="K393" t="s">
        <v>2337</v>
      </c>
      <c r="L393" t="s">
        <v>2338</v>
      </c>
      <c r="M393" t="s">
        <v>2339</v>
      </c>
      <c r="N393">
        <v>2023</v>
      </c>
      <c r="O393" t="s">
        <v>95</v>
      </c>
      <c r="P393" t="s">
        <v>96</v>
      </c>
      <c r="Q393">
        <v>3</v>
      </c>
      <c r="R393">
        <v>6</v>
      </c>
      <c r="S393" t="s">
        <v>2889</v>
      </c>
    </row>
    <row r="394" spans="1:19" x14ac:dyDescent="0.25">
      <c r="A394" t="s">
        <v>2340</v>
      </c>
      <c r="B394" t="s">
        <v>33</v>
      </c>
      <c r="C394" t="s">
        <v>134</v>
      </c>
      <c r="D394" s="2">
        <v>38093</v>
      </c>
      <c r="E394" t="s">
        <v>21</v>
      </c>
      <c r="F394" t="s">
        <v>1378</v>
      </c>
      <c r="G394" t="s">
        <v>1300</v>
      </c>
      <c r="H394" t="s">
        <v>2341</v>
      </c>
      <c r="I394" t="s">
        <v>91</v>
      </c>
      <c r="J394" t="s">
        <v>71</v>
      </c>
      <c r="K394" t="s">
        <v>2342</v>
      </c>
      <c r="L394" t="s">
        <v>2343</v>
      </c>
      <c r="M394" t="s">
        <v>2344</v>
      </c>
      <c r="N394">
        <v>2021</v>
      </c>
      <c r="O394" t="s">
        <v>30</v>
      </c>
      <c r="P394" t="s">
        <v>31</v>
      </c>
      <c r="Q394">
        <v>1</v>
      </c>
      <c r="R394">
        <v>2</v>
      </c>
      <c r="S394" t="s">
        <v>2895</v>
      </c>
    </row>
    <row r="395" spans="1:19" x14ac:dyDescent="0.25">
      <c r="A395" t="s">
        <v>2345</v>
      </c>
      <c r="B395" t="s">
        <v>589</v>
      </c>
      <c r="C395" t="s">
        <v>134</v>
      </c>
      <c r="D395" s="2">
        <v>38054</v>
      </c>
      <c r="E395" t="s">
        <v>67</v>
      </c>
      <c r="F395" t="s">
        <v>718</v>
      </c>
      <c r="G395" t="s">
        <v>564</v>
      </c>
      <c r="H395" t="s">
        <v>2346</v>
      </c>
      <c r="I395" t="s">
        <v>368</v>
      </c>
      <c r="J395" t="s">
        <v>50</v>
      </c>
      <c r="K395" t="s">
        <v>2347</v>
      </c>
      <c r="L395" t="s">
        <v>2348</v>
      </c>
      <c r="M395" t="s">
        <v>2349</v>
      </c>
      <c r="N395">
        <v>2024</v>
      </c>
      <c r="O395" t="s">
        <v>212</v>
      </c>
      <c r="P395" t="s">
        <v>213</v>
      </c>
      <c r="Q395">
        <v>2</v>
      </c>
      <c r="R395">
        <v>4</v>
      </c>
      <c r="S395" t="s">
        <v>3001</v>
      </c>
    </row>
    <row r="396" spans="1:19" x14ac:dyDescent="0.25">
      <c r="A396" t="s">
        <v>2350</v>
      </c>
      <c r="B396" t="s">
        <v>1372</v>
      </c>
      <c r="C396" t="s">
        <v>134</v>
      </c>
      <c r="D396" s="2">
        <v>36758</v>
      </c>
      <c r="E396" t="s">
        <v>35</v>
      </c>
      <c r="F396" t="s">
        <v>602</v>
      </c>
      <c r="G396" t="s">
        <v>2351</v>
      </c>
      <c r="H396" t="s">
        <v>2352</v>
      </c>
      <c r="I396" t="s">
        <v>49</v>
      </c>
      <c r="J396" t="s">
        <v>201</v>
      </c>
      <c r="K396" t="s">
        <v>2353</v>
      </c>
      <c r="L396" t="s">
        <v>2354</v>
      </c>
      <c r="M396" t="s">
        <v>2355</v>
      </c>
      <c r="N396">
        <v>2023</v>
      </c>
      <c r="O396" t="s">
        <v>75</v>
      </c>
      <c r="P396" t="s">
        <v>76</v>
      </c>
      <c r="Q396">
        <v>3</v>
      </c>
      <c r="R396">
        <v>6</v>
      </c>
      <c r="S396" t="s">
        <v>2961</v>
      </c>
    </row>
    <row r="397" spans="1:19" x14ac:dyDescent="0.25">
      <c r="A397" t="s">
        <v>2356</v>
      </c>
      <c r="B397" t="s">
        <v>37</v>
      </c>
      <c r="C397" t="s">
        <v>134</v>
      </c>
      <c r="D397" s="2">
        <v>38298</v>
      </c>
      <c r="E397" t="s">
        <v>67</v>
      </c>
      <c r="F397" t="s">
        <v>416</v>
      </c>
      <c r="G397" t="s">
        <v>644</v>
      </c>
      <c r="H397" t="s">
        <v>2357</v>
      </c>
      <c r="I397" t="s">
        <v>25</v>
      </c>
      <c r="J397" t="s">
        <v>25</v>
      </c>
      <c r="K397" t="s">
        <v>2358</v>
      </c>
      <c r="L397" t="s">
        <v>2359</v>
      </c>
      <c r="M397" t="s">
        <v>2360</v>
      </c>
      <c r="N397">
        <v>2023</v>
      </c>
      <c r="O397" t="s">
        <v>63</v>
      </c>
      <c r="P397" t="s">
        <v>64</v>
      </c>
      <c r="Q397">
        <v>3</v>
      </c>
      <c r="R397">
        <v>6</v>
      </c>
      <c r="S397" t="s">
        <v>2932</v>
      </c>
    </row>
    <row r="398" spans="1:19" x14ac:dyDescent="0.25">
      <c r="A398" t="s">
        <v>2361</v>
      </c>
      <c r="B398" t="s">
        <v>1260</v>
      </c>
      <c r="C398" t="s">
        <v>134</v>
      </c>
      <c r="D398" s="2">
        <v>37570</v>
      </c>
      <c r="E398" t="s">
        <v>171</v>
      </c>
      <c r="F398" t="s">
        <v>98</v>
      </c>
      <c r="G398" t="s">
        <v>915</v>
      </c>
      <c r="H398" t="s">
        <v>2362</v>
      </c>
      <c r="I398" t="s">
        <v>368</v>
      </c>
      <c r="J398" t="s">
        <v>50</v>
      </c>
      <c r="K398" t="s">
        <v>2363</v>
      </c>
      <c r="L398" t="s">
        <v>2364</v>
      </c>
      <c r="M398" t="s">
        <v>2365</v>
      </c>
      <c r="N398">
        <v>2022</v>
      </c>
      <c r="O398" t="s">
        <v>95</v>
      </c>
      <c r="P398" t="s">
        <v>96</v>
      </c>
      <c r="Q398">
        <v>1</v>
      </c>
      <c r="R398">
        <v>2</v>
      </c>
      <c r="S398" t="s">
        <v>2889</v>
      </c>
    </row>
    <row r="399" spans="1:19" x14ac:dyDescent="0.25">
      <c r="A399" t="s">
        <v>2366</v>
      </c>
      <c r="B399" t="s">
        <v>189</v>
      </c>
      <c r="C399" t="s">
        <v>134</v>
      </c>
      <c r="D399" s="2">
        <v>37793</v>
      </c>
      <c r="E399" t="s">
        <v>145</v>
      </c>
      <c r="F399" t="s">
        <v>479</v>
      </c>
      <c r="G399" t="s">
        <v>861</v>
      </c>
      <c r="H399" t="s">
        <v>2367</v>
      </c>
      <c r="I399" t="s">
        <v>59</v>
      </c>
      <c r="J399" t="s">
        <v>26</v>
      </c>
      <c r="K399" t="s">
        <v>2368</v>
      </c>
      <c r="L399" t="s">
        <v>2369</v>
      </c>
      <c r="M399" t="s">
        <v>2370</v>
      </c>
      <c r="N399">
        <v>2023</v>
      </c>
      <c r="O399" t="s">
        <v>75</v>
      </c>
      <c r="P399" t="s">
        <v>76</v>
      </c>
      <c r="Q399">
        <v>3</v>
      </c>
      <c r="R399">
        <v>6</v>
      </c>
      <c r="S399" t="s">
        <v>2961</v>
      </c>
    </row>
    <row r="400" spans="1:19" x14ac:dyDescent="0.25">
      <c r="A400" t="s">
        <v>2371</v>
      </c>
      <c r="B400" t="s">
        <v>712</v>
      </c>
      <c r="C400" t="s">
        <v>134</v>
      </c>
      <c r="D400" s="2">
        <v>38559</v>
      </c>
      <c r="E400" t="s">
        <v>196</v>
      </c>
      <c r="F400" t="s">
        <v>2351</v>
      </c>
      <c r="G400" t="s">
        <v>268</v>
      </c>
      <c r="H400" t="s">
        <v>2372</v>
      </c>
      <c r="I400" t="s">
        <v>59</v>
      </c>
      <c r="J400" t="s">
        <v>26</v>
      </c>
      <c r="K400" t="s">
        <v>2373</v>
      </c>
      <c r="L400" t="s">
        <v>2374</v>
      </c>
      <c r="M400" t="s">
        <v>2375</v>
      </c>
      <c r="N400">
        <v>2023</v>
      </c>
      <c r="O400" t="s">
        <v>63</v>
      </c>
      <c r="P400" t="s">
        <v>64</v>
      </c>
      <c r="Q400">
        <v>3</v>
      </c>
      <c r="R400">
        <v>6</v>
      </c>
      <c r="S400" t="s">
        <v>2932</v>
      </c>
    </row>
    <row r="401" spans="1:19" x14ac:dyDescent="0.25">
      <c r="A401" t="s">
        <v>2376</v>
      </c>
      <c r="B401" t="s">
        <v>1618</v>
      </c>
      <c r="C401" t="s">
        <v>20</v>
      </c>
      <c r="D401" s="2">
        <v>38746</v>
      </c>
      <c r="E401" t="s">
        <v>171</v>
      </c>
      <c r="F401" t="s">
        <v>572</v>
      </c>
      <c r="G401" t="s">
        <v>430</v>
      </c>
      <c r="H401" t="s">
        <v>2377</v>
      </c>
      <c r="I401" t="s">
        <v>25</v>
      </c>
      <c r="J401" t="s">
        <v>25</v>
      </c>
      <c r="K401" t="s">
        <v>2378</v>
      </c>
      <c r="L401" t="s">
        <v>2379</v>
      </c>
      <c r="M401" t="s">
        <v>2380</v>
      </c>
      <c r="N401">
        <v>2024</v>
      </c>
      <c r="O401" t="s">
        <v>30</v>
      </c>
      <c r="P401" t="s">
        <v>31</v>
      </c>
      <c r="Q401">
        <v>2</v>
      </c>
      <c r="R401">
        <v>4</v>
      </c>
      <c r="S401" t="s">
        <v>2895</v>
      </c>
    </row>
    <row r="402" spans="1:19" x14ac:dyDescent="0.25">
      <c r="A402" t="s">
        <v>2381</v>
      </c>
      <c r="B402" t="s">
        <v>472</v>
      </c>
      <c r="C402" t="s">
        <v>134</v>
      </c>
      <c r="D402" s="2">
        <v>36909</v>
      </c>
      <c r="E402" t="s">
        <v>171</v>
      </c>
      <c r="F402" t="s">
        <v>1018</v>
      </c>
      <c r="G402" t="s">
        <v>652</v>
      </c>
      <c r="H402" t="s">
        <v>1405</v>
      </c>
      <c r="I402" t="s">
        <v>25</v>
      </c>
      <c r="J402" t="s">
        <v>25</v>
      </c>
      <c r="K402" t="s">
        <v>2382</v>
      </c>
      <c r="L402" t="s">
        <v>2383</v>
      </c>
      <c r="M402" t="s">
        <v>2384</v>
      </c>
      <c r="N402">
        <v>2023</v>
      </c>
      <c r="O402" t="s">
        <v>95</v>
      </c>
      <c r="P402" t="s">
        <v>96</v>
      </c>
      <c r="Q402">
        <v>3</v>
      </c>
      <c r="R402">
        <v>6</v>
      </c>
      <c r="S402" t="s">
        <v>2889</v>
      </c>
    </row>
    <row r="403" spans="1:19" x14ac:dyDescent="0.25">
      <c r="A403" t="s">
        <v>2385</v>
      </c>
      <c r="B403" t="s">
        <v>110</v>
      </c>
      <c r="C403" t="s">
        <v>20</v>
      </c>
      <c r="D403" s="2">
        <v>37404</v>
      </c>
      <c r="E403" t="s">
        <v>196</v>
      </c>
      <c r="F403" t="s">
        <v>222</v>
      </c>
      <c r="G403" t="s">
        <v>1881</v>
      </c>
      <c r="H403" t="s">
        <v>2386</v>
      </c>
      <c r="I403" t="s">
        <v>368</v>
      </c>
      <c r="J403" t="s">
        <v>50</v>
      </c>
      <c r="K403" t="s">
        <v>2387</v>
      </c>
      <c r="L403" t="s">
        <v>2388</v>
      </c>
      <c r="M403" t="s">
        <v>2389</v>
      </c>
      <c r="N403">
        <v>2023</v>
      </c>
      <c r="O403" t="s">
        <v>63</v>
      </c>
      <c r="P403" t="s">
        <v>64</v>
      </c>
      <c r="Q403">
        <v>3</v>
      </c>
      <c r="R403">
        <v>6</v>
      </c>
      <c r="S403" t="s">
        <v>2932</v>
      </c>
    </row>
    <row r="404" spans="1:19" x14ac:dyDescent="0.25">
      <c r="A404" t="s">
        <v>2390</v>
      </c>
      <c r="B404" t="s">
        <v>2208</v>
      </c>
      <c r="C404" t="s">
        <v>20</v>
      </c>
      <c r="D404" s="2">
        <v>38446</v>
      </c>
      <c r="E404" t="s">
        <v>67</v>
      </c>
      <c r="F404" t="s">
        <v>291</v>
      </c>
      <c r="G404" t="s">
        <v>712</v>
      </c>
      <c r="H404" t="s">
        <v>1019</v>
      </c>
      <c r="I404" t="s">
        <v>59</v>
      </c>
      <c r="J404" t="s">
        <v>26</v>
      </c>
      <c r="K404" t="s">
        <v>2391</v>
      </c>
      <c r="L404" t="s">
        <v>2392</v>
      </c>
      <c r="M404" t="s">
        <v>2393</v>
      </c>
      <c r="N404">
        <v>2023</v>
      </c>
      <c r="O404" t="s">
        <v>212</v>
      </c>
      <c r="P404" t="s">
        <v>213</v>
      </c>
      <c r="Q404">
        <v>3</v>
      </c>
      <c r="R404">
        <v>6</v>
      </c>
      <c r="S404" t="s">
        <v>3001</v>
      </c>
    </row>
    <row r="405" spans="1:19" x14ac:dyDescent="0.25">
      <c r="A405" t="s">
        <v>2394</v>
      </c>
      <c r="B405" t="s">
        <v>110</v>
      </c>
      <c r="C405" t="s">
        <v>134</v>
      </c>
      <c r="D405" s="2">
        <v>38093</v>
      </c>
      <c r="E405" t="s">
        <v>171</v>
      </c>
      <c r="F405" t="s">
        <v>236</v>
      </c>
      <c r="G405" t="s">
        <v>417</v>
      </c>
      <c r="H405" t="s">
        <v>2395</v>
      </c>
      <c r="I405" t="s">
        <v>263</v>
      </c>
      <c r="J405" t="s">
        <v>139</v>
      </c>
      <c r="K405" t="s">
        <v>2396</v>
      </c>
      <c r="L405" t="s">
        <v>2397</v>
      </c>
      <c r="M405" t="s">
        <v>2398</v>
      </c>
      <c r="N405">
        <v>2024</v>
      </c>
      <c r="O405" t="s">
        <v>95</v>
      </c>
      <c r="P405" t="s">
        <v>96</v>
      </c>
      <c r="Q405">
        <v>2</v>
      </c>
      <c r="R405">
        <v>4</v>
      </c>
      <c r="S405" t="s">
        <v>2889</v>
      </c>
    </row>
    <row r="406" spans="1:19" x14ac:dyDescent="0.25">
      <c r="A406" t="s">
        <v>2399</v>
      </c>
      <c r="B406" t="s">
        <v>572</v>
      </c>
      <c r="C406" t="s">
        <v>20</v>
      </c>
      <c r="D406" s="2">
        <v>37093</v>
      </c>
      <c r="E406" t="s">
        <v>109</v>
      </c>
      <c r="F406" t="s">
        <v>22</v>
      </c>
      <c r="G406" t="s">
        <v>437</v>
      </c>
      <c r="H406" t="s">
        <v>2400</v>
      </c>
      <c r="I406" t="s">
        <v>200</v>
      </c>
      <c r="J406" t="s">
        <v>40</v>
      </c>
      <c r="K406" t="s">
        <v>2401</v>
      </c>
      <c r="L406" t="s">
        <v>2402</v>
      </c>
      <c r="M406" t="s">
        <v>2403</v>
      </c>
      <c r="N406">
        <v>2021</v>
      </c>
      <c r="O406" t="s">
        <v>159</v>
      </c>
      <c r="P406" t="s">
        <v>160</v>
      </c>
      <c r="Q406">
        <v>1</v>
      </c>
      <c r="R406">
        <v>2</v>
      </c>
      <c r="S406" t="s">
        <v>2902</v>
      </c>
    </row>
    <row r="407" spans="1:19" x14ac:dyDescent="0.25">
      <c r="A407" t="s">
        <v>2404</v>
      </c>
      <c r="B407" t="s">
        <v>1445</v>
      </c>
      <c r="C407" t="s">
        <v>20</v>
      </c>
      <c r="D407" s="2">
        <v>39358</v>
      </c>
      <c r="E407" t="s">
        <v>196</v>
      </c>
      <c r="F407" t="s">
        <v>665</v>
      </c>
      <c r="G407" t="s">
        <v>400</v>
      </c>
      <c r="H407" t="s">
        <v>2405</v>
      </c>
      <c r="I407" t="s">
        <v>368</v>
      </c>
      <c r="J407" t="s">
        <v>50</v>
      </c>
      <c r="K407" t="s">
        <v>2406</v>
      </c>
      <c r="L407" t="s">
        <v>2407</v>
      </c>
      <c r="M407" t="s">
        <v>2408</v>
      </c>
      <c r="N407">
        <v>2024</v>
      </c>
      <c r="O407" t="s">
        <v>122</v>
      </c>
      <c r="P407" t="s">
        <v>123</v>
      </c>
      <c r="Q407">
        <v>2</v>
      </c>
      <c r="R407">
        <v>4</v>
      </c>
      <c r="S407" t="s">
        <v>2919</v>
      </c>
    </row>
    <row r="408" spans="1:19" x14ac:dyDescent="0.25">
      <c r="A408" t="s">
        <v>2409</v>
      </c>
      <c r="B408" t="s">
        <v>624</v>
      </c>
      <c r="C408" t="s">
        <v>20</v>
      </c>
      <c r="D408" s="2">
        <v>36238</v>
      </c>
      <c r="E408" t="s">
        <v>196</v>
      </c>
      <c r="F408" t="s">
        <v>498</v>
      </c>
      <c r="G408" t="s">
        <v>23</v>
      </c>
      <c r="H408" t="s">
        <v>2410</v>
      </c>
      <c r="I408" t="s">
        <v>49</v>
      </c>
      <c r="J408" t="s">
        <v>201</v>
      </c>
      <c r="K408" t="s">
        <v>2411</v>
      </c>
      <c r="L408" t="s">
        <v>2412</v>
      </c>
      <c r="M408" t="s">
        <v>2413</v>
      </c>
      <c r="N408">
        <v>2023</v>
      </c>
      <c r="O408" t="s">
        <v>30</v>
      </c>
      <c r="P408" t="s">
        <v>31</v>
      </c>
      <c r="Q408">
        <v>3</v>
      </c>
      <c r="R408">
        <v>6</v>
      </c>
      <c r="S408" t="s">
        <v>2895</v>
      </c>
    </row>
    <row r="409" spans="1:19" x14ac:dyDescent="0.25">
      <c r="A409" t="s">
        <v>2414</v>
      </c>
      <c r="B409" t="s">
        <v>974</v>
      </c>
      <c r="C409" t="s">
        <v>34</v>
      </c>
      <c r="D409" s="2">
        <v>37016</v>
      </c>
      <c r="E409" t="s">
        <v>35</v>
      </c>
      <c r="F409" t="s">
        <v>328</v>
      </c>
      <c r="G409" t="s">
        <v>1122</v>
      </c>
      <c r="H409" t="s">
        <v>2415</v>
      </c>
      <c r="I409" t="s">
        <v>49</v>
      </c>
      <c r="J409" t="s">
        <v>201</v>
      </c>
      <c r="K409" t="s">
        <v>2416</v>
      </c>
      <c r="L409" t="s">
        <v>2417</v>
      </c>
      <c r="M409" t="s">
        <v>2418</v>
      </c>
      <c r="N409">
        <v>2021</v>
      </c>
      <c r="O409" t="s">
        <v>105</v>
      </c>
      <c r="P409" t="s">
        <v>106</v>
      </c>
      <c r="Q409">
        <v>1</v>
      </c>
      <c r="R409">
        <v>2</v>
      </c>
      <c r="S409" t="s">
        <v>2908</v>
      </c>
    </row>
    <row r="410" spans="1:19" x14ac:dyDescent="0.25">
      <c r="A410" t="s">
        <v>2419</v>
      </c>
      <c r="B410" t="s">
        <v>652</v>
      </c>
      <c r="C410" t="s">
        <v>134</v>
      </c>
      <c r="D410" s="2">
        <v>38164</v>
      </c>
      <c r="E410" t="s">
        <v>109</v>
      </c>
      <c r="F410" t="s">
        <v>444</v>
      </c>
      <c r="G410" t="s">
        <v>172</v>
      </c>
      <c r="H410" t="s">
        <v>1631</v>
      </c>
      <c r="I410" t="s">
        <v>91</v>
      </c>
      <c r="J410" t="s">
        <v>71</v>
      </c>
      <c r="K410" t="s">
        <v>2420</v>
      </c>
      <c r="L410" t="s">
        <v>2421</v>
      </c>
      <c r="M410" t="s">
        <v>2422</v>
      </c>
      <c r="N410">
        <v>2021</v>
      </c>
      <c r="O410" t="s">
        <v>63</v>
      </c>
      <c r="P410" t="s">
        <v>64</v>
      </c>
      <c r="Q410">
        <v>1</v>
      </c>
      <c r="R410">
        <v>2</v>
      </c>
      <c r="S410" t="s">
        <v>2932</v>
      </c>
    </row>
    <row r="411" spans="1:19" x14ac:dyDescent="0.25">
      <c r="A411" t="s">
        <v>2423</v>
      </c>
      <c r="B411" t="s">
        <v>1552</v>
      </c>
      <c r="C411" t="s">
        <v>134</v>
      </c>
      <c r="D411" s="2">
        <v>37286</v>
      </c>
      <c r="E411" t="s">
        <v>67</v>
      </c>
      <c r="F411" t="s">
        <v>973</v>
      </c>
      <c r="G411" t="s">
        <v>259</v>
      </c>
      <c r="H411" t="s">
        <v>2424</v>
      </c>
      <c r="I411" t="s">
        <v>263</v>
      </c>
      <c r="J411" t="s">
        <v>139</v>
      </c>
      <c r="K411" t="s">
        <v>2425</v>
      </c>
      <c r="L411" t="s">
        <v>2426</v>
      </c>
      <c r="M411" t="s">
        <v>2427</v>
      </c>
      <c r="N411">
        <v>2021</v>
      </c>
      <c r="O411" t="s">
        <v>105</v>
      </c>
      <c r="P411" t="s">
        <v>106</v>
      </c>
      <c r="Q411">
        <v>1</v>
      </c>
      <c r="R411">
        <v>2</v>
      </c>
      <c r="S411" t="s">
        <v>2908</v>
      </c>
    </row>
    <row r="412" spans="1:19" x14ac:dyDescent="0.25">
      <c r="A412" t="s">
        <v>2428</v>
      </c>
      <c r="B412" t="s">
        <v>55</v>
      </c>
      <c r="C412" t="s">
        <v>134</v>
      </c>
      <c r="D412" s="2">
        <v>37414</v>
      </c>
      <c r="E412" t="s">
        <v>21</v>
      </c>
      <c r="F412" t="s">
        <v>916</v>
      </c>
      <c r="G412" t="s">
        <v>57</v>
      </c>
      <c r="H412" t="s">
        <v>2429</v>
      </c>
      <c r="I412" t="s">
        <v>200</v>
      </c>
      <c r="J412" t="s">
        <v>40</v>
      </c>
      <c r="K412" t="s">
        <v>2430</v>
      </c>
      <c r="L412" t="s">
        <v>2431</v>
      </c>
      <c r="M412" t="s">
        <v>2432</v>
      </c>
      <c r="N412">
        <v>2024</v>
      </c>
      <c r="O412" t="s">
        <v>105</v>
      </c>
      <c r="P412" t="s">
        <v>106</v>
      </c>
      <c r="Q412">
        <v>2</v>
      </c>
      <c r="R412">
        <v>4</v>
      </c>
      <c r="S412" t="s">
        <v>2908</v>
      </c>
    </row>
    <row r="413" spans="1:19" x14ac:dyDescent="0.25">
      <c r="A413" t="s">
        <v>2433</v>
      </c>
      <c r="B413" t="s">
        <v>2434</v>
      </c>
      <c r="C413" t="s">
        <v>134</v>
      </c>
      <c r="D413" s="2">
        <v>36163</v>
      </c>
      <c r="E413" t="s">
        <v>67</v>
      </c>
      <c r="F413" t="s">
        <v>170</v>
      </c>
      <c r="G413" t="s">
        <v>510</v>
      </c>
      <c r="H413" t="s">
        <v>2435</v>
      </c>
      <c r="I413" t="s">
        <v>49</v>
      </c>
      <c r="J413" t="s">
        <v>201</v>
      </c>
      <c r="K413" t="s">
        <v>2436</v>
      </c>
      <c r="L413" t="s">
        <v>2437</v>
      </c>
      <c r="M413" t="s">
        <v>2438</v>
      </c>
      <c r="N413">
        <v>2022</v>
      </c>
      <c r="O413" t="s">
        <v>122</v>
      </c>
      <c r="P413" t="s">
        <v>123</v>
      </c>
      <c r="Q413">
        <v>1</v>
      </c>
      <c r="R413">
        <v>2</v>
      </c>
      <c r="S413" t="s">
        <v>2919</v>
      </c>
    </row>
    <row r="414" spans="1:19" x14ac:dyDescent="0.25">
      <c r="A414" t="s">
        <v>2439</v>
      </c>
      <c r="B414" t="s">
        <v>136</v>
      </c>
      <c r="C414" t="s">
        <v>20</v>
      </c>
      <c r="D414" s="2">
        <v>38898</v>
      </c>
      <c r="E414" t="s">
        <v>21</v>
      </c>
      <c r="F414" t="s">
        <v>915</v>
      </c>
      <c r="G414" t="s">
        <v>1641</v>
      </c>
      <c r="H414" t="s">
        <v>2440</v>
      </c>
      <c r="I414" t="s">
        <v>49</v>
      </c>
      <c r="J414" t="s">
        <v>201</v>
      </c>
      <c r="K414" t="s">
        <v>2441</v>
      </c>
      <c r="L414" t="s">
        <v>2442</v>
      </c>
      <c r="M414" t="s">
        <v>2443</v>
      </c>
      <c r="N414">
        <v>2023</v>
      </c>
      <c r="O414" t="s">
        <v>95</v>
      </c>
      <c r="P414" t="s">
        <v>96</v>
      </c>
      <c r="Q414">
        <v>3</v>
      </c>
      <c r="R414">
        <v>6</v>
      </c>
      <c r="S414" t="s">
        <v>2889</v>
      </c>
    </row>
    <row r="415" spans="1:19" x14ac:dyDescent="0.25">
      <c r="A415" t="s">
        <v>2444</v>
      </c>
      <c r="B415" t="s">
        <v>198</v>
      </c>
      <c r="C415" t="s">
        <v>20</v>
      </c>
      <c r="D415" s="2">
        <v>38012</v>
      </c>
      <c r="E415" t="s">
        <v>196</v>
      </c>
      <c r="F415" t="s">
        <v>1964</v>
      </c>
      <c r="G415" t="s">
        <v>1618</v>
      </c>
      <c r="H415" t="s">
        <v>2445</v>
      </c>
      <c r="I415" t="s">
        <v>25</v>
      </c>
      <c r="J415" t="s">
        <v>25</v>
      </c>
      <c r="K415" t="s">
        <v>2446</v>
      </c>
      <c r="L415" t="s">
        <v>2447</v>
      </c>
      <c r="M415" t="s">
        <v>2448</v>
      </c>
      <c r="N415">
        <v>2022</v>
      </c>
      <c r="O415" t="s">
        <v>212</v>
      </c>
      <c r="P415" t="s">
        <v>213</v>
      </c>
      <c r="Q415">
        <v>1</v>
      </c>
      <c r="R415">
        <v>2</v>
      </c>
      <c r="S415" t="s">
        <v>3001</v>
      </c>
    </row>
    <row r="416" spans="1:19" x14ac:dyDescent="0.25">
      <c r="A416" t="s">
        <v>2449</v>
      </c>
      <c r="B416" t="s">
        <v>517</v>
      </c>
      <c r="C416" t="s">
        <v>134</v>
      </c>
      <c r="D416" s="2">
        <v>38415</v>
      </c>
      <c r="E416" t="s">
        <v>35</v>
      </c>
      <c r="F416" t="s">
        <v>164</v>
      </c>
      <c r="G416" t="s">
        <v>1078</v>
      </c>
      <c r="H416" t="s">
        <v>2450</v>
      </c>
      <c r="I416" t="s">
        <v>59</v>
      </c>
      <c r="J416" t="s">
        <v>26</v>
      </c>
      <c r="K416" t="s">
        <v>2451</v>
      </c>
      <c r="L416" t="s">
        <v>2452</v>
      </c>
      <c r="M416" t="s">
        <v>2453</v>
      </c>
      <c r="N416">
        <v>2022</v>
      </c>
      <c r="O416" t="s">
        <v>105</v>
      </c>
      <c r="P416" t="s">
        <v>106</v>
      </c>
      <c r="Q416">
        <v>1</v>
      </c>
      <c r="R416">
        <v>2</v>
      </c>
      <c r="S416" t="s">
        <v>2908</v>
      </c>
    </row>
    <row r="417" spans="1:19" x14ac:dyDescent="0.25">
      <c r="A417" t="s">
        <v>2454</v>
      </c>
      <c r="B417" t="s">
        <v>222</v>
      </c>
      <c r="C417" t="s">
        <v>134</v>
      </c>
      <c r="D417" s="2">
        <v>38947</v>
      </c>
      <c r="E417" t="s">
        <v>196</v>
      </c>
      <c r="F417" t="s">
        <v>1821</v>
      </c>
      <c r="G417" t="s">
        <v>198</v>
      </c>
      <c r="H417" t="s">
        <v>2455</v>
      </c>
      <c r="I417" t="s">
        <v>82</v>
      </c>
      <c r="J417" t="s">
        <v>175</v>
      </c>
      <c r="K417" t="s">
        <v>2456</v>
      </c>
      <c r="L417" t="s">
        <v>2457</v>
      </c>
      <c r="M417" t="s">
        <v>2458</v>
      </c>
      <c r="N417">
        <v>2024</v>
      </c>
      <c r="O417" t="s">
        <v>105</v>
      </c>
      <c r="P417" t="s">
        <v>106</v>
      </c>
      <c r="Q417">
        <v>2</v>
      </c>
      <c r="R417">
        <v>4</v>
      </c>
      <c r="S417" t="s">
        <v>2908</v>
      </c>
    </row>
    <row r="418" spans="1:19" x14ac:dyDescent="0.25">
      <c r="A418" t="s">
        <v>2459</v>
      </c>
      <c r="B418" t="s">
        <v>840</v>
      </c>
      <c r="C418" t="s">
        <v>134</v>
      </c>
      <c r="D418" s="2">
        <v>39292</v>
      </c>
      <c r="E418" t="s">
        <v>171</v>
      </c>
      <c r="F418" t="s">
        <v>2070</v>
      </c>
      <c r="G418" t="s">
        <v>284</v>
      </c>
      <c r="H418" t="s">
        <v>2460</v>
      </c>
      <c r="I418" t="s">
        <v>91</v>
      </c>
      <c r="J418" t="s">
        <v>71</v>
      </c>
      <c r="K418" t="s">
        <v>2461</v>
      </c>
      <c r="L418" t="s">
        <v>2462</v>
      </c>
      <c r="M418" t="s">
        <v>2463</v>
      </c>
      <c r="N418">
        <v>2024</v>
      </c>
      <c r="O418" t="s">
        <v>95</v>
      </c>
      <c r="P418" t="s">
        <v>96</v>
      </c>
      <c r="Q418">
        <v>2</v>
      </c>
      <c r="R418">
        <v>4</v>
      </c>
      <c r="S418" t="s">
        <v>2889</v>
      </c>
    </row>
    <row r="419" spans="1:19" x14ac:dyDescent="0.25">
      <c r="A419" t="s">
        <v>2464</v>
      </c>
      <c r="B419" t="s">
        <v>223</v>
      </c>
      <c r="C419" t="s">
        <v>20</v>
      </c>
      <c r="D419" s="2">
        <v>36672</v>
      </c>
      <c r="E419" t="s">
        <v>145</v>
      </c>
      <c r="F419" t="s">
        <v>291</v>
      </c>
      <c r="G419" t="s">
        <v>117</v>
      </c>
      <c r="H419" t="s">
        <v>2465</v>
      </c>
      <c r="I419" t="s">
        <v>25</v>
      </c>
      <c r="J419" t="s">
        <v>25</v>
      </c>
      <c r="K419" t="s">
        <v>2466</v>
      </c>
      <c r="L419" t="s">
        <v>2467</v>
      </c>
      <c r="M419" t="s">
        <v>2468</v>
      </c>
      <c r="N419">
        <v>2024</v>
      </c>
      <c r="O419" t="s">
        <v>63</v>
      </c>
      <c r="P419" t="s">
        <v>64</v>
      </c>
      <c r="Q419">
        <v>2</v>
      </c>
      <c r="R419">
        <v>4</v>
      </c>
      <c r="S419" t="s">
        <v>2932</v>
      </c>
    </row>
    <row r="420" spans="1:19" x14ac:dyDescent="0.25">
      <c r="A420" t="s">
        <v>2469</v>
      </c>
      <c r="B420" t="s">
        <v>135</v>
      </c>
      <c r="C420" t="s">
        <v>20</v>
      </c>
      <c r="D420" s="2">
        <v>36591</v>
      </c>
      <c r="E420" t="s">
        <v>196</v>
      </c>
      <c r="F420" t="s">
        <v>602</v>
      </c>
      <c r="G420" t="s">
        <v>678</v>
      </c>
      <c r="H420" t="s">
        <v>2470</v>
      </c>
      <c r="I420" t="s">
        <v>49</v>
      </c>
      <c r="J420" t="s">
        <v>201</v>
      </c>
      <c r="K420" t="s">
        <v>2471</v>
      </c>
      <c r="L420" t="s">
        <v>2472</v>
      </c>
      <c r="M420" t="s">
        <v>2473</v>
      </c>
      <c r="N420">
        <v>2021</v>
      </c>
      <c r="O420" t="s">
        <v>159</v>
      </c>
      <c r="P420" t="s">
        <v>160</v>
      </c>
      <c r="Q420">
        <v>1</v>
      </c>
      <c r="R420">
        <v>2</v>
      </c>
      <c r="S420" t="s">
        <v>2902</v>
      </c>
    </row>
    <row r="421" spans="1:19" x14ac:dyDescent="0.25">
      <c r="A421" t="s">
        <v>2474</v>
      </c>
      <c r="B421" t="s">
        <v>1445</v>
      </c>
      <c r="C421" t="s">
        <v>134</v>
      </c>
      <c r="D421" s="2">
        <v>39290</v>
      </c>
      <c r="E421" t="s">
        <v>171</v>
      </c>
      <c r="F421" t="s">
        <v>644</v>
      </c>
      <c r="G421" t="s">
        <v>630</v>
      </c>
      <c r="H421" t="s">
        <v>2475</v>
      </c>
      <c r="I421" t="s">
        <v>200</v>
      </c>
      <c r="J421" t="s">
        <v>40</v>
      </c>
      <c r="K421" t="s">
        <v>2476</v>
      </c>
      <c r="L421" t="s">
        <v>2477</v>
      </c>
      <c r="M421" t="s">
        <v>2478</v>
      </c>
      <c r="N421">
        <v>2021</v>
      </c>
      <c r="O421" t="s">
        <v>212</v>
      </c>
      <c r="P421" t="s">
        <v>213</v>
      </c>
      <c r="Q421">
        <v>1</v>
      </c>
      <c r="R421">
        <v>2</v>
      </c>
      <c r="S421" t="s">
        <v>3001</v>
      </c>
    </row>
    <row r="422" spans="1:19" x14ac:dyDescent="0.25">
      <c r="A422" t="s">
        <v>2479</v>
      </c>
      <c r="B422" t="s">
        <v>602</v>
      </c>
      <c r="C422" t="s">
        <v>20</v>
      </c>
      <c r="D422" s="2">
        <v>38958</v>
      </c>
      <c r="E422" t="s">
        <v>67</v>
      </c>
      <c r="F422" t="s">
        <v>1085</v>
      </c>
      <c r="G422" t="s">
        <v>478</v>
      </c>
      <c r="H422" t="s">
        <v>2480</v>
      </c>
      <c r="I422" t="s">
        <v>368</v>
      </c>
      <c r="J422" t="s">
        <v>50</v>
      </c>
      <c r="K422" t="s">
        <v>2481</v>
      </c>
      <c r="L422" t="s">
        <v>2482</v>
      </c>
      <c r="M422" t="s">
        <v>2483</v>
      </c>
      <c r="N422">
        <v>2023</v>
      </c>
      <c r="O422" t="s">
        <v>159</v>
      </c>
      <c r="P422" t="s">
        <v>160</v>
      </c>
      <c r="Q422">
        <v>3</v>
      </c>
      <c r="R422">
        <v>6</v>
      </c>
      <c r="S422" t="s">
        <v>2902</v>
      </c>
    </row>
    <row r="423" spans="1:19" x14ac:dyDescent="0.25">
      <c r="A423" t="s">
        <v>2484</v>
      </c>
      <c r="B423" t="s">
        <v>645</v>
      </c>
      <c r="C423" t="s">
        <v>134</v>
      </c>
      <c r="D423" s="2">
        <v>38780</v>
      </c>
      <c r="E423" t="s">
        <v>145</v>
      </c>
      <c r="F423" t="s">
        <v>917</v>
      </c>
      <c r="G423" t="s">
        <v>117</v>
      </c>
      <c r="H423" t="s">
        <v>2485</v>
      </c>
      <c r="I423" t="s">
        <v>91</v>
      </c>
      <c r="J423" t="s">
        <v>71</v>
      </c>
      <c r="K423" t="s">
        <v>2486</v>
      </c>
      <c r="L423" t="s">
        <v>2487</v>
      </c>
      <c r="M423" t="s">
        <v>2488</v>
      </c>
      <c r="N423">
        <v>2021</v>
      </c>
      <c r="O423" t="s">
        <v>159</v>
      </c>
      <c r="P423" t="s">
        <v>160</v>
      </c>
      <c r="Q423">
        <v>1</v>
      </c>
      <c r="R423">
        <v>2</v>
      </c>
      <c r="S423" t="s">
        <v>2902</v>
      </c>
    </row>
    <row r="424" spans="1:19" x14ac:dyDescent="0.25">
      <c r="A424" t="s">
        <v>2489</v>
      </c>
      <c r="B424" t="s">
        <v>485</v>
      </c>
      <c r="C424" t="s">
        <v>134</v>
      </c>
      <c r="D424" s="2">
        <v>37818</v>
      </c>
      <c r="E424" t="s">
        <v>145</v>
      </c>
      <c r="F424" t="s">
        <v>602</v>
      </c>
      <c r="G424" t="s">
        <v>236</v>
      </c>
      <c r="H424" t="s">
        <v>2490</v>
      </c>
      <c r="I424" t="s">
        <v>263</v>
      </c>
      <c r="J424" t="s">
        <v>139</v>
      </c>
      <c r="K424" t="s">
        <v>2491</v>
      </c>
      <c r="L424" t="s">
        <v>2492</v>
      </c>
      <c r="M424" t="s">
        <v>2493</v>
      </c>
      <c r="N424">
        <v>2022</v>
      </c>
      <c r="O424" t="s">
        <v>212</v>
      </c>
      <c r="P424" t="s">
        <v>213</v>
      </c>
      <c r="Q424">
        <v>1</v>
      </c>
      <c r="R424">
        <v>2</v>
      </c>
      <c r="S424" t="s">
        <v>3001</v>
      </c>
    </row>
    <row r="425" spans="1:19" x14ac:dyDescent="0.25">
      <c r="A425" t="s">
        <v>2494</v>
      </c>
      <c r="B425" t="s">
        <v>2495</v>
      </c>
      <c r="C425" t="s">
        <v>134</v>
      </c>
      <c r="D425" s="2">
        <v>36211</v>
      </c>
      <c r="E425" t="s">
        <v>109</v>
      </c>
      <c r="F425" t="s">
        <v>2496</v>
      </c>
      <c r="G425" t="s">
        <v>624</v>
      </c>
      <c r="H425" t="s">
        <v>2497</v>
      </c>
      <c r="I425" t="s">
        <v>91</v>
      </c>
      <c r="J425" t="s">
        <v>71</v>
      </c>
      <c r="K425" t="s">
        <v>2498</v>
      </c>
      <c r="L425" t="s">
        <v>2499</v>
      </c>
      <c r="M425" t="s">
        <v>2500</v>
      </c>
      <c r="N425">
        <v>2022</v>
      </c>
      <c r="O425" t="s">
        <v>30</v>
      </c>
      <c r="P425" t="s">
        <v>31</v>
      </c>
      <c r="Q425">
        <v>1</v>
      </c>
      <c r="R425">
        <v>2</v>
      </c>
      <c r="S425" t="s">
        <v>2895</v>
      </c>
    </row>
    <row r="426" spans="1:19" x14ac:dyDescent="0.25">
      <c r="A426" t="s">
        <v>2501</v>
      </c>
      <c r="B426" t="s">
        <v>409</v>
      </c>
      <c r="C426" t="s">
        <v>134</v>
      </c>
      <c r="D426" s="2">
        <v>39419</v>
      </c>
      <c r="E426" t="s">
        <v>35</v>
      </c>
      <c r="F426" t="s">
        <v>615</v>
      </c>
      <c r="G426" t="s">
        <v>173</v>
      </c>
      <c r="H426" t="s">
        <v>2502</v>
      </c>
      <c r="I426" t="s">
        <v>49</v>
      </c>
      <c r="J426" t="s">
        <v>201</v>
      </c>
      <c r="K426" t="s">
        <v>2503</v>
      </c>
      <c r="L426" t="s">
        <v>2504</v>
      </c>
      <c r="M426" t="s">
        <v>2505</v>
      </c>
      <c r="N426">
        <v>2021</v>
      </c>
      <c r="O426" t="s">
        <v>30</v>
      </c>
      <c r="P426" t="s">
        <v>31</v>
      </c>
      <c r="Q426">
        <v>1</v>
      </c>
      <c r="R426">
        <v>2</v>
      </c>
      <c r="S426" t="s">
        <v>2895</v>
      </c>
    </row>
    <row r="427" spans="1:19" x14ac:dyDescent="0.25">
      <c r="A427" t="s">
        <v>2506</v>
      </c>
      <c r="B427" t="s">
        <v>2507</v>
      </c>
      <c r="C427" t="s">
        <v>134</v>
      </c>
      <c r="D427" s="2">
        <v>36422</v>
      </c>
      <c r="E427" t="s">
        <v>35</v>
      </c>
      <c r="F427" t="s">
        <v>810</v>
      </c>
      <c r="G427" t="s">
        <v>237</v>
      </c>
      <c r="H427" t="s">
        <v>2508</v>
      </c>
      <c r="I427" t="s">
        <v>368</v>
      </c>
      <c r="J427" t="s">
        <v>50</v>
      </c>
      <c r="K427" t="s">
        <v>2509</v>
      </c>
      <c r="L427" t="s">
        <v>2510</v>
      </c>
      <c r="M427" t="s">
        <v>2511</v>
      </c>
      <c r="N427">
        <v>2021</v>
      </c>
      <c r="O427" t="s">
        <v>30</v>
      </c>
      <c r="P427" t="s">
        <v>31</v>
      </c>
      <c r="Q427">
        <v>1</v>
      </c>
      <c r="R427">
        <v>2</v>
      </c>
      <c r="S427" t="s">
        <v>2895</v>
      </c>
    </row>
    <row r="428" spans="1:19" x14ac:dyDescent="0.25">
      <c r="A428" t="s">
        <v>2512</v>
      </c>
      <c r="B428" t="s">
        <v>1445</v>
      </c>
      <c r="C428" t="s">
        <v>134</v>
      </c>
      <c r="D428" s="2">
        <v>38675</v>
      </c>
      <c r="E428" t="s">
        <v>67</v>
      </c>
      <c r="F428" t="s">
        <v>45</v>
      </c>
      <c r="G428" t="s">
        <v>811</v>
      </c>
      <c r="H428" t="s">
        <v>2513</v>
      </c>
      <c r="I428" t="s">
        <v>263</v>
      </c>
      <c r="J428" t="s">
        <v>139</v>
      </c>
      <c r="K428" t="s">
        <v>2514</v>
      </c>
      <c r="L428" t="s">
        <v>2515</v>
      </c>
      <c r="M428" t="s">
        <v>2516</v>
      </c>
      <c r="N428">
        <v>2024</v>
      </c>
      <c r="O428" t="s">
        <v>159</v>
      </c>
      <c r="P428" t="s">
        <v>160</v>
      </c>
      <c r="Q428">
        <v>2</v>
      </c>
      <c r="R428">
        <v>4</v>
      </c>
      <c r="S428" t="s">
        <v>2902</v>
      </c>
    </row>
    <row r="429" spans="1:19" x14ac:dyDescent="0.25">
      <c r="A429" t="s">
        <v>2517</v>
      </c>
      <c r="B429" t="s">
        <v>100</v>
      </c>
      <c r="C429" t="s">
        <v>20</v>
      </c>
      <c r="D429" s="2">
        <v>36982</v>
      </c>
      <c r="E429" t="s">
        <v>145</v>
      </c>
      <c r="F429" t="s">
        <v>644</v>
      </c>
      <c r="G429" t="s">
        <v>472</v>
      </c>
      <c r="H429" t="s">
        <v>2518</v>
      </c>
      <c r="I429" t="s">
        <v>59</v>
      </c>
      <c r="J429" t="s">
        <v>26</v>
      </c>
      <c r="K429" t="s">
        <v>2519</v>
      </c>
      <c r="L429" t="s">
        <v>2520</v>
      </c>
      <c r="M429" t="s">
        <v>2521</v>
      </c>
      <c r="N429">
        <v>2024</v>
      </c>
      <c r="O429" t="s">
        <v>105</v>
      </c>
      <c r="P429" t="s">
        <v>106</v>
      </c>
      <c r="Q429">
        <v>2</v>
      </c>
      <c r="R429">
        <v>4</v>
      </c>
      <c r="S429" t="s">
        <v>2908</v>
      </c>
    </row>
    <row r="430" spans="1:19" x14ac:dyDescent="0.25">
      <c r="A430" t="s">
        <v>2522</v>
      </c>
      <c r="B430" t="s">
        <v>387</v>
      </c>
      <c r="C430" t="s">
        <v>20</v>
      </c>
      <c r="D430" s="2">
        <v>36558</v>
      </c>
      <c r="E430" t="s">
        <v>196</v>
      </c>
      <c r="F430" t="s">
        <v>144</v>
      </c>
      <c r="G430" t="s">
        <v>471</v>
      </c>
      <c r="H430" t="s">
        <v>2523</v>
      </c>
      <c r="I430" t="s">
        <v>263</v>
      </c>
      <c r="J430" t="s">
        <v>139</v>
      </c>
      <c r="K430" t="s">
        <v>2524</v>
      </c>
      <c r="L430" t="s">
        <v>2525</v>
      </c>
      <c r="M430" t="s">
        <v>2526</v>
      </c>
      <c r="N430">
        <v>2024</v>
      </c>
      <c r="O430" t="s">
        <v>95</v>
      </c>
      <c r="P430" t="s">
        <v>96</v>
      </c>
      <c r="Q430">
        <v>2</v>
      </c>
      <c r="R430">
        <v>4</v>
      </c>
      <c r="S430" t="s">
        <v>2889</v>
      </c>
    </row>
    <row r="431" spans="1:19" x14ac:dyDescent="0.25">
      <c r="A431" t="s">
        <v>2527</v>
      </c>
      <c r="B431" t="s">
        <v>930</v>
      </c>
      <c r="C431" t="s">
        <v>20</v>
      </c>
      <c r="D431" s="2">
        <v>37542</v>
      </c>
      <c r="E431" t="s">
        <v>35</v>
      </c>
      <c r="F431" t="s">
        <v>839</v>
      </c>
      <c r="G431" t="s">
        <v>1429</v>
      </c>
      <c r="H431" t="s">
        <v>2528</v>
      </c>
      <c r="I431" t="s">
        <v>59</v>
      </c>
      <c r="J431" t="s">
        <v>26</v>
      </c>
      <c r="K431" t="s">
        <v>2529</v>
      </c>
      <c r="L431" t="s">
        <v>2530</v>
      </c>
      <c r="M431" t="s">
        <v>2531</v>
      </c>
      <c r="N431">
        <v>2024</v>
      </c>
      <c r="O431" t="s">
        <v>95</v>
      </c>
      <c r="P431" t="s">
        <v>96</v>
      </c>
      <c r="Q431">
        <v>2</v>
      </c>
      <c r="R431">
        <v>4</v>
      </c>
      <c r="S431" t="s">
        <v>2889</v>
      </c>
    </row>
    <row r="432" spans="1:19" x14ac:dyDescent="0.25">
      <c r="A432" t="s">
        <v>2532</v>
      </c>
      <c r="B432" t="s">
        <v>1881</v>
      </c>
      <c r="C432" t="s">
        <v>134</v>
      </c>
      <c r="D432" s="2">
        <v>37995</v>
      </c>
      <c r="E432" t="s">
        <v>109</v>
      </c>
      <c r="F432" t="s">
        <v>652</v>
      </c>
      <c r="G432" t="s">
        <v>244</v>
      </c>
      <c r="H432" t="s">
        <v>2533</v>
      </c>
      <c r="I432" t="s">
        <v>82</v>
      </c>
      <c r="J432" t="s">
        <v>175</v>
      </c>
      <c r="K432" t="s">
        <v>2534</v>
      </c>
      <c r="L432" t="s">
        <v>2535</v>
      </c>
      <c r="M432" t="s">
        <v>2536</v>
      </c>
      <c r="N432">
        <v>2023</v>
      </c>
      <c r="O432" t="s">
        <v>75</v>
      </c>
      <c r="P432" t="s">
        <v>76</v>
      </c>
      <c r="Q432">
        <v>3</v>
      </c>
      <c r="R432">
        <v>6</v>
      </c>
      <c r="S432" t="s">
        <v>2961</v>
      </c>
    </row>
    <row r="433" spans="1:19" x14ac:dyDescent="0.25">
      <c r="A433" t="s">
        <v>2537</v>
      </c>
      <c r="B433" t="s">
        <v>936</v>
      </c>
      <c r="C433" t="s">
        <v>134</v>
      </c>
      <c r="D433" s="2">
        <v>37401</v>
      </c>
      <c r="E433" t="s">
        <v>196</v>
      </c>
      <c r="F433" t="s">
        <v>438</v>
      </c>
      <c r="G433" t="s">
        <v>229</v>
      </c>
      <c r="H433" t="s">
        <v>2538</v>
      </c>
      <c r="I433" t="s">
        <v>263</v>
      </c>
      <c r="J433" t="s">
        <v>139</v>
      </c>
      <c r="K433" t="s">
        <v>2539</v>
      </c>
      <c r="L433" t="s">
        <v>2540</v>
      </c>
      <c r="M433" t="s">
        <v>2541</v>
      </c>
      <c r="N433">
        <v>2022</v>
      </c>
      <c r="O433" t="s">
        <v>30</v>
      </c>
      <c r="P433" t="s">
        <v>31</v>
      </c>
      <c r="Q433">
        <v>1</v>
      </c>
      <c r="R433">
        <v>2</v>
      </c>
      <c r="S433" t="s">
        <v>2895</v>
      </c>
    </row>
    <row r="434" spans="1:19" x14ac:dyDescent="0.25">
      <c r="A434" t="s">
        <v>2542</v>
      </c>
      <c r="B434" t="s">
        <v>1122</v>
      </c>
      <c r="C434" t="s">
        <v>134</v>
      </c>
      <c r="D434" s="2">
        <v>37683</v>
      </c>
      <c r="E434" t="s">
        <v>35</v>
      </c>
      <c r="F434" t="s">
        <v>859</v>
      </c>
      <c r="G434" t="s">
        <v>956</v>
      </c>
      <c r="H434" t="s">
        <v>2543</v>
      </c>
      <c r="I434" t="s">
        <v>25</v>
      </c>
      <c r="J434" t="s">
        <v>25</v>
      </c>
      <c r="K434" t="s">
        <v>2544</v>
      </c>
      <c r="L434" t="s">
        <v>2545</v>
      </c>
      <c r="M434" t="s">
        <v>2546</v>
      </c>
      <c r="N434">
        <v>2021</v>
      </c>
      <c r="O434" t="s">
        <v>63</v>
      </c>
      <c r="P434" t="s">
        <v>64</v>
      </c>
      <c r="Q434">
        <v>1</v>
      </c>
      <c r="R434">
        <v>2</v>
      </c>
      <c r="S434" t="s">
        <v>2932</v>
      </c>
    </row>
    <row r="435" spans="1:19" x14ac:dyDescent="0.25">
      <c r="A435" t="s">
        <v>2547</v>
      </c>
      <c r="B435" t="s">
        <v>558</v>
      </c>
      <c r="C435" t="s">
        <v>20</v>
      </c>
      <c r="D435" s="2">
        <v>36688</v>
      </c>
      <c r="E435" t="s">
        <v>196</v>
      </c>
      <c r="F435" t="s">
        <v>1847</v>
      </c>
      <c r="G435" t="s">
        <v>1764</v>
      </c>
      <c r="H435" t="s">
        <v>2548</v>
      </c>
      <c r="I435" t="s">
        <v>138</v>
      </c>
      <c r="J435" t="s">
        <v>139</v>
      </c>
      <c r="K435" t="s">
        <v>2549</v>
      </c>
      <c r="L435" t="s">
        <v>2550</v>
      </c>
      <c r="M435" t="s">
        <v>2551</v>
      </c>
      <c r="N435">
        <v>2024</v>
      </c>
      <c r="O435" t="s">
        <v>95</v>
      </c>
      <c r="P435" t="s">
        <v>96</v>
      </c>
      <c r="Q435">
        <v>2</v>
      </c>
      <c r="R435">
        <v>4</v>
      </c>
      <c r="S435" t="s">
        <v>2889</v>
      </c>
    </row>
    <row r="436" spans="1:19" x14ac:dyDescent="0.25">
      <c r="A436" t="s">
        <v>2552</v>
      </c>
      <c r="B436" t="s">
        <v>451</v>
      </c>
      <c r="C436" t="s">
        <v>134</v>
      </c>
      <c r="D436" s="2">
        <v>38081</v>
      </c>
      <c r="E436" t="s">
        <v>145</v>
      </c>
      <c r="F436" t="s">
        <v>623</v>
      </c>
      <c r="G436" t="s">
        <v>187</v>
      </c>
      <c r="H436" t="s">
        <v>2553</v>
      </c>
      <c r="I436" t="s">
        <v>39</v>
      </c>
      <c r="J436" t="s">
        <v>26</v>
      </c>
      <c r="K436" t="s">
        <v>2554</v>
      </c>
      <c r="L436" t="s">
        <v>2555</v>
      </c>
      <c r="M436" t="s">
        <v>2556</v>
      </c>
      <c r="N436">
        <v>2023</v>
      </c>
      <c r="O436" t="s">
        <v>212</v>
      </c>
      <c r="P436" t="s">
        <v>213</v>
      </c>
      <c r="Q436">
        <v>3</v>
      </c>
      <c r="R436">
        <v>6</v>
      </c>
      <c r="S436" t="s">
        <v>3001</v>
      </c>
    </row>
    <row r="437" spans="1:19" x14ac:dyDescent="0.25">
      <c r="A437" t="s">
        <v>2557</v>
      </c>
      <c r="B437" t="s">
        <v>197</v>
      </c>
      <c r="C437" t="s">
        <v>134</v>
      </c>
      <c r="D437" s="2">
        <v>37763</v>
      </c>
      <c r="E437" t="s">
        <v>67</v>
      </c>
      <c r="F437" t="s">
        <v>284</v>
      </c>
      <c r="G437" t="s">
        <v>1348</v>
      </c>
      <c r="H437" t="s">
        <v>2558</v>
      </c>
      <c r="I437" t="s">
        <v>91</v>
      </c>
      <c r="J437" t="s">
        <v>71</v>
      </c>
      <c r="K437" t="s">
        <v>2559</v>
      </c>
      <c r="L437" t="s">
        <v>2560</v>
      </c>
      <c r="M437" t="s">
        <v>2561</v>
      </c>
      <c r="N437">
        <v>2021</v>
      </c>
      <c r="O437" t="s">
        <v>105</v>
      </c>
      <c r="P437" t="s">
        <v>106</v>
      </c>
      <c r="Q437">
        <v>1</v>
      </c>
      <c r="R437">
        <v>2</v>
      </c>
      <c r="S437" t="s">
        <v>2908</v>
      </c>
    </row>
    <row r="438" spans="1:19" x14ac:dyDescent="0.25">
      <c r="A438" t="s">
        <v>2562</v>
      </c>
      <c r="B438" t="s">
        <v>1726</v>
      </c>
      <c r="C438" t="s">
        <v>20</v>
      </c>
      <c r="D438" s="2">
        <v>37118</v>
      </c>
      <c r="E438" t="s">
        <v>21</v>
      </c>
      <c r="F438" t="s">
        <v>46</v>
      </c>
      <c r="G438" t="s">
        <v>624</v>
      </c>
      <c r="H438" t="s">
        <v>2563</v>
      </c>
      <c r="I438" t="s">
        <v>39</v>
      </c>
      <c r="J438" t="s">
        <v>26</v>
      </c>
      <c r="K438" t="s">
        <v>2564</v>
      </c>
      <c r="L438" t="s">
        <v>2565</v>
      </c>
      <c r="M438" t="s">
        <v>2566</v>
      </c>
      <c r="N438">
        <v>2022</v>
      </c>
      <c r="O438" t="s">
        <v>212</v>
      </c>
      <c r="P438" t="s">
        <v>213</v>
      </c>
      <c r="Q438">
        <v>1</v>
      </c>
      <c r="R438">
        <v>2</v>
      </c>
      <c r="S438" t="s">
        <v>3001</v>
      </c>
    </row>
    <row r="439" spans="1:19" x14ac:dyDescent="0.25">
      <c r="A439" t="s">
        <v>2567</v>
      </c>
      <c r="B439" t="s">
        <v>408</v>
      </c>
      <c r="C439" t="s">
        <v>134</v>
      </c>
      <c r="D439" s="2">
        <v>36752</v>
      </c>
      <c r="E439" t="s">
        <v>21</v>
      </c>
      <c r="F439" t="s">
        <v>244</v>
      </c>
      <c r="G439" t="s">
        <v>2568</v>
      </c>
      <c r="H439" t="s">
        <v>2569</v>
      </c>
      <c r="I439" t="s">
        <v>138</v>
      </c>
      <c r="J439" t="s">
        <v>139</v>
      </c>
      <c r="K439" t="s">
        <v>2570</v>
      </c>
      <c r="L439" t="s">
        <v>2571</v>
      </c>
      <c r="M439" t="s">
        <v>2572</v>
      </c>
      <c r="N439">
        <v>2023</v>
      </c>
      <c r="O439" t="s">
        <v>30</v>
      </c>
      <c r="P439" t="s">
        <v>31</v>
      </c>
      <c r="Q439">
        <v>3</v>
      </c>
      <c r="R439">
        <v>6</v>
      </c>
      <c r="S439" t="s">
        <v>2895</v>
      </c>
    </row>
    <row r="440" spans="1:19" x14ac:dyDescent="0.25">
      <c r="A440" t="s">
        <v>2573</v>
      </c>
      <c r="B440" t="s">
        <v>146</v>
      </c>
      <c r="C440" t="s">
        <v>20</v>
      </c>
      <c r="D440" s="2">
        <v>36706</v>
      </c>
      <c r="E440" t="s">
        <v>196</v>
      </c>
      <c r="F440" t="s">
        <v>66</v>
      </c>
      <c r="G440" t="s">
        <v>712</v>
      </c>
      <c r="H440" t="s">
        <v>2574</v>
      </c>
      <c r="I440" t="s">
        <v>91</v>
      </c>
      <c r="J440" t="s">
        <v>71</v>
      </c>
      <c r="K440" t="s">
        <v>2575</v>
      </c>
      <c r="L440" t="s">
        <v>2576</v>
      </c>
      <c r="M440" t="s">
        <v>2577</v>
      </c>
      <c r="N440">
        <v>2022</v>
      </c>
      <c r="O440" t="s">
        <v>95</v>
      </c>
      <c r="P440" t="s">
        <v>96</v>
      </c>
      <c r="Q440">
        <v>1</v>
      </c>
      <c r="R440">
        <v>2</v>
      </c>
      <c r="S440" t="s">
        <v>2889</v>
      </c>
    </row>
    <row r="441" spans="1:19" x14ac:dyDescent="0.25">
      <c r="A441" t="s">
        <v>2578</v>
      </c>
      <c r="B441" t="s">
        <v>861</v>
      </c>
      <c r="C441" t="s">
        <v>134</v>
      </c>
      <c r="D441" s="2">
        <v>38862</v>
      </c>
      <c r="E441" t="s">
        <v>109</v>
      </c>
      <c r="F441" t="s">
        <v>306</v>
      </c>
      <c r="G441" t="s">
        <v>2081</v>
      </c>
      <c r="H441" t="s">
        <v>2579</v>
      </c>
      <c r="I441" t="s">
        <v>91</v>
      </c>
      <c r="J441" t="s">
        <v>71</v>
      </c>
      <c r="K441" t="s">
        <v>2580</v>
      </c>
      <c r="L441" t="s">
        <v>2581</v>
      </c>
      <c r="M441" t="s">
        <v>2582</v>
      </c>
      <c r="N441">
        <v>2021</v>
      </c>
      <c r="O441" t="s">
        <v>159</v>
      </c>
      <c r="P441" t="s">
        <v>160</v>
      </c>
      <c r="Q441">
        <v>1</v>
      </c>
      <c r="R441">
        <v>2</v>
      </c>
      <c r="S441" t="s">
        <v>2902</v>
      </c>
    </row>
    <row r="442" spans="1:19" x14ac:dyDescent="0.25">
      <c r="A442" t="s">
        <v>2583</v>
      </c>
      <c r="B442" t="s">
        <v>99</v>
      </c>
      <c r="C442" t="s">
        <v>134</v>
      </c>
      <c r="D442" s="2">
        <v>36377</v>
      </c>
      <c r="E442" t="s">
        <v>109</v>
      </c>
      <c r="F442" t="s">
        <v>827</v>
      </c>
      <c r="G442" t="s">
        <v>834</v>
      </c>
      <c r="H442" t="s">
        <v>2584</v>
      </c>
      <c r="I442" t="s">
        <v>25</v>
      </c>
      <c r="J442" t="s">
        <v>25</v>
      </c>
      <c r="K442" t="s">
        <v>2585</v>
      </c>
      <c r="L442" t="s">
        <v>2586</v>
      </c>
      <c r="M442" t="s">
        <v>2587</v>
      </c>
      <c r="N442">
        <v>2023</v>
      </c>
      <c r="O442" t="s">
        <v>95</v>
      </c>
      <c r="P442" t="s">
        <v>96</v>
      </c>
      <c r="Q442">
        <v>3</v>
      </c>
      <c r="R442">
        <v>6</v>
      </c>
      <c r="S442" t="s">
        <v>2889</v>
      </c>
    </row>
    <row r="443" spans="1:19" x14ac:dyDescent="0.25">
      <c r="A443" t="s">
        <v>2588</v>
      </c>
      <c r="B443" t="s">
        <v>833</v>
      </c>
      <c r="C443" t="s">
        <v>134</v>
      </c>
      <c r="D443" s="2">
        <v>37983</v>
      </c>
      <c r="E443" t="s">
        <v>109</v>
      </c>
      <c r="F443" t="s">
        <v>80</v>
      </c>
      <c r="G443" t="s">
        <v>127</v>
      </c>
      <c r="H443" t="s">
        <v>137</v>
      </c>
      <c r="I443" t="s">
        <v>138</v>
      </c>
      <c r="J443" t="s">
        <v>139</v>
      </c>
      <c r="K443" t="s">
        <v>2589</v>
      </c>
      <c r="L443" t="s">
        <v>2590</v>
      </c>
      <c r="M443" t="s">
        <v>2591</v>
      </c>
      <c r="N443">
        <v>2024</v>
      </c>
      <c r="O443" t="s">
        <v>105</v>
      </c>
      <c r="P443" t="s">
        <v>106</v>
      </c>
      <c r="Q443">
        <v>2</v>
      </c>
      <c r="R443">
        <v>4</v>
      </c>
      <c r="S443" t="s">
        <v>2908</v>
      </c>
    </row>
    <row r="444" spans="1:19" x14ac:dyDescent="0.25">
      <c r="A444" t="s">
        <v>2592</v>
      </c>
      <c r="B444" t="s">
        <v>833</v>
      </c>
      <c r="C444" t="s">
        <v>134</v>
      </c>
      <c r="D444" s="2">
        <v>38758</v>
      </c>
      <c r="E444" t="s">
        <v>109</v>
      </c>
      <c r="F444" t="s">
        <v>424</v>
      </c>
      <c r="G444" t="s">
        <v>36</v>
      </c>
      <c r="H444" t="s">
        <v>2593</v>
      </c>
      <c r="I444" t="s">
        <v>82</v>
      </c>
      <c r="J444" t="s">
        <v>175</v>
      </c>
      <c r="K444" t="s">
        <v>2594</v>
      </c>
      <c r="L444" t="s">
        <v>2595</v>
      </c>
      <c r="M444" t="s">
        <v>2596</v>
      </c>
      <c r="N444">
        <v>2021</v>
      </c>
      <c r="O444" t="s">
        <v>30</v>
      </c>
      <c r="P444" t="s">
        <v>31</v>
      </c>
      <c r="Q444">
        <v>1</v>
      </c>
      <c r="R444">
        <v>2</v>
      </c>
      <c r="S444" t="s">
        <v>2895</v>
      </c>
    </row>
    <row r="445" spans="1:19" x14ac:dyDescent="0.25">
      <c r="A445" t="s">
        <v>2597</v>
      </c>
      <c r="B445" t="s">
        <v>936</v>
      </c>
      <c r="C445" t="s">
        <v>134</v>
      </c>
      <c r="D445" s="2">
        <v>38717</v>
      </c>
      <c r="E445" t="s">
        <v>109</v>
      </c>
      <c r="F445" t="s">
        <v>564</v>
      </c>
      <c r="G445" t="s">
        <v>270</v>
      </c>
      <c r="H445" t="s">
        <v>2598</v>
      </c>
      <c r="I445" t="s">
        <v>368</v>
      </c>
      <c r="J445" t="s">
        <v>50</v>
      </c>
      <c r="K445" t="s">
        <v>2599</v>
      </c>
      <c r="L445" t="s">
        <v>2600</v>
      </c>
      <c r="M445" t="s">
        <v>2601</v>
      </c>
      <c r="N445">
        <v>2021</v>
      </c>
      <c r="O445" t="s">
        <v>30</v>
      </c>
      <c r="P445" t="s">
        <v>31</v>
      </c>
      <c r="Q445">
        <v>1</v>
      </c>
      <c r="R445">
        <v>2</v>
      </c>
      <c r="S445" t="s">
        <v>2895</v>
      </c>
    </row>
    <row r="446" spans="1:19" x14ac:dyDescent="0.25">
      <c r="A446" t="s">
        <v>2602</v>
      </c>
      <c r="B446" t="s">
        <v>457</v>
      </c>
      <c r="C446" t="s">
        <v>134</v>
      </c>
      <c r="D446" s="2">
        <v>36255</v>
      </c>
      <c r="E446" t="s">
        <v>35</v>
      </c>
      <c r="F446" t="s">
        <v>2603</v>
      </c>
      <c r="G446" t="s">
        <v>566</v>
      </c>
      <c r="H446" t="s">
        <v>2604</v>
      </c>
      <c r="I446" t="s">
        <v>49</v>
      </c>
      <c r="J446" t="s">
        <v>201</v>
      </c>
      <c r="K446" t="s">
        <v>2605</v>
      </c>
      <c r="L446" t="s">
        <v>2606</v>
      </c>
      <c r="M446" t="s">
        <v>2607</v>
      </c>
      <c r="N446">
        <v>2021</v>
      </c>
      <c r="O446" t="s">
        <v>75</v>
      </c>
      <c r="P446" t="s">
        <v>76</v>
      </c>
      <c r="Q446">
        <v>1</v>
      </c>
      <c r="R446">
        <v>2</v>
      </c>
      <c r="S446" t="s">
        <v>2961</v>
      </c>
    </row>
    <row r="447" spans="1:19" x14ac:dyDescent="0.25">
      <c r="A447" t="s">
        <v>2608</v>
      </c>
      <c r="B447" t="s">
        <v>497</v>
      </c>
      <c r="C447" t="s">
        <v>134</v>
      </c>
      <c r="D447" s="2">
        <v>39216</v>
      </c>
      <c r="E447" t="s">
        <v>196</v>
      </c>
      <c r="F447" t="s">
        <v>251</v>
      </c>
      <c r="G447" t="s">
        <v>1619</v>
      </c>
      <c r="H447" t="s">
        <v>2609</v>
      </c>
      <c r="I447" t="s">
        <v>82</v>
      </c>
      <c r="J447" t="s">
        <v>175</v>
      </c>
      <c r="K447" t="s">
        <v>2610</v>
      </c>
      <c r="L447" t="s">
        <v>2611</v>
      </c>
      <c r="M447" t="s">
        <v>2612</v>
      </c>
      <c r="N447">
        <v>2022</v>
      </c>
      <c r="O447" t="s">
        <v>95</v>
      </c>
      <c r="P447" t="s">
        <v>96</v>
      </c>
      <c r="Q447">
        <v>1</v>
      </c>
      <c r="R447">
        <v>2</v>
      </c>
      <c r="S447" t="s">
        <v>2889</v>
      </c>
    </row>
    <row r="448" spans="1:19" x14ac:dyDescent="0.25">
      <c r="A448" t="s">
        <v>2613</v>
      </c>
      <c r="B448" t="s">
        <v>365</v>
      </c>
      <c r="C448" t="s">
        <v>134</v>
      </c>
      <c r="D448" s="2">
        <v>38517</v>
      </c>
      <c r="E448" t="s">
        <v>196</v>
      </c>
      <c r="F448" t="s">
        <v>1151</v>
      </c>
      <c r="G448" t="s">
        <v>950</v>
      </c>
      <c r="H448" t="s">
        <v>2614</v>
      </c>
      <c r="I448" t="s">
        <v>263</v>
      </c>
      <c r="J448" t="s">
        <v>139</v>
      </c>
      <c r="K448" t="s">
        <v>2615</v>
      </c>
      <c r="L448" t="s">
        <v>2616</v>
      </c>
      <c r="M448" t="s">
        <v>2617</v>
      </c>
      <c r="N448">
        <v>2021</v>
      </c>
      <c r="O448" t="s">
        <v>159</v>
      </c>
      <c r="P448" t="s">
        <v>160</v>
      </c>
      <c r="Q448">
        <v>1</v>
      </c>
      <c r="R448">
        <v>2</v>
      </c>
      <c r="S448" t="s">
        <v>2902</v>
      </c>
    </row>
    <row r="449" spans="1:19" x14ac:dyDescent="0.25">
      <c r="A449" t="s">
        <v>2618</v>
      </c>
      <c r="B449" t="s">
        <v>536</v>
      </c>
      <c r="C449" t="s">
        <v>20</v>
      </c>
      <c r="D449" s="2">
        <v>36408</v>
      </c>
      <c r="E449" t="s">
        <v>145</v>
      </c>
      <c r="F449" t="s">
        <v>401</v>
      </c>
      <c r="G449" t="s">
        <v>735</v>
      </c>
      <c r="H449" t="s">
        <v>2619</v>
      </c>
      <c r="I449" t="s">
        <v>39</v>
      </c>
      <c r="J449" t="s">
        <v>26</v>
      </c>
      <c r="K449" t="s">
        <v>2620</v>
      </c>
      <c r="L449" t="s">
        <v>2621</v>
      </c>
      <c r="M449" t="s">
        <v>2622</v>
      </c>
      <c r="N449">
        <v>2022</v>
      </c>
      <c r="O449" t="s">
        <v>75</v>
      </c>
      <c r="P449" t="s">
        <v>76</v>
      </c>
      <c r="Q449">
        <v>1</v>
      </c>
      <c r="R449">
        <v>2</v>
      </c>
      <c r="S449" t="s">
        <v>2961</v>
      </c>
    </row>
    <row r="450" spans="1:19" x14ac:dyDescent="0.25">
      <c r="A450" t="s">
        <v>2623</v>
      </c>
      <c r="B450" t="s">
        <v>658</v>
      </c>
      <c r="C450" t="s">
        <v>20</v>
      </c>
      <c r="D450" s="2">
        <v>38065</v>
      </c>
      <c r="E450" t="s">
        <v>21</v>
      </c>
      <c r="F450" t="s">
        <v>1552</v>
      </c>
      <c r="G450" t="s">
        <v>23</v>
      </c>
      <c r="H450" t="s">
        <v>2624</v>
      </c>
      <c r="I450" t="s">
        <v>263</v>
      </c>
      <c r="J450" t="s">
        <v>139</v>
      </c>
      <c r="K450" t="s">
        <v>2625</v>
      </c>
      <c r="L450" t="s">
        <v>2626</v>
      </c>
      <c r="M450" t="s">
        <v>2627</v>
      </c>
      <c r="N450">
        <v>2024</v>
      </c>
      <c r="O450" t="s">
        <v>105</v>
      </c>
      <c r="P450" t="s">
        <v>106</v>
      </c>
      <c r="Q450">
        <v>2</v>
      </c>
      <c r="R450">
        <v>4</v>
      </c>
      <c r="S450" t="s">
        <v>2908</v>
      </c>
    </row>
    <row r="451" spans="1:19" x14ac:dyDescent="0.25">
      <c r="A451" t="s">
        <v>2628</v>
      </c>
      <c r="B451" t="s">
        <v>504</v>
      </c>
      <c r="C451" t="s">
        <v>134</v>
      </c>
      <c r="D451" s="2">
        <v>36249</v>
      </c>
      <c r="E451" t="s">
        <v>196</v>
      </c>
      <c r="F451" t="s">
        <v>2629</v>
      </c>
      <c r="G451" t="s">
        <v>100</v>
      </c>
      <c r="H451" t="s">
        <v>1163</v>
      </c>
      <c r="I451" t="s">
        <v>91</v>
      </c>
      <c r="J451" t="s">
        <v>71</v>
      </c>
      <c r="K451" t="s">
        <v>2630</v>
      </c>
      <c r="L451" t="s">
        <v>2631</v>
      </c>
      <c r="M451" t="s">
        <v>2632</v>
      </c>
      <c r="N451">
        <v>2023</v>
      </c>
      <c r="O451" t="s">
        <v>105</v>
      </c>
      <c r="P451" t="s">
        <v>106</v>
      </c>
      <c r="Q451">
        <v>3</v>
      </c>
      <c r="R451">
        <v>6</v>
      </c>
      <c r="S451" t="s">
        <v>2908</v>
      </c>
    </row>
    <row r="452" spans="1:19" x14ac:dyDescent="0.25">
      <c r="A452" t="s">
        <v>2633</v>
      </c>
      <c r="B452" t="s">
        <v>146</v>
      </c>
      <c r="C452" t="s">
        <v>20</v>
      </c>
      <c r="D452" s="2">
        <v>38962</v>
      </c>
      <c r="E452" t="s">
        <v>35</v>
      </c>
      <c r="F452" t="s">
        <v>401</v>
      </c>
      <c r="G452" t="s">
        <v>1607</v>
      </c>
      <c r="H452" t="s">
        <v>2634</v>
      </c>
      <c r="I452" t="s">
        <v>25</v>
      </c>
      <c r="J452" t="s">
        <v>25</v>
      </c>
      <c r="K452" t="s">
        <v>2635</v>
      </c>
      <c r="L452" t="s">
        <v>2636</v>
      </c>
      <c r="M452" t="s">
        <v>2637</v>
      </c>
      <c r="N452">
        <v>2023</v>
      </c>
      <c r="O452" t="s">
        <v>30</v>
      </c>
      <c r="P452" t="s">
        <v>31</v>
      </c>
      <c r="Q452">
        <v>3</v>
      </c>
      <c r="R452">
        <v>6</v>
      </c>
      <c r="S452" t="s">
        <v>2895</v>
      </c>
    </row>
    <row r="453" spans="1:19" x14ac:dyDescent="0.25">
      <c r="A453" t="s">
        <v>2638</v>
      </c>
      <c r="B453" t="s">
        <v>753</v>
      </c>
      <c r="C453" t="s">
        <v>134</v>
      </c>
      <c r="D453" s="2">
        <v>37479</v>
      </c>
      <c r="E453" t="s">
        <v>109</v>
      </c>
      <c r="F453" t="s">
        <v>860</v>
      </c>
      <c r="G453" t="s">
        <v>2639</v>
      </c>
      <c r="H453" t="s">
        <v>2640</v>
      </c>
      <c r="I453" t="s">
        <v>368</v>
      </c>
      <c r="J453" t="s">
        <v>50</v>
      </c>
      <c r="K453" t="s">
        <v>2641</v>
      </c>
      <c r="L453" t="s">
        <v>2642</v>
      </c>
      <c r="M453" t="s">
        <v>2643</v>
      </c>
      <c r="N453">
        <v>2022</v>
      </c>
      <c r="O453" t="s">
        <v>30</v>
      </c>
      <c r="P453" t="s">
        <v>31</v>
      </c>
      <c r="Q453">
        <v>1</v>
      </c>
      <c r="R453">
        <v>2</v>
      </c>
      <c r="S453" t="s">
        <v>2895</v>
      </c>
    </row>
    <row r="454" spans="1:19" x14ac:dyDescent="0.25">
      <c r="A454" t="s">
        <v>2644</v>
      </c>
      <c r="B454" t="s">
        <v>966</v>
      </c>
      <c r="C454" t="s">
        <v>20</v>
      </c>
      <c r="D454" s="2">
        <v>37171</v>
      </c>
      <c r="E454" t="s">
        <v>21</v>
      </c>
      <c r="F454" t="s">
        <v>342</v>
      </c>
      <c r="G454" t="s">
        <v>206</v>
      </c>
      <c r="H454" t="s">
        <v>2645</v>
      </c>
      <c r="I454" t="s">
        <v>263</v>
      </c>
      <c r="J454" t="s">
        <v>139</v>
      </c>
      <c r="K454" t="s">
        <v>2646</v>
      </c>
      <c r="L454" t="s">
        <v>2647</v>
      </c>
      <c r="M454" t="s">
        <v>2648</v>
      </c>
      <c r="N454">
        <v>2021</v>
      </c>
      <c r="O454" t="s">
        <v>122</v>
      </c>
      <c r="P454" t="s">
        <v>123</v>
      </c>
      <c r="Q454">
        <v>1</v>
      </c>
      <c r="R454">
        <v>2</v>
      </c>
      <c r="S454" t="s">
        <v>2919</v>
      </c>
    </row>
    <row r="455" spans="1:19" x14ac:dyDescent="0.25">
      <c r="A455" t="s">
        <v>2649</v>
      </c>
      <c r="B455" t="s">
        <v>364</v>
      </c>
      <c r="C455" t="s">
        <v>134</v>
      </c>
      <c r="D455" s="2">
        <v>37373</v>
      </c>
      <c r="E455" t="s">
        <v>171</v>
      </c>
      <c r="F455" t="s">
        <v>672</v>
      </c>
      <c r="G455" t="s">
        <v>472</v>
      </c>
      <c r="H455" t="s">
        <v>2650</v>
      </c>
      <c r="I455" t="s">
        <v>49</v>
      </c>
      <c r="J455" t="s">
        <v>201</v>
      </c>
      <c r="K455" t="s">
        <v>2651</v>
      </c>
      <c r="L455" t="s">
        <v>2652</v>
      </c>
      <c r="M455" t="s">
        <v>2653</v>
      </c>
      <c r="N455">
        <v>2023</v>
      </c>
      <c r="O455" t="s">
        <v>212</v>
      </c>
      <c r="P455" t="s">
        <v>213</v>
      </c>
      <c r="Q455">
        <v>3</v>
      </c>
      <c r="R455">
        <v>6</v>
      </c>
      <c r="S455" t="s">
        <v>3001</v>
      </c>
    </row>
    <row r="456" spans="1:19" x14ac:dyDescent="0.25">
      <c r="A456" t="s">
        <v>2654</v>
      </c>
      <c r="B456" t="s">
        <v>222</v>
      </c>
      <c r="C456" t="s">
        <v>20</v>
      </c>
      <c r="D456" s="2">
        <v>39112</v>
      </c>
      <c r="E456" t="s">
        <v>171</v>
      </c>
      <c r="F456" t="s">
        <v>306</v>
      </c>
      <c r="G456" t="s">
        <v>761</v>
      </c>
      <c r="H456" t="s">
        <v>2655</v>
      </c>
      <c r="I456" t="s">
        <v>263</v>
      </c>
      <c r="J456" t="s">
        <v>139</v>
      </c>
      <c r="K456" t="s">
        <v>2656</v>
      </c>
      <c r="L456" t="s">
        <v>2657</v>
      </c>
      <c r="M456" t="s">
        <v>2658</v>
      </c>
      <c r="N456">
        <v>2023</v>
      </c>
      <c r="O456" t="s">
        <v>30</v>
      </c>
      <c r="P456" t="s">
        <v>31</v>
      </c>
      <c r="Q456">
        <v>3</v>
      </c>
      <c r="R456">
        <v>6</v>
      </c>
      <c r="S456" t="s">
        <v>2895</v>
      </c>
    </row>
    <row r="457" spans="1:19" x14ac:dyDescent="0.25">
      <c r="A457" t="s">
        <v>2659</v>
      </c>
      <c r="B457" t="s">
        <v>827</v>
      </c>
      <c r="C457" t="s">
        <v>20</v>
      </c>
      <c r="D457" s="2">
        <v>37568</v>
      </c>
      <c r="E457" t="s">
        <v>145</v>
      </c>
      <c r="F457" t="s">
        <v>1360</v>
      </c>
      <c r="G457" t="s">
        <v>2629</v>
      </c>
      <c r="H457" t="s">
        <v>2660</v>
      </c>
      <c r="I457" t="s">
        <v>82</v>
      </c>
      <c r="J457" t="s">
        <v>175</v>
      </c>
      <c r="K457" t="s">
        <v>2661</v>
      </c>
      <c r="L457" t="s">
        <v>2662</v>
      </c>
      <c r="M457" t="s">
        <v>2663</v>
      </c>
      <c r="N457">
        <v>2022</v>
      </c>
      <c r="O457" t="s">
        <v>105</v>
      </c>
      <c r="P457" t="s">
        <v>106</v>
      </c>
      <c r="Q457">
        <v>1</v>
      </c>
      <c r="R457">
        <v>2</v>
      </c>
      <c r="S457" t="s">
        <v>2908</v>
      </c>
    </row>
    <row r="458" spans="1:19" x14ac:dyDescent="0.25">
      <c r="A458" t="s">
        <v>2664</v>
      </c>
      <c r="B458" t="s">
        <v>589</v>
      </c>
      <c r="C458" t="s">
        <v>20</v>
      </c>
      <c r="D458" s="2">
        <v>37469</v>
      </c>
      <c r="E458" t="s">
        <v>109</v>
      </c>
      <c r="F458" t="s">
        <v>23</v>
      </c>
      <c r="G458" t="s">
        <v>1043</v>
      </c>
      <c r="H458" t="s">
        <v>2665</v>
      </c>
      <c r="I458" t="s">
        <v>25</v>
      </c>
      <c r="J458" t="s">
        <v>25</v>
      </c>
      <c r="K458" t="s">
        <v>2666</v>
      </c>
      <c r="L458" t="s">
        <v>2667</v>
      </c>
      <c r="M458" t="s">
        <v>2668</v>
      </c>
      <c r="N458">
        <v>2023</v>
      </c>
      <c r="O458" t="s">
        <v>122</v>
      </c>
      <c r="P458" t="s">
        <v>123</v>
      </c>
      <c r="Q458">
        <v>3</v>
      </c>
      <c r="R458">
        <v>6</v>
      </c>
      <c r="S458" t="s">
        <v>2919</v>
      </c>
    </row>
    <row r="459" spans="1:19" x14ac:dyDescent="0.25">
      <c r="A459" t="s">
        <v>2669</v>
      </c>
      <c r="B459" t="s">
        <v>408</v>
      </c>
      <c r="C459" t="s">
        <v>20</v>
      </c>
      <c r="D459" s="2">
        <v>37751</v>
      </c>
      <c r="E459" t="s">
        <v>171</v>
      </c>
      <c r="F459" t="s">
        <v>734</v>
      </c>
      <c r="G459" t="s">
        <v>2351</v>
      </c>
      <c r="H459" t="s">
        <v>2670</v>
      </c>
      <c r="I459" t="s">
        <v>49</v>
      </c>
      <c r="J459" t="s">
        <v>201</v>
      </c>
      <c r="K459" t="s">
        <v>2671</v>
      </c>
      <c r="L459" t="s">
        <v>2672</v>
      </c>
      <c r="M459" t="s">
        <v>2673</v>
      </c>
      <c r="N459">
        <v>2022</v>
      </c>
      <c r="O459" t="s">
        <v>122</v>
      </c>
      <c r="P459" t="s">
        <v>123</v>
      </c>
      <c r="Q459">
        <v>1</v>
      </c>
      <c r="R459">
        <v>2</v>
      </c>
      <c r="S459" t="s">
        <v>2919</v>
      </c>
    </row>
    <row r="460" spans="1:19" x14ac:dyDescent="0.25">
      <c r="A460" t="s">
        <v>2674</v>
      </c>
      <c r="B460" t="s">
        <v>1162</v>
      </c>
      <c r="C460" t="s">
        <v>134</v>
      </c>
      <c r="D460" s="2">
        <v>38814</v>
      </c>
      <c r="E460" t="s">
        <v>196</v>
      </c>
      <c r="F460" t="s">
        <v>2495</v>
      </c>
      <c r="G460" t="s">
        <v>163</v>
      </c>
      <c r="H460" t="s">
        <v>2675</v>
      </c>
      <c r="I460" t="s">
        <v>200</v>
      </c>
      <c r="J460" t="s">
        <v>40</v>
      </c>
      <c r="K460" t="s">
        <v>2676</v>
      </c>
      <c r="L460" t="s">
        <v>2677</v>
      </c>
      <c r="M460" t="s">
        <v>2678</v>
      </c>
      <c r="N460">
        <v>2021</v>
      </c>
      <c r="O460" t="s">
        <v>75</v>
      </c>
      <c r="P460" t="s">
        <v>76</v>
      </c>
      <c r="Q460">
        <v>1</v>
      </c>
      <c r="R460">
        <v>2</v>
      </c>
      <c r="S460" t="s">
        <v>2961</v>
      </c>
    </row>
    <row r="461" spans="1:19" x14ac:dyDescent="0.25">
      <c r="A461" t="s">
        <v>2679</v>
      </c>
      <c r="B461" t="s">
        <v>966</v>
      </c>
      <c r="C461" t="s">
        <v>20</v>
      </c>
      <c r="D461" s="2">
        <v>36161</v>
      </c>
      <c r="E461" t="s">
        <v>21</v>
      </c>
      <c r="F461" t="s">
        <v>170</v>
      </c>
      <c r="G461" t="s">
        <v>253</v>
      </c>
      <c r="H461" t="s">
        <v>2680</v>
      </c>
      <c r="I461" t="s">
        <v>200</v>
      </c>
      <c r="J461" t="s">
        <v>40</v>
      </c>
      <c r="K461" t="s">
        <v>2681</v>
      </c>
      <c r="L461" t="s">
        <v>2682</v>
      </c>
      <c r="M461" t="s">
        <v>2683</v>
      </c>
      <c r="N461">
        <v>2022</v>
      </c>
      <c r="O461" t="s">
        <v>75</v>
      </c>
      <c r="P461" t="s">
        <v>76</v>
      </c>
      <c r="Q461">
        <v>1</v>
      </c>
      <c r="R461">
        <v>2</v>
      </c>
      <c r="S461" t="s">
        <v>2961</v>
      </c>
    </row>
    <row r="462" spans="1:19" x14ac:dyDescent="0.25">
      <c r="A462" t="s">
        <v>2684</v>
      </c>
      <c r="B462" t="s">
        <v>334</v>
      </c>
      <c r="C462" t="s">
        <v>134</v>
      </c>
      <c r="D462" s="2">
        <v>37122</v>
      </c>
      <c r="E462" t="s">
        <v>145</v>
      </c>
      <c r="F462" t="s">
        <v>336</v>
      </c>
      <c r="G462" t="s">
        <v>445</v>
      </c>
      <c r="H462" t="s">
        <v>2685</v>
      </c>
      <c r="I462" t="s">
        <v>368</v>
      </c>
      <c r="J462" t="s">
        <v>50</v>
      </c>
      <c r="K462" t="s">
        <v>2686</v>
      </c>
      <c r="L462" t="s">
        <v>2687</v>
      </c>
      <c r="M462" t="s">
        <v>2688</v>
      </c>
      <c r="N462">
        <v>2023</v>
      </c>
      <c r="O462" t="s">
        <v>75</v>
      </c>
      <c r="P462" t="s">
        <v>76</v>
      </c>
      <c r="Q462">
        <v>3</v>
      </c>
      <c r="R462">
        <v>6</v>
      </c>
      <c r="S462" t="s">
        <v>2961</v>
      </c>
    </row>
    <row r="463" spans="1:19" x14ac:dyDescent="0.25">
      <c r="A463" t="s">
        <v>2689</v>
      </c>
      <c r="B463" t="s">
        <v>245</v>
      </c>
      <c r="C463" t="s">
        <v>134</v>
      </c>
      <c r="D463" s="2">
        <v>37122</v>
      </c>
      <c r="E463" t="s">
        <v>21</v>
      </c>
      <c r="F463" t="s">
        <v>68</v>
      </c>
      <c r="G463" t="s">
        <v>943</v>
      </c>
      <c r="H463" t="s">
        <v>2690</v>
      </c>
      <c r="I463" t="s">
        <v>82</v>
      </c>
      <c r="J463" t="s">
        <v>175</v>
      </c>
      <c r="K463" t="s">
        <v>2691</v>
      </c>
      <c r="L463" t="s">
        <v>2692</v>
      </c>
      <c r="M463" t="s">
        <v>2693</v>
      </c>
      <c r="N463">
        <v>2022</v>
      </c>
      <c r="O463" t="s">
        <v>63</v>
      </c>
      <c r="P463" t="s">
        <v>64</v>
      </c>
      <c r="Q463">
        <v>1</v>
      </c>
      <c r="R463">
        <v>2</v>
      </c>
      <c r="S463" t="s">
        <v>2932</v>
      </c>
    </row>
    <row r="464" spans="1:19" x14ac:dyDescent="0.25">
      <c r="A464" t="s">
        <v>2694</v>
      </c>
      <c r="B464" t="s">
        <v>1162</v>
      </c>
      <c r="C464" t="s">
        <v>20</v>
      </c>
      <c r="D464" s="2">
        <v>39303</v>
      </c>
      <c r="E464" t="s">
        <v>171</v>
      </c>
      <c r="F464" t="s">
        <v>773</v>
      </c>
      <c r="G464" t="s">
        <v>260</v>
      </c>
      <c r="H464" t="s">
        <v>2695</v>
      </c>
      <c r="I464" t="s">
        <v>82</v>
      </c>
      <c r="J464" t="s">
        <v>175</v>
      </c>
      <c r="K464" t="s">
        <v>2696</v>
      </c>
      <c r="L464" t="s">
        <v>2697</v>
      </c>
      <c r="M464" t="s">
        <v>2698</v>
      </c>
      <c r="N464">
        <v>2022</v>
      </c>
      <c r="O464" t="s">
        <v>95</v>
      </c>
      <c r="P464" t="s">
        <v>96</v>
      </c>
      <c r="Q464">
        <v>1</v>
      </c>
      <c r="R464">
        <v>2</v>
      </c>
      <c r="S464" t="s">
        <v>2889</v>
      </c>
    </row>
    <row r="465" spans="1:19" x14ac:dyDescent="0.25">
      <c r="A465" t="s">
        <v>2699</v>
      </c>
      <c r="B465" t="s">
        <v>678</v>
      </c>
      <c r="C465" t="s">
        <v>20</v>
      </c>
      <c r="D465" s="2">
        <v>36495</v>
      </c>
      <c r="E465" t="s">
        <v>109</v>
      </c>
      <c r="F465" t="s">
        <v>1667</v>
      </c>
      <c r="G465" t="s">
        <v>1726</v>
      </c>
      <c r="H465" t="s">
        <v>2700</v>
      </c>
      <c r="I465" t="s">
        <v>39</v>
      </c>
      <c r="J465" t="s">
        <v>26</v>
      </c>
      <c r="K465" t="s">
        <v>2701</v>
      </c>
      <c r="L465" t="s">
        <v>2702</v>
      </c>
      <c r="M465" t="s">
        <v>2703</v>
      </c>
      <c r="N465">
        <v>2021</v>
      </c>
      <c r="O465" t="s">
        <v>95</v>
      </c>
      <c r="P465" t="s">
        <v>96</v>
      </c>
      <c r="Q465">
        <v>1</v>
      </c>
      <c r="R465">
        <v>2</v>
      </c>
      <c r="S465" t="s">
        <v>2889</v>
      </c>
    </row>
    <row r="466" spans="1:19" x14ac:dyDescent="0.25">
      <c r="A466" t="s">
        <v>2704</v>
      </c>
      <c r="B466" t="s">
        <v>472</v>
      </c>
      <c r="C466" t="s">
        <v>20</v>
      </c>
      <c r="D466" s="2">
        <v>36798</v>
      </c>
      <c r="E466" t="s">
        <v>21</v>
      </c>
      <c r="F466" t="s">
        <v>678</v>
      </c>
      <c r="G466" t="s">
        <v>872</v>
      </c>
      <c r="H466" t="s">
        <v>2705</v>
      </c>
      <c r="I466" t="s">
        <v>39</v>
      </c>
      <c r="J466" t="s">
        <v>26</v>
      </c>
      <c r="K466" t="s">
        <v>2706</v>
      </c>
      <c r="L466" t="s">
        <v>2707</v>
      </c>
      <c r="M466" t="s">
        <v>2708</v>
      </c>
      <c r="N466">
        <v>2021</v>
      </c>
      <c r="O466" t="s">
        <v>63</v>
      </c>
      <c r="P466" t="s">
        <v>64</v>
      </c>
      <c r="Q466">
        <v>1</v>
      </c>
      <c r="R466">
        <v>2</v>
      </c>
      <c r="S466" t="s">
        <v>2932</v>
      </c>
    </row>
    <row r="467" spans="1:19" x14ac:dyDescent="0.25">
      <c r="A467" t="s">
        <v>2709</v>
      </c>
      <c r="B467" t="s">
        <v>189</v>
      </c>
      <c r="C467" t="s">
        <v>20</v>
      </c>
      <c r="D467" s="2">
        <v>36204</v>
      </c>
      <c r="E467" t="s">
        <v>109</v>
      </c>
      <c r="F467" t="s">
        <v>485</v>
      </c>
      <c r="G467" t="s">
        <v>1881</v>
      </c>
      <c r="H467" t="s">
        <v>2710</v>
      </c>
      <c r="I467" t="s">
        <v>25</v>
      </c>
      <c r="J467" t="s">
        <v>25</v>
      </c>
      <c r="K467" t="s">
        <v>2711</v>
      </c>
      <c r="L467" t="s">
        <v>2712</v>
      </c>
      <c r="M467" t="s">
        <v>2713</v>
      </c>
      <c r="N467">
        <v>2024</v>
      </c>
      <c r="O467" t="s">
        <v>75</v>
      </c>
      <c r="P467" t="s">
        <v>76</v>
      </c>
      <c r="Q467">
        <v>2</v>
      </c>
      <c r="R467">
        <v>4</v>
      </c>
      <c r="S467" t="s">
        <v>2961</v>
      </c>
    </row>
    <row r="468" spans="1:19" x14ac:dyDescent="0.25">
      <c r="A468" t="s">
        <v>2714</v>
      </c>
      <c r="B468" t="s">
        <v>1679</v>
      </c>
      <c r="C468" t="s">
        <v>20</v>
      </c>
      <c r="D468" s="2">
        <v>39270</v>
      </c>
      <c r="E468" t="s">
        <v>35</v>
      </c>
      <c r="F468" t="s">
        <v>1726</v>
      </c>
      <c r="G468" t="s">
        <v>510</v>
      </c>
      <c r="H468" t="s">
        <v>2715</v>
      </c>
      <c r="I468" t="s">
        <v>91</v>
      </c>
      <c r="J468" t="s">
        <v>71</v>
      </c>
      <c r="K468" t="s">
        <v>2716</v>
      </c>
      <c r="L468" t="s">
        <v>2717</v>
      </c>
      <c r="M468" t="s">
        <v>2718</v>
      </c>
      <c r="N468">
        <v>2024</v>
      </c>
      <c r="O468" t="s">
        <v>159</v>
      </c>
      <c r="P468" t="s">
        <v>160</v>
      </c>
      <c r="Q468">
        <v>2</v>
      </c>
      <c r="R468">
        <v>4</v>
      </c>
      <c r="S468" t="s">
        <v>2902</v>
      </c>
    </row>
    <row r="469" spans="1:19" x14ac:dyDescent="0.25">
      <c r="A469" t="s">
        <v>2719</v>
      </c>
      <c r="B469" t="s">
        <v>1540</v>
      </c>
      <c r="C469" t="s">
        <v>20</v>
      </c>
      <c r="D469" s="2">
        <v>37286</v>
      </c>
      <c r="E469" t="s">
        <v>171</v>
      </c>
      <c r="F469" t="s">
        <v>485</v>
      </c>
      <c r="G469" t="s">
        <v>306</v>
      </c>
      <c r="H469" t="s">
        <v>2720</v>
      </c>
      <c r="I469" t="s">
        <v>39</v>
      </c>
      <c r="J469" t="s">
        <v>26</v>
      </c>
      <c r="K469" t="s">
        <v>2721</v>
      </c>
      <c r="L469" t="s">
        <v>2722</v>
      </c>
      <c r="M469" t="s">
        <v>2723</v>
      </c>
      <c r="N469">
        <v>2024</v>
      </c>
      <c r="O469" t="s">
        <v>75</v>
      </c>
      <c r="P469" t="s">
        <v>76</v>
      </c>
      <c r="Q469">
        <v>2</v>
      </c>
      <c r="R469">
        <v>4</v>
      </c>
      <c r="S469" t="s">
        <v>2961</v>
      </c>
    </row>
    <row r="470" spans="1:19" x14ac:dyDescent="0.25">
      <c r="A470" t="s">
        <v>2724</v>
      </c>
      <c r="B470" t="s">
        <v>773</v>
      </c>
      <c r="C470" t="s">
        <v>134</v>
      </c>
      <c r="D470" s="2">
        <v>37553</v>
      </c>
      <c r="E470" t="s">
        <v>196</v>
      </c>
      <c r="F470" t="s">
        <v>144</v>
      </c>
      <c r="G470" t="s">
        <v>1206</v>
      </c>
      <c r="H470" t="s">
        <v>951</v>
      </c>
      <c r="I470" t="s">
        <v>59</v>
      </c>
      <c r="J470" t="s">
        <v>26</v>
      </c>
      <c r="K470" t="s">
        <v>2725</v>
      </c>
      <c r="L470" t="s">
        <v>2726</v>
      </c>
      <c r="M470" t="s">
        <v>2727</v>
      </c>
      <c r="N470">
        <v>2021</v>
      </c>
      <c r="O470" t="s">
        <v>159</v>
      </c>
      <c r="P470" t="s">
        <v>160</v>
      </c>
      <c r="Q470">
        <v>1</v>
      </c>
      <c r="R470">
        <v>2</v>
      </c>
      <c r="S470" t="s">
        <v>2902</v>
      </c>
    </row>
    <row r="471" spans="1:19" x14ac:dyDescent="0.25">
      <c r="A471" t="s">
        <v>2728</v>
      </c>
      <c r="B471" t="s">
        <v>588</v>
      </c>
      <c r="C471" t="s">
        <v>20</v>
      </c>
      <c r="D471" s="2">
        <v>38105</v>
      </c>
      <c r="E471" t="s">
        <v>196</v>
      </c>
      <c r="F471" t="s">
        <v>306</v>
      </c>
      <c r="G471" t="s">
        <v>974</v>
      </c>
      <c r="H471" t="s">
        <v>2729</v>
      </c>
      <c r="I471" t="s">
        <v>200</v>
      </c>
      <c r="J471" t="s">
        <v>40</v>
      </c>
      <c r="K471" t="s">
        <v>2730</v>
      </c>
      <c r="L471" t="s">
        <v>2731</v>
      </c>
      <c r="M471" t="s">
        <v>2732</v>
      </c>
      <c r="N471">
        <v>2023</v>
      </c>
      <c r="O471" t="s">
        <v>75</v>
      </c>
      <c r="P471" t="s">
        <v>76</v>
      </c>
      <c r="Q471">
        <v>3</v>
      </c>
      <c r="R471">
        <v>6</v>
      </c>
      <c r="S471" t="s">
        <v>2961</v>
      </c>
    </row>
    <row r="472" spans="1:19" x14ac:dyDescent="0.25">
      <c r="A472" t="s">
        <v>2733</v>
      </c>
      <c r="B472" t="s">
        <v>1837</v>
      </c>
      <c r="C472" t="s">
        <v>134</v>
      </c>
      <c r="D472" s="2">
        <v>38309</v>
      </c>
      <c r="E472" t="s">
        <v>35</v>
      </c>
      <c r="F472" t="s">
        <v>245</v>
      </c>
      <c r="G472" t="s">
        <v>915</v>
      </c>
      <c r="H472" t="s">
        <v>2734</v>
      </c>
      <c r="I472" t="s">
        <v>49</v>
      </c>
      <c r="J472" t="s">
        <v>201</v>
      </c>
      <c r="K472" t="s">
        <v>2735</v>
      </c>
      <c r="L472" t="s">
        <v>2736</v>
      </c>
      <c r="M472" t="s">
        <v>2737</v>
      </c>
      <c r="N472">
        <v>2021</v>
      </c>
      <c r="O472" t="s">
        <v>105</v>
      </c>
      <c r="P472" t="s">
        <v>106</v>
      </c>
      <c r="Q472">
        <v>1</v>
      </c>
      <c r="R472">
        <v>2</v>
      </c>
      <c r="S472" t="s">
        <v>2908</v>
      </c>
    </row>
    <row r="473" spans="1:19" x14ac:dyDescent="0.25">
      <c r="A473" t="s">
        <v>2738</v>
      </c>
      <c r="B473" t="s">
        <v>342</v>
      </c>
      <c r="C473" t="s">
        <v>20</v>
      </c>
      <c r="D473" s="2">
        <v>38723</v>
      </c>
      <c r="E473" t="s">
        <v>35</v>
      </c>
      <c r="F473" t="s">
        <v>307</v>
      </c>
      <c r="G473" t="s">
        <v>1054</v>
      </c>
      <c r="H473" t="s">
        <v>2739</v>
      </c>
      <c r="I473" t="s">
        <v>200</v>
      </c>
      <c r="J473" t="s">
        <v>40</v>
      </c>
      <c r="K473" t="s">
        <v>2740</v>
      </c>
      <c r="L473" t="s">
        <v>2741</v>
      </c>
      <c r="M473" t="s">
        <v>2742</v>
      </c>
      <c r="N473">
        <v>2023</v>
      </c>
      <c r="O473" t="s">
        <v>212</v>
      </c>
      <c r="P473" t="s">
        <v>213</v>
      </c>
      <c r="Q473">
        <v>3</v>
      </c>
      <c r="R473">
        <v>6</v>
      </c>
      <c r="S473" t="s">
        <v>3001</v>
      </c>
    </row>
    <row r="474" spans="1:19" x14ac:dyDescent="0.25">
      <c r="A474" t="s">
        <v>2743</v>
      </c>
      <c r="B474" t="s">
        <v>1360</v>
      </c>
      <c r="C474" t="s">
        <v>20</v>
      </c>
      <c r="D474" s="2">
        <v>38617</v>
      </c>
      <c r="E474" t="s">
        <v>21</v>
      </c>
      <c r="F474" t="s">
        <v>46</v>
      </c>
      <c r="G474" t="s">
        <v>45</v>
      </c>
      <c r="H474" t="s">
        <v>2744</v>
      </c>
      <c r="I474" t="s">
        <v>49</v>
      </c>
      <c r="J474" t="s">
        <v>201</v>
      </c>
      <c r="K474" t="s">
        <v>2745</v>
      </c>
      <c r="L474" t="s">
        <v>2746</v>
      </c>
      <c r="M474" t="s">
        <v>2747</v>
      </c>
      <c r="N474">
        <v>2023</v>
      </c>
      <c r="O474" t="s">
        <v>159</v>
      </c>
      <c r="P474" t="s">
        <v>160</v>
      </c>
      <c r="Q474">
        <v>3</v>
      </c>
      <c r="R474">
        <v>6</v>
      </c>
      <c r="S474" t="s">
        <v>2902</v>
      </c>
    </row>
    <row r="475" spans="1:19" x14ac:dyDescent="0.25">
      <c r="A475" t="s">
        <v>2748</v>
      </c>
      <c r="B475" t="s">
        <v>68</v>
      </c>
      <c r="C475" t="s">
        <v>20</v>
      </c>
      <c r="D475" s="2">
        <v>38343</v>
      </c>
      <c r="E475" t="s">
        <v>171</v>
      </c>
      <c r="F475" t="s">
        <v>1641</v>
      </c>
      <c r="G475" t="s">
        <v>479</v>
      </c>
      <c r="H475" t="s">
        <v>2749</v>
      </c>
      <c r="I475" t="s">
        <v>25</v>
      </c>
      <c r="J475" t="s">
        <v>25</v>
      </c>
      <c r="K475" t="s">
        <v>2750</v>
      </c>
      <c r="L475" t="s">
        <v>2751</v>
      </c>
      <c r="M475" t="s">
        <v>2752</v>
      </c>
      <c r="N475">
        <v>2023</v>
      </c>
      <c r="O475" t="s">
        <v>95</v>
      </c>
      <c r="P475" t="s">
        <v>96</v>
      </c>
      <c r="Q475">
        <v>3</v>
      </c>
      <c r="R475">
        <v>6</v>
      </c>
      <c r="S475" t="s">
        <v>2889</v>
      </c>
    </row>
    <row r="476" spans="1:19" x14ac:dyDescent="0.25">
      <c r="A476" t="s">
        <v>2753</v>
      </c>
      <c r="B476" t="s">
        <v>410</v>
      </c>
      <c r="C476" t="s">
        <v>20</v>
      </c>
      <c r="D476" s="2">
        <v>39079</v>
      </c>
      <c r="E476" t="s">
        <v>67</v>
      </c>
      <c r="F476" t="s">
        <v>871</v>
      </c>
      <c r="G476" t="s">
        <v>437</v>
      </c>
      <c r="H476" t="s">
        <v>2754</v>
      </c>
      <c r="I476" t="s">
        <v>263</v>
      </c>
      <c r="J476" t="s">
        <v>139</v>
      </c>
      <c r="K476" t="s">
        <v>2755</v>
      </c>
      <c r="L476" t="s">
        <v>2756</v>
      </c>
      <c r="M476" t="s">
        <v>2757</v>
      </c>
      <c r="N476">
        <v>2021</v>
      </c>
      <c r="O476" t="s">
        <v>63</v>
      </c>
      <c r="P476" t="s">
        <v>64</v>
      </c>
      <c r="Q476">
        <v>1</v>
      </c>
      <c r="R476">
        <v>2</v>
      </c>
      <c r="S476" t="s">
        <v>2932</v>
      </c>
    </row>
    <row r="477" spans="1:19" x14ac:dyDescent="0.25">
      <c r="A477" t="s">
        <v>2758</v>
      </c>
      <c r="B477" t="s">
        <v>326</v>
      </c>
      <c r="C477" t="s">
        <v>20</v>
      </c>
      <c r="D477" s="2">
        <v>36174</v>
      </c>
      <c r="E477" t="s">
        <v>145</v>
      </c>
      <c r="F477" t="s">
        <v>1261</v>
      </c>
      <c r="G477" t="s">
        <v>269</v>
      </c>
      <c r="H477" t="s">
        <v>2759</v>
      </c>
      <c r="I477" t="s">
        <v>25</v>
      </c>
      <c r="J477" t="s">
        <v>25</v>
      </c>
      <c r="K477" t="s">
        <v>2760</v>
      </c>
      <c r="L477" t="s">
        <v>2761</v>
      </c>
      <c r="M477" t="s">
        <v>2762</v>
      </c>
      <c r="N477">
        <v>2021</v>
      </c>
      <c r="O477" t="s">
        <v>63</v>
      </c>
      <c r="P477" t="s">
        <v>64</v>
      </c>
      <c r="Q477">
        <v>1</v>
      </c>
      <c r="R477">
        <v>2</v>
      </c>
      <c r="S477" t="s">
        <v>2932</v>
      </c>
    </row>
    <row r="478" spans="1:19" x14ac:dyDescent="0.25">
      <c r="A478" t="s">
        <v>2763</v>
      </c>
      <c r="B478" t="s">
        <v>942</v>
      </c>
      <c r="C478" t="s">
        <v>134</v>
      </c>
      <c r="D478" s="2">
        <v>38481</v>
      </c>
      <c r="E478" t="s">
        <v>35</v>
      </c>
      <c r="F478" t="s">
        <v>1205</v>
      </c>
      <c r="G478" t="s">
        <v>609</v>
      </c>
      <c r="H478" t="s">
        <v>2764</v>
      </c>
      <c r="I478" t="s">
        <v>82</v>
      </c>
      <c r="J478" t="s">
        <v>175</v>
      </c>
      <c r="K478" t="s">
        <v>2765</v>
      </c>
      <c r="L478" t="s">
        <v>2766</v>
      </c>
      <c r="M478" t="s">
        <v>2767</v>
      </c>
      <c r="N478">
        <v>2023</v>
      </c>
      <c r="O478" t="s">
        <v>212</v>
      </c>
      <c r="P478" t="s">
        <v>213</v>
      </c>
      <c r="Q478">
        <v>3</v>
      </c>
      <c r="R478">
        <v>6</v>
      </c>
      <c r="S478" t="s">
        <v>3001</v>
      </c>
    </row>
    <row r="479" spans="1:19" x14ac:dyDescent="0.25">
      <c r="A479" t="s">
        <v>2768</v>
      </c>
      <c r="B479" t="s">
        <v>334</v>
      </c>
      <c r="C479" t="s">
        <v>134</v>
      </c>
      <c r="D479" s="2">
        <v>37825</v>
      </c>
      <c r="E479" t="s">
        <v>145</v>
      </c>
      <c r="F479" t="s">
        <v>463</v>
      </c>
      <c r="G479" t="s">
        <v>336</v>
      </c>
      <c r="H479" t="s">
        <v>2769</v>
      </c>
      <c r="I479" t="s">
        <v>25</v>
      </c>
      <c r="J479" t="s">
        <v>25</v>
      </c>
      <c r="K479" t="s">
        <v>2770</v>
      </c>
      <c r="L479" t="s">
        <v>2771</v>
      </c>
      <c r="M479" t="s">
        <v>2772</v>
      </c>
      <c r="N479">
        <v>2024</v>
      </c>
      <c r="O479" t="s">
        <v>63</v>
      </c>
      <c r="P479" t="s">
        <v>64</v>
      </c>
      <c r="Q479">
        <v>2</v>
      </c>
      <c r="R479">
        <v>4</v>
      </c>
      <c r="S479" t="s">
        <v>2932</v>
      </c>
    </row>
    <row r="480" spans="1:19" x14ac:dyDescent="0.25">
      <c r="A480" t="s">
        <v>2773</v>
      </c>
      <c r="B480" t="s">
        <v>878</v>
      </c>
      <c r="C480" t="s">
        <v>20</v>
      </c>
      <c r="D480" s="2">
        <v>37480</v>
      </c>
      <c r="E480" t="s">
        <v>109</v>
      </c>
      <c r="F480" t="s">
        <v>55</v>
      </c>
      <c r="G480" t="s">
        <v>1641</v>
      </c>
      <c r="H480" t="s">
        <v>2774</v>
      </c>
      <c r="I480" t="s">
        <v>91</v>
      </c>
      <c r="J480" t="s">
        <v>71</v>
      </c>
      <c r="K480" t="s">
        <v>2775</v>
      </c>
      <c r="L480" t="s">
        <v>2776</v>
      </c>
      <c r="M480" t="s">
        <v>2777</v>
      </c>
      <c r="N480">
        <v>2021</v>
      </c>
      <c r="O480" t="s">
        <v>212</v>
      </c>
      <c r="P480" t="s">
        <v>213</v>
      </c>
      <c r="Q480">
        <v>1</v>
      </c>
      <c r="R480">
        <v>2</v>
      </c>
      <c r="S480" t="s">
        <v>3001</v>
      </c>
    </row>
    <row r="481" spans="1:19" x14ac:dyDescent="0.25">
      <c r="A481" t="s">
        <v>2778</v>
      </c>
      <c r="B481" t="s">
        <v>1673</v>
      </c>
      <c r="C481" t="s">
        <v>20</v>
      </c>
      <c r="D481" s="2">
        <v>38502</v>
      </c>
      <c r="E481" t="s">
        <v>196</v>
      </c>
      <c r="F481" t="s">
        <v>1085</v>
      </c>
      <c r="G481" t="s">
        <v>1679</v>
      </c>
      <c r="H481" t="s">
        <v>2779</v>
      </c>
      <c r="I481" t="s">
        <v>82</v>
      </c>
      <c r="J481" t="s">
        <v>175</v>
      </c>
      <c r="K481" t="s">
        <v>2780</v>
      </c>
      <c r="L481" t="s">
        <v>2781</v>
      </c>
      <c r="M481" t="s">
        <v>2782</v>
      </c>
      <c r="N481">
        <v>2021</v>
      </c>
      <c r="O481" t="s">
        <v>122</v>
      </c>
      <c r="P481" t="s">
        <v>123</v>
      </c>
      <c r="Q481">
        <v>1</v>
      </c>
      <c r="R481">
        <v>2</v>
      </c>
      <c r="S481" t="s">
        <v>2919</v>
      </c>
    </row>
    <row r="482" spans="1:19" x14ac:dyDescent="0.25">
      <c r="A482" t="s">
        <v>2783</v>
      </c>
      <c r="B482" t="s">
        <v>45</v>
      </c>
      <c r="C482" t="s">
        <v>20</v>
      </c>
      <c r="D482" s="2">
        <v>38016</v>
      </c>
      <c r="E482" t="s">
        <v>196</v>
      </c>
      <c r="F482" t="s">
        <v>528</v>
      </c>
      <c r="G482" t="s">
        <v>127</v>
      </c>
      <c r="H482" t="s">
        <v>2784</v>
      </c>
      <c r="I482" t="s">
        <v>82</v>
      </c>
      <c r="J482" t="s">
        <v>175</v>
      </c>
      <c r="K482" t="s">
        <v>2785</v>
      </c>
      <c r="L482" t="s">
        <v>2786</v>
      </c>
      <c r="M482" t="s">
        <v>2787</v>
      </c>
      <c r="N482">
        <v>2021</v>
      </c>
      <c r="O482" t="s">
        <v>122</v>
      </c>
      <c r="P482" t="s">
        <v>123</v>
      </c>
      <c r="Q482">
        <v>1</v>
      </c>
      <c r="R482">
        <v>2</v>
      </c>
      <c r="S482" t="s">
        <v>2919</v>
      </c>
    </row>
    <row r="483" spans="1:19" x14ac:dyDescent="0.25">
      <c r="A483" t="s">
        <v>2788</v>
      </c>
      <c r="B483" t="s">
        <v>261</v>
      </c>
      <c r="C483" t="s">
        <v>134</v>
      </c>
      <c r="D483" s="2">
        <v>36669</v>
      </c>
      <c r="E483" t="s">
        <v>145</v>
      </c>
      <c r="F483" t="s">
        <v>1111</v>
      </c>
      <c r="G483" t="s">
        <v>408</v>
      </c>
      <c r="H483" t="s">
        <v>2789</v>
      </c>
      <c r="I483" t="s">
        <v>263</v>
      </c>
      <c r="J483" t="s">
        <v>139</v>
      </c>
      <c r="K483" t="s">
        <v>2790</v>
      </c>
      <c r="L483" t="s">
        <v>2791</v>
      </c>
      <c r="M483" t="s">
        <v>2792</v>
      </c>
      <c r="N483">
        <v>2024</v>
      </c>
      <c r="O483" t="s">
        <v>105</v>
      </c>
      <c r="P483" t="s">
        <v>106</v>
      </c>
      <c r="Q483">
        <v>2</v>
      </c>
      <c r="R483">
        <v>4</v>
      </c>
      <c r="S483" t="s">
        <v>2908</v>
      </c>
    </row>
    <row r="484" spans="1:19" x14ac:dyDescent="0.25">
      <c r="A484" t="s">
        <v>2793</v>
      </c>
      <c r="B484" t="s">
        <v>36</v>
      </c>
      <c r="C484" t="s">
        <v>134</v>
      </c>
      <c r="D484" s="2">
        <v>37177</v>
      </c>
      <c r="E484" t="s">
        <v>145</v>
      </c>
      <c r="F484" t="s">
        <v>1821</v>
      </c>
      <c r="G484" t="s">
        <v>464</v>
      </c>
      <c r="H484" t="s">
        <v>2794</v>
      </c>
      <c r="I484" t="s">
        <v>200</v>
      </c>
      <c r="J484" t="s">
        <v>40</v>
      </c>
      <c r="K484" t="s">
        <v>2795</v>
      </c>
      <c r="L484" t="s">
        <v>2796</v>
      </c>
      <c r="M484" t="s">
        <v>2797</v>
      </c>
      <c r="N484">
        <v>2024</v>
      </c>
      <c r="O484" t="s">
        <v>105</v>
      </c>
      <c r="P484" t="s">
        <v>106</v>
      </c>
      <c r="Q484">
        <v>2</v>
      </c>
      <c r="R484">
        <v>4</v>
      </c>
      <c r="S484" t="s">
        <v>2908</v>
      </c>
    </row>
    <row r="485" spans="1:19" x14ac:dyDescent="0.25">
      <c r="A485" t="s">
        <v>2798</v>
      </c>
      <c r="B485" t="s">
        <v>943</v>
      </c>
      <c r="C485" t="s">
        <v>134</v>
      </c>
      <c r="D485" s="2">
        <v>36461</v>
      </c>
      <c r="E485" t="s">
        <v>67</v>
      </c>
      <c r="F485" t="s">
        <v>1560</v>
      </c>
      <c r="G485" t="s">
        <v>1054</v>
      </c>
      <c r="H485" t="s">
        <v>2799</v>
      </c>
      <c r="I485" t="s">
        <v>82</v>
      </c>
      <c r="J485" t="s">
        <v>175</v>
      </c>
      <c r="K485" t="s">
        <v>2800</v>
      </c>
      <c r="L485" t="s">
        <v>2801</v>
      </c>
      <c r="M485" t="s">
        <v>2802</v>
      </c>
      <c r="N485">
        <v>2024</v>
      </c>
      <c r="O485" t="s">
        <v>63</v>
      </c>
      <c r="P485" t="s">
        <v>64</v>
      </c>
      <c r="Q485">
        <v>2</v>
      </c>
      <c r="R485">
        <v>4</v>
      </c>
      <c r="S485" t="s">
        <v>2932</v>
      </c>
    </row>
    <row r="486" spans="1:19" x14ac:dyDescent="0.25">
      <c r="A486" t="s">
        <v>2803</v>
      </c>
      <c r="B486" t="s">
        <v>659</v>
      </c>
      <c r="C486" t="s">
        <v>20</v>
      </c>
      <c r="D486" s="2">
        <v>37682</v>
      </c>
      <c r="E486" t="s">
        <v>145</v>
      </c>
      <c r="F486" t="s">
        <v>872</v>
      </c>
      <c r="G486" t="s">
        <v>1519</v>
      </c>
      <c r="H486" t="s">
        <v>2804</v>
      </c>
      <c r="I486" t="s">
        <v>138</v>
      </c>
      <c r="J486" t="s">
        <v>139</v>
      </c>
      <c r="K486" t="s">
        <v>2805</v>
      </c>
      <c r="L486" t="s">
        <v>2806</v>
      </c>
      <c r="M486" t="s">
        <v>2807</v>
      </c>
      <c r="N486">
        <v>2023</v>
      </c>
      <c r="O486" t="s">
        <v>105</v>
      </c>
      <c r="P486" t="s">
        <v>106</v>
      </c>
      <c r="Q486">
        <v>3</v>
      </c>
      <c r="R486">
        <v>6</v>
      </c>
      <c r="S486" t="s">
        <v>2908</v>
      </c>
    </row>
    <row r="487" spans="1:19" x14ac:dyDescent="0.25">
      <c r="A487" t="s">
        <v>2808</v>
      </c>
      <c r="B487" t="s">
        <v>551</v>
      </c>
      <c r="C487" t="s">
        <v>134</v>
      </c>
      <c r="D487" s="2">
        <v>39209</v>
      </c>
      <c r="E487" t="s">
        <v>145</v>
      </c>
      <c r="F487" t="s">
        <v>445</v>
      </c>
      <c r="G487" t="s">
        <v>1306</v>
      </c>
      <c r="H487" t="s">
        <v>2809</v>
      </c>
      <c r="I487" t="s">
        <v>49</v>
      </c>
      <c r="J487" t="s">
        <v>201</v>
      </c>
      <c r="K487" t="s">
        <v>2810</v>
      </c>
      <c r="L487" t="s">
        <v>2811</v>
      </c>
      <c r="M487" t="s">
        <v>2812</v>
      </c>
      <c r="N487">
        <v>2024</v>
      </c>
      <c r="O487" t="s">
        <v>30</v>
      </c>
      <c r="P487" t="s">
        <v>31</v>
      </c>
      <c r="Q487">
        <v>2</v>
      </c>
      <c r="R487">
        <v>4</v>
      </c>
      <c r="S487" t="s">
        <v>2895</v>
      </c>
    </row>
    <row r="488" spans="1:19" x14ac:dyDescent="0.25">
      <c r="A488" t="s">
        <v>2813</v>
      </c>
      <c r="B488" t="s">
        <v>1847</v>
      </c>
      <c r="C488" t="s">
        <v>20</v>
      </c>
      <c r="D488" s="2">
        <v>39157</v>
      </c>
      <c r="E488" t="s">
        <v>109</v>
      </c>
      <c r="F488" t="s">
        <v>973</v>
      </c>
      <c r="G488" t="s">
        <v>365</v>
      </c>
      <c r="H488" t="s">
        <v>2543</v>
      </c>
      <c r="I488" t="s">
        <v>82</v>
      </c>
      <c r="J488" t="s">
        <v>175</v>
      </c>
      <c r="K488" t="s">
        <v>2814</v>
      </c>
      <c r="L488" t="s">
        <v>2815</v>
      </c>
      <c r="M488" t="s">
        <v>2816</v>
      </c>
      <c r="N488">
        <v>2024</v>
      </c>
      <c r="O488" t="s">
        <v>159</v>
      </c>
      <c r="P488" t="s">
        <v>160</v>
      </c>
      <c r="Q488">
        <v>2</v>
      </c>
      <c r="R488">
        <v>4</v>
      </c>
      <c r="S488" t="s">
        <v>2902</v>
      </c>
    </row>
    <row r="489" spans="1:19" x14ac:dyDescent="0.25">
      <c r="A489" t="s">
        <v>2817</v>
      </c>
      <c r="B489" t="s">
        <v>2818</v>
      </c>
      <c r="C489" t="s">
        <v>134</v>
      </c>
      <c r="D489" s="2">
        <v>38916</v>
      </c>
      <c r="E489" t="s">
        <v>171</v>
      </c>
      <c r="F489" t="s">
        <v>623</v>
      </c>
      <c r="G489" t="s">
        <v>735</v>
      </c>
      <c r="H489" t="s">
        <v>2819</v>
      </c>
      <c r="I489" t="s">
        <v>49</v>
      </c>
      <c r="J489" t="s">
        <v>201</v>
      </c>
      <c r="K489" t="s">
        <v>2820</v>
      </c>
      <c r="L489" t="s">
        <v>2821</v>
      </c>
      <c r="M489" t="s">
        <v>2822</v>
      </c>
      <c r="N489">
        <v>2021</v>
      </c>
      <c r="O489" t="s">
        <v>63</v>
      </c>
      <c r="P489" t="s">
        <v>64</v>
      </c>
      <c r="Q489">
        <v>1</v>
      </c>
      <c r="R489">
        <v>2</v>
      </c>
      <c r="S489" t="s">
        <v>2932</v>
      </c>
    </row>
    <row r="490" spans="1:19" x14ac:dyDescent="0.25">
      <c r="A490" t="s">
        <v>2823</v>
      </c>
      <c r="B490" t="s">
        <v>510</v>
      </c>
      <c r="C490" t="s">
        <v>20</v>
      </c>
      <c r="D490" s="2">
        <v>38245</v>
      </c>
      <c r="E490" t="s">
        <v>171</v>
      </c>
      <c r="F490" t="s">
        <v>170</v>
      </c>
      <c r="G490" t="s">
        <v>1435</v>
      </c>
      <c r="H490" t="s">
        <v>2824</v>
      </c>
      <c r="I490" t="s">
        <v>39</v>
      </c>
      <c r="J490" t="s">
        <v>26</v>
      </c>
      <c r="K490" t="s">
        <v>2825</v>
      </c>
      <c r="L490" t="s">
        <v>2826</v>
      </c>
      <c r="M490" t="s">
        <v>2827</v>
      </c>
      <c r="N490">
        <v>2023</v>
      </c>
      <c r="O490" t="s">
        <v>75</v>
      </c>
      <c r="P490" t="s">
        <v>76</v>
      </c>
      <c r="Q490">
        <v>3</v>
      </c>
      <c r="R490">
        <v>6</v>
      </c>
      <c r="S490" t="s">
        <v>2961</v>
      </c>
    </row>
    <row r="491" spans="1:19" x14ac:dyDescent="0.25">
      <c r="A491" t="s">
        <v>2828</v>
      </c>
      <c r="B491" t="s">
        <v>358</v>
      </c>
      <c r="C491" t="s">
        <v>20</v>
      </c>
      <c r="D491" s="2">
        <v>36791</v>
      </c>
      <c r="E491" t="s">
        <v>145</v>
      </c>
      <c r="F491" t="s">
        <v>125</v>
      </c>
      <c r="G491" t="s">
        <v>206</v>
      </c>
      <c r="H491" t="s">
        <v>2829</v>
      </c>
      <c r="I491" t="s">
        <v>25</v>
      </c>
      <c r="J491" t="s">
        <v>25</v>
      </c>
      <c r="K491" t="s">
        <v>2830</v>
      </c>
      <c r="L491" t="s">
        <v>2831</v>
      </c>
      <c r="M491" t="s">
        <v>2832</v>
      </c>
      <c r="N491">
        <v>2024</v>
      </c>
      <c r="O491" t="s">
        <v>212</v>
      </c>
      <c r="P491" t="s">
        <v>213</v>
      </c>
      <c r="Q491">
        <v>2</v>
      </c>
      <c r="R491">
        <v>4</v>
      </c>
      <c r="S491" t="s">
        <v>3001</v>
      </c>
    </row>
    <row r="492" spans="1:19" x14ac:dyDescent="0.25">
      <c r="A492" t="s">
        <v>2833</v>
      </c>
      <c r="B492" t="s">
        <v>1726</v>
      </c>
      <c r="C492" t="s">
        <v>20</v>
      </c>
      <c r="D492" s="2">
        <v>38815</v>
      </c>
      <c r="E492" t="s">
        <v>171</v>
      </c>
      <c r="F492" t="s">
        <v>981</v>
      </c>
      <c r="G492" t="s">
        <v>55</v>
      </c>
      <c r="H492" t="s">
        <v>2834</v>
      </c>
      <c r="I492" t="s">
        <v>25</v>
      </c>
      <c r="J492" t="s">
        <v>25</v>
      </c>
      <c r="K492" t="s">
        <v>2835</v>
      </c>
      <c r="L492" t="s">
        <v>2836</v>
      </c>
      <c r="M492" t="s">
        <v>2837</v>
      </c>
      <c r="N492">
        <v>2024</v>
      </c>
      <c r="O492" t="s">
        <v>159</v>
      </c>
      <c r="P492" t="s">
        <v>160</v>
      </c>
      <c r="Q492">
        <v>2</v>
      </c>
      <c r="R492">
        <v>4</v>
      </c>
      <c r="S492" t="s">
        <v>2902</v>
      </c>
    </row>
    <row r="493" spans="1:19" x14ac:dyDescent="0.25">
      <c r="A493" t="s">
        <v>2838</v>
      </c>
      <c r="B493" t="s">
        <v>2133</v>
      </c>
      <c r="C493" t="s">
        <v>20</v>
      </c>
      <c r="D493" s="2">
        <v>38681</v>
      </c>
      <c r="E493" t="s">
        <v>21</v>
      </c>
      <c r="F493" t="s">
        <v>326</v>
      </c>
      <c r="G493" t="s">
        <v>1189</v>
      </c>
      <c r="H493" t="s">
        <v>2839</v>
      </c>
      <c r="I493" t="s">
        <v>368</v>
      </c>
      <c r="J493" t="s">
        <v>50</v>
      </c>
      <c r="K493" t="s">
        <v>2840</v>
      </c>
      <c r="L493" t="s">
        <v>2841</v>
      </c>
      <c r="M493" t="s">
        <v>2842</v>
      </c>
      <c r="N493">
        <v>2022</v>
      </c>
      <c r="O493" t="s">
        <v>122</v>
      </c>
      <c r="P493" t="s">
        <v>123</v>
      </c>
      <c r="Q493">
        <v>1</v>
      </c>
      <c r="R493">
        <v>2</v>
      </c>
      <c r="S493" t="s">
        <v>2919</v>
      </c>
    </row>
    <row r="494" spans="1:19" x14ac:dyDescent="0.25">
      <c r="A494" t="s">
        <v>2843</v>
      </c>
      <c r="B494" t="s">
        <v>810</v>
      </c>
      <c r="C494" t="s">
        <v>134</v>
      </c>
      <c r="D494" s="2">
        <v>37146</v>
      </c>
      <c r="E494" t="s">
        <v>21</v>
      </c>
      <c r="F494" t="s">
        <v>1519</v>
      </c>
      <c r="G494" t="s">
        <v>497</v>
      </c>
      <c r="H494" t="s">
        <v>2844</v>
      </c>
      <c r="I494" t="s">
        <v>59</v>
      </c>
      <c r="J494" t="s">
        <v>26</v>
      </c>
      <c r="K494" t="s">
        <v>2845</v>
      </c>
      <c r="L494" t="s">
        <v>2846</v>
      </c>
      <c r="M494" t="s">
        <v>2847</v>
      </c>
      <c r="N494">
        <v>2021</v>
      </c>
      <c r="O494" t="s">
        <v>30</v>
      </c>
      <c r="P494" t="s">
        <v>31</v>
      </c>
      <c r="Q494">
        <v>1</v>
      </c>
      <c r="R494">
        <v>2</v>
      </c>
      <c r="S494" t="s">
        <v>2895</v>
      </c>
    </row>
    <row r="495" spans="1:19" x14ac:dyDescent="0.25">
      <c r="A495" t="s">
        <v>2848</v>
      </c>
      <c r="B495" t="s">
        <v>1122</v>
      </c>
      <c r="C495" t="s">
        <v>134</v>
      </c>
      <c r="D495" s="2">
        <v>37574</v>
      </c>
      <c r="E495" t="s">
        <v>21</v>
      </c>
      <c r="F495" t="s">
        <v>99</v>
      </c>
      <c r="G495" t="s">
        <v>1283</v>
      </c>
      <c r="H495" t="s">
        <v>2849</v>
      </c>
      <c r="I495" t="s">
        <v>368</v>
      </c>
      <c r="J495" t="s">
        <v>50</v>
      </c>
      <c r="K495" t="s">
        <v>2850</v>
      </c>
      <c r="L495" t="s">
        <v>2851</v>
      </c>
      <c r="M495" t="s">
        <v>2852</v>
      </c>
      <c r="N495">
        <v>2023</v>
      </c>
      <c r="O495" t="s">
        <v>105</v>
      </c>
      <c r="P495" t="s">
        <v>106</v>
      </c>
      <c r="Q495">
        <v>3</v>
      </c>
      <c r="R495">
        <v>6</v>
      </c>
      <c r="S495" t="s">
        <v>2908</v>
      </c>
    </row>
    <row r="496" spans="1:19" x14ac:dyDescent="0.25">
      <c r="A496" t="s">
        <v>2853</v>
      </c>
      <c r="B496" t="s">
        <v>956</v>
      </c>
      <c r="C496" t="s">
        <v>134</v>
      </c>
      <c r="D496" s="2">
        <v>38261</v>
      </c>
      <c r="E496" t="s">
        <v>21</v>
      </c>
      <c r="F496" t="s">
        <v>117</v>
      </c>
      <c r="G496" t="s">
        <v>364</v>
      </c>
      <c r="H496" t="s">
        <v>2854</v>
      </c>
      <c r="I496" t="s">
        <v>200</v>
      </c>
      <c r="J496" t="s">
        <v>40</v>
      </c>
      <c r="K496" t="s">
        <v>2855</v>
      </c>
      <c r="L496" t="s">
        <v>2856</v>
      </c>
      <c r="M496" t="s">
        <v>2857</v>
      </c>
      <c r="N496">
        <v>2021</v>
      </c>
      <c r="O496" t="s">
        <v>212</v>
      </c>
      <c r="P496" t="s">
        <v>213</v>
      </c>
      <c r="Q496">
        <v>1</v>
      </c>
      <c r="R496">
        <v>2</v>
      </c>
      <c r="S496" t="s">
        <v>3001</v>
      </c>
    </row>
    <row r="497" spans="1:19" x14ac:dyDescent="0.25">
      <c r="A497" t="s">
        <v>2858</v>
      </c>
      <c r="B497" t="s">
        <v>444</v>
      </c>
      <c r="C497" t="s">
        <v>34</v>
      </c>
      <c r="D497" s="2">
        <v>37349</v>
      </c>
      <c r="E497" t="s">
        <v>35</v>
      </c>
      <c r="F497" t="s">
        <v>452</v>
      </c>
      <c r="G497" t="s">
        <v>1283</v>
      </c>
      <c r="H497" t="s">
        <v>2028</v>
      </c>
      <c r="I497" t="s">
        <v>59</v>
      </c>
      <c r="J497" t="s">
        <v>26</v>
      </c>
      <c r="K497" t="s">
        <v>2859</v>
      </c>
      <c r="L497" t="s">
        <v>2860</v>
      </c>
      <c r="M497" t="s">
        <v>2861</v>
      </c>
      <c r="N497">
        <v>2022</v>
      </c>
      <c r="O497" t="s">
        <v>75</v>
      </c>
      <c r="P497" t="s">
        <v>76</v>
      </c>
      <c r="Q497">
        <v>1</v>
      </c>
      <c r="R497">
        <v>2</v>
      </c>
      <c r="S497" t="s">
        <v>2961</v>
      </c>
    </row>
    <row r="498" spans="1:19" x14ac:dyDescent="0.25">
      <c r="A498" t="s">
        <v>2862</v>
      </c>
      <c r="B498" t="s">
        <v>2818</v>
      </c>
      <c r="C498" t="s">
        <v>134</v>
      </c>
      <c r="D498" s="2">
        <v>37787</v>
      </c>
      <c r="E498" t="s">
        <v>145</v>
      </c>
      <c r="F498" t="s">
        <v>46</v>
      </c>
      <c r="G498" t="s">
        <v>511</v>
      </c>
      <c r="H498" t="s">
        <v>2863</v>
      </c>
      <c r="I498" t="s">
        <v>82</v>
      </c>
      <c r="J498" t="s">
        <v>175</v>
      </c>
      <c r="K498" t="s">
        <v>2864</v>
      </c>
      <c r="L498" t="s">
        <v>2865</v>
      </c>
      <c r="M498" t="s">
        <v>2866</v>
      </c>
      <c r="N498">
        <v>2022</v>
      </c>
      <c r="O498" t="s">
        <v>75</v>
      </c>
      <c r="P498" t="s">
        <v>76</v>
      </c>
      <c r="Q498">
        <v>1</v>
      </c>
      <c r="R498">
        <v>2</v>
      </c>
      <c r="S498" t="s">
        <v>2961</v>
      </c>
    </row>
    <row r="499" spans="1:19" x14ac:dyDescent="0.25">
      <c r="A499" t="s">
        <v>2867</v>
      </c>
      <c r="B499" t="s">
        <v>679</v>
      </c>
      <c r="C499" t="s">
        <v>134</v>
      </c>
      <c r="D499" s="2">
        <v>37507</v>
      </c>
      <c r="E499" t="s">
        <v>196</v>
      </c>
      <c r="F499" t="s">
        <v>2495</v>
      </c>
      <c r="G499" t="s">
        <v>1546</v>
      </c>
      <c r="H499" t="s">
        <v>2868</v>
      </c>
      <c r="I499" t="s">
        <v>263</v>
      </c>
      <c r="J499" t="s">
        <v>139</v>
      </c>
      <c r="K499" t="s">
        <v>2869</v>
      </c>
      <c r="L499" t="s">
        <v>2870</v>
      </c>
      <c r="M499" t="s">
        <v>2871</v>
      </c>
      <c r="N499">
        <v>2023</v>
      </c>
      <c r="O499" t="s">
        <v>105</v>
      </c>
      <c r="P499" t="s">
        <v>106</v>
      </c>
      <c r="Q499">
        <v>3</v>
      </c>
      <c r="R499">
        <v>6</v>
      </c>
      <c r="S499" t="s">
        <v>2908</v>
      </c>
    </row>
    <row r="500" spans="1:19" x14ac:dyDescent="0.25">
      <c r="A500" t="s">
        <v>2872</v>
      </c>
      <c r="B500" t="s">
        <v>671</v>
      </c>
      <c r="C500" t="s">
        <v>20</v>
      </c>
      <c r="D500" s="2">
        <v>36658</v>
      </c>
      <c r="E500" t="s">
        <v>21</v>
      </c>
      <c r="F500" t="s">
        <v>1067</v>
      </c>
      <c r="G500" t="s">
        <v>126</v>
      </c>
      <c r="H500" t="s">
        <v>2873</v>
      </c>
      <c r="I500" t="s">
        <v>25</v>
      </c>
      <c r="J500" t="s">
        <v>25</v>
      </c>
      <c r="K500" t="s">
        <v>2874</v>
      </c>
      <c r="L500" t="s">
        <v>2875</v>
      </c>
      <c r="M500" t="s">
        <v>2876</v>
      </c>
      <c r="N500">
        <v>2023</v>
      </c>
      <c r="O500" t="s">
        <v>75</v>
      </c>
      <c r="P500" t="s">
        <v>76</v>
      </c>
      <c r="Q500">
        <v>3</v>
      </c>
      <c r="R500">
        <v>6</v>
      </c>
      <c r="S500" t="s">
        <v>2961</v>
      </c>
    </row>
    <row r="501" spans="1:19" x14ac:dyDescent="0.25">
      <c r="A501" t="s">
        <v>2877</v>
      </c>
      <c r="B501" t="s">
        <v>23</v>
      </c>
      <c r="C501" t="s">
        <v>20</v>
      </c>
      <c r="D501" s="2">
        <v>36585</v>
      </c>
      <c r="E501" t="s">
        <v>109</v>
      </c>
      <c r="F501" t="s">
        <v>878</v>
      </c>
      <c r="G501" t="s">
        <v>299</v>
      </c>
      <c r="H501" t="s">
        <v>1753</v>
      </c>
      <c r="I501" t="s">
        <v>368</v>
      </c>
      <c r="J501" t="s">
        <v>50</v>
      </c>
      <c r="K501" t="s">
        <v>2878</v>
      </c>
      <c r="L501" t="s">
        <v>2879</v>
      </c>
      <c r="M501" t="s">
        <v>2880</v>
      </c>
      <c r="N501">
        <v>2023</v>
      </c>
      <c r="O501" t="s">
        <v>30</v>
      </c>
      <c r="P501" t="s">
        <v>31</v>
      </c>
      <c r="Q501">
        <v>3</v>
      </c>
      <c r="R501">
        <v>6</v>
      </c>
      <c r="S501" t="s">
        <v>2895</v>
      </c>
    </row>
  </sheetData>
  <autoFilter ref="A1:R5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1"/>
  <sheetViews>
    <sheetView workbookViewId="0">
      <selection sqref="A1:Q21"/>
    </sheetView>
  </sheetViews>
  <sheetFormatPr defaultRowHeight="15" x14ac:dyDescent="0.25"/>
  <cols>
    <col min="2" max="2" width="16.28515625" bestFit="1" customWidth="1"/>
    <col min="3" max="3" width="7.7109375" bestFit="1" customWidth="1"/>
    <col min="4" max="4" width="10.42578125" bestFit="1" customWidth="1"/>
    <col min="5" max="5" width="12.42578125" bestFit="1" customWidth="1"/>
    <col min="6" max="6" width="17.28515625" bestFit="1" customWidth="1"/>
    <col min="7" max="7" width="9" bestFit="1" customWidth="1"/>
    <col min="8" max="8" width="21.42578125" bestFit="1" customWidth="1"/>
    <col min="9" max="9" width="13.7109375" bestFit="1" customWidth="1"/>
    <col min="10" max="10" width="15.85546875" bestFit="1" customWidth="1"/>
    <col min="11" max="11" width="17" bestFit="1" customWidth="1"/>
    <col min="12" max="12" width="11.7109375" bestFit="1" customWidth="1"/>
    <col min="13" max="13" width="12" bestFit="1" customWidth="1"/>
    <col min="14" max="14" width="8.140625" bestFit="1" customWidth="1"/>
    <col min="15" max="15" width="11" bestFit="1" customWidth="1"/>
    <col min="16" max="16" width="32.5703125" bestFit="1" customWidth="1"/>
    <col min="17" max="17" width="11.7109375" bestFit="1" customWidth="1"/>
  </cols>
  <sheetData>
    <row r="1" spans="1:17" x14ac:dyDescent="0.25">
      <c r="A1" s="1" t="s">
        <v>2881</v>
      </c>
      <c r="B1" s="1" t="s">
        <v>2882</v>
      </c>
      <c r="C1" s="1" t="s">
        <v>2</v>
      </c>
      <c r="D1" s="1" t="s">
        <v>3</v>
      </c>
      <c r="E1" s="1" t="s">
        <v>2883</v>
      </c>
      <c r="F1" s="1" t="s">
        <v>2884</v>
      </c>
      <c r="G1" s="1" t="s">
        <v>14</v>
      </c>
      <c r="H1" s="1" t="s">
        <v>15</v>
      </c>
      <c r="I1" s="1" t="s">
        <v>2885</v>
      </c>
      <c r="J1" s="1" t="s">
        <v>2886</v>
      </c>
      <c r="K1" s="1" t="s">
        <v>7</v>
      </c>
      <c r="L1" s="1" t="s">
        <v>8</v>
      </c>
      <c r="M1" s="1" t="s">
        <v>9</v>
      </c>
      <c r="N1" s="1" t="s">
        <v>10</v>
      </c>
      <c r="O1" s="1" t="s">
        <v>11</v>
      </c>
      <c r="P1" s="1" t="s">
        <v>12</v>
      </c>
      <c r="Q1" s="1" t="s">
        <v>4</v>
      </c>
    </row>
    <row r="2" spans="1:17" x14ac:dyDescent="0.25">
      <c r="A2" t="s">
        <v>2887</v>
      </c>
      <c r="B2" t="s">
        <v>479</v>
      </c>
      <c r="C2" t="s">
        <v>134</v>
      </c>
      <c r="D2" s="2">
        <v>31643</v>
      </c>
      <c r="E2" t="s">
        <v>2888</v>
      </c>
      <c r="F2" t="s">
        <v>2889</v>
      </c>
      <c r="G2" t="s">
        <v>95</v>
      </c>
      <c r="H2" t="s">
        <v>96</v>
      </c>
      <c r="I2" s="2">
        <v>40181</v>
      </c>
      <c r="J2">
        <v>14</v>
      </c>
      <c r="K2" t="s">
        <v>2890</v>
      </c>
      <c r="L2" t="s">
        <v>59</v>
      </c>
      <c r="M2" t="s">
        <v>26</v>
      </c>
      <c r="N2" t="s">
        <v>2891</v>
      </c>
      <c r="O2" t="s">
        <v>2892</v>
      </c>
      <c r="P2" t="s">
        <v>2893</v>
      </c>
      <c r="Q2" t="s">
        <v>145</v>
      </c>
    </row>
    <row r="3" spans="1:17" x14ac:dyDescent="0.25">
      <c r="A3" t="s">
        <v>2894</v>
      </c>
      <c r="B3" t="s">
        <v>334</v>
      </c>
      <c r="C3" t="s">
        <v>20</v>
      </c>
      <c r="D3" s="2">
        <v>26361</v>
      </c>
      <c r="E3" t="s">
        <v>2888</v>
      </c>
      <c r="F3" t="s">
        <v>2895</v>
      </c>
      <c r="G3" t="s">
        <v>30</v>
      </c>
      <c r="H3" t="s">
        <v>31</v>
      </c>
      <c r="I3" s="2">
        <v>43298</v>
      </c>
      <c r="J3">
        <v>6</v>
      </c>
      <c r="K3" t="s">
        <v>2896</v>
      </c>
      <c r="L3" t="s">
        <v>82</v>
      </c>
      <c r="M3" t="s">
        <v>26</v>
      </c>
      <c r="N3" t="s">
        <v>2897</v>
      </c>
      <c r="O3" t="s">
        <v>2898</v>
      </c>
      <c r="P3" t="s">
        <v>2899</v>
      </c>
      <c r="Q3" t="s">
        <v>145</v>
      </c>
    </row>
    <row r="4" spans="1:17" x14ac:dyDescent="0.25">
      <c r="A4" t="s">
        <v>2900</v>
      </c>
      <c r="B4" t="s">
        <v>307</v>
      </c>
      <c r="C4" t="s">
        <v>20</v>
      </c>
      <c r="D4" s="2">
        <v>27756</v>
      </c>
      <c r="E4" t="s">
        <v>2901</v>
      </c>
      <c r="F4" t="s">
        <v>2902</v>
      </c>
      <c r="G4" t="s">
        <v>159</v>
      </c>
      <c r="H4" t="s">
        <v>160</v>
      </c>
      <c r="I4" s="2">
        <v>43343</v>
      </c>
      <c r="J4">
        <v>6</v>
      </c>
      <c r="K4" t="s">
        <v>2903</v>
      </c>
      <c r="L4" t="s">
        <v>91</v>
      </c>
      <c r="M4" t="s">
        <v>71</v>
      </c>
      <c r="N4" t="s">
        <v>2904</v>
      </c>
      <c r="O4" t="s">
        <v>2905</v>
      </c>
      <c r="P4" t="s">
        <v>2906</v>
      </c>
      <c r="Q4" t="s">
        <v>109</v>
      </c>
    </row>
    <row r="5" spans="1:17" x14ac:dyDescent="0.25">
      <c r="A5" t="s">
        <v>2907</v>
      </c>
      <c r="B5" t="s">
        <v>916</v>
      </c>
      <c r="C5" t="s">
        <v>20</v>
      </c>
      <c r="D5" s="2">
        <v>26739</v>
      </c>
      <c r="E5" t="s">
        <v>2888</v>
      </c>
      <c r="F5" t="s">
        <v>2908</v>
      </c>
      <c r="G5" t="s">
        <v>105</v>
      </c>
      <c r="H5" t="s">
        <v>106</v>
      </c>
      <c r="I5" s="2">
        <v>40373</v>
      </c>
      <c r="J5">
        <v>13</v>
      </c>
      <c r="K5" t="s">
        <v>2909</v>
      </c>
      <c r="L5" t="s">
        <v>59</v>
      </c>
      <c r="M5" t="s">
        <v>175</v>
      </c>
      <c r="N5" t="s">
        <v>2910</v>
      </c>
      <c r="O5" t="s">
        <v>2911</v>
      </c>
      <c r="P5" t="s">
        <v>2912</v>
      </c>
      <c r="Q5" t="s">
        <v>109</v>
      </c>
    </row>
    <row r="6" spans="1:17" x14ac:dyDescent="0.25">
      <c r="A6" t="s">
        <v>2913</v>
      </c>
      <c r="B6" t="s">
        <v>833</v>
      </c>
      <c r="C6" t="s">
        <v>34</v>
      </c>
      <c r="D6" s="2">
        <v>31720</v>
      </c>
      <c r="E6" t="s">
        <v>2888</v>
      </c>
      <c r="F6" t="s">
        <v>2895</v>
      </c>
      <c r="G6" t="s">
        <v>30</v>
      </c>
      <c r="H6" t="s">
        <v>31</v>
      </c>
      <c r="I6" s="2">
        <v>39266</v>
      </c>
      <c r="J6">
        <v>17</v>
      </c>
      <c r="K6" t="s">
        <v>2914</v>
      </c>
      <c r="L6" t="s">
        <v>368</v>
      </c>
      <c r="M6" t="s">
        <v>50</v>
      </c>
      <c r="N6" t="s">
        <v>2915</v>
      </c>
      <c r="O6" t="s">
        <v>2916</v>
      </c>
      <c r="P6" t="s">
        <v>2917</v>
      </c>
      <c r="Q6" t="s">
        <v>35</v>
      </c>
    </row>
    <row r="7" spans="1:17" x14ac:dyDescent="0.25">
      <c r="A7" t="s">
        <v>2918</v>
      </c>
      <c r="B7" t="s">
        <v>1546</v>
      </c>
      <c r="C7" t="s">
        <v>134</v>
      </c>
      <c r="D7" s="2">
        <v>33180</v>
      </c>
      <c r="E7" t="s">
        <v>2888</v>
      </c>
      <c r="F7" t="s">
        <v>2919</v>
      </c>
      <c r="G7" t="s">
        <v>122</v>
      </c>
      <c r="H7" t="s">
        <v>123</v>
      </c>
      <c r="I7" s="2">
        <v>40314</v>
      </c>
      <c r="J7">
        <v>13</v>
      </c>
      <c r="K7" t="s">
        <v>2920</v>
      </c>
      <c r="L7" t="s">
        <v>59</v>
      </c>
      <c r="M7" t="s">
        <v>26</v>
      </c>
      <c r="N7" t="s">
        <v>2921</v>
      </c>
      <c r="O7" t="s">
        <v>2922</v>
      </c>
      <c r="P7" t="s">
        <v>2923</v>
      </c>
      <c r="Q7" t="s">
        <v>109</v>
      </c>
    </row>
    <row r="8" spans="1:17" x14ac:dyDescent="0.25">
      <c r="A8" t="s">
        <v>2924</v>
      </c>
      <c r="B8" t="s">
        <v>1162</v>
      </c>
      <c r="C8" t="s">
        <v>34</v>
      </c>
      <c r="D8" s="2">
        <v>29267</v>
      </c>
      <c r="E8" t="s">
        <v>2925</v>
      </c>
      <c r="F8" t="s">
        <v>2889</v>
      </c>
      <c r="G8" t="s">
        <v>95</v>
      </c>
      <c r="H8" t="s">
        <v>96</v>
      </c>
      <c r="I8" s="2">
        <v>40193</v>
      </c>
      <c r="J8">
        <v>15</v>
      </c>
      <c r="K8" t="s">
        <v>2926</v>
      </c>
      <c r="L8" t="s">
        <v>91</v>
      </c>
      <c r="M8" t="s">
        <v>71</v>
      </c>
      <c r="N8" t="s">
        <v>2927</v>
      </c>
      <c r="O8" t="s">
        <v>2928</v>
      </c>
      <c r="P8" t="s">
        <v>2929</v>
      </c>
      <c r="Q8" t="s">
        <v>145</v>
      </c>
    </row>
    <row r="9" spans="1:17" x14ac:dyDescent="0.25">
      <c r="A9" t="s">
        <v>2930</v>
      </c>
      <c r="B9" t="s">
        <v>833</v>
      </c>
      <c r="C9" t="s">
        <v>20</v>
      </c>
      <c r="D9" s="2">
        <v>28471</v>
      </c>
      <c r="E9" t="s">
        <v>2931</v>
      </c>
      <c r="F9" t="s">
        <v>2932</v>
      </c>
      <c r="G9" t="s">
        <v>63</v>
      </c>
      <c r="H9" t="s">
        <v>64</v>
      </c>
      <c r="I9" s="2">
        <v>42178</v>
      </c>
      <c r="J9">
        <v>10</v>
      </c>
      <c r="K9" t="s">
        <v>2933</v>
      </c>
      <c r="L9" t="s">
        <v>200</v>
      </c>
      <c r="M9" t="s">
        <v>40</v>
      </c>
      <c r="N9" t="s">
        <v>2934</v>
      </c>
      <c r="O9" t="s">
        <v>2935</v>
      </c>
      <c r="P9" t="s">
        <v>2936</v>
      </c>
      <c r="Q9" t="s">
        <v>196</v>
      </c>
    </row>
    <row r="10" spans="1:17" x14ac:dyDescent="0.25">
      <c r="A10" t="s">
        <v>2937</v>
      </c>
      <c r="B10" t="s">
        <v>1122</v>
      </c>
      <c r="C10" t="s">
        <v>20</v>
      </c>
      <c r="D10" s="2">
        <v>29512</v>
      </c>
      <c r="E10" t="s">
        <v>2938</v>
      </c>
      <c r="F10" t="s">
        <v>2932</v>
      </c>
      <c r="G10" t="s">
        <v>63</v>
      </c>
      <c r="H10" t="s">
        <v>64</v>
      </c>
      <c r="I10" s="2">
        <v>38833</v>
      </c>
      <c r="J10">
        <v>17</v>
      </c>
      <c r="K10" t="s">
        <v>2939</v>
      </c>
      <c r="L10" t="s">
        <v>25</v>
      </c>
      <c r="M10" t="s">
        <v>25</v>
      </c>
      <c r="N10" t="s">
        <v>2940</v>
      </c>
      <c r="O10" t="s">
        <v>2941</v>
      </c>
      <c r="P10" t="s">
        <v>2942</v>
      </c>
      <c r="Q10" t="s">
        <v>35</v>
      </c>
    </row>
    <row r="11" spans="1:17" x14ac:dyDescent="0.25">
      <c r="A11" t="s">
        <v>2943</v>
      </c>
      <c r="B11" t="s">
        <v>804</v>
      </c>
      <c r="C11" t="s">
        <v>134</v>
      </c>
      <c r="D11" s="2">
        <v>26225</v>
      </c>
      <c r="E11" t="s">
        <v>2944</v>
      </c>
      <c r="F11" t="s">
        <v>2908</v>
      </c>
      <c r="G11" t="s">
        <v>105</v>
      </c>
      <c r="H11" t="s">
        <v>106</v>
      </c>
      <c r="I11" s="2">
        <v>38914</v>
      </c>
      <c r="J11">
        <v>18</v>
      </c>
      <c r="K11" t="s">
        <v>285</v>
      </c>
      <c r="L11" t="s">
        <v>82</v>
      </c>
      <c r="M11" t="s">
        <v>175</v>
      </c>
      <c r="N11" t="s">
        <v>2945</v>
      </c>
      <c r="O11" t="s">
        <v>2946</v>
      </c>
      <c r="P11" t="s">
        <v>2947</v>
      </c>
      <c r="Q11" t="s">
        <v>196</v>
      </c>
    </row>
    <row r="12" spans="1:17" x14ac:dyDescent="0.25">
      <c r="A12" t="s">
        <v>2948</v>
      </c>
      <c r="B12" t="s">
        <v>1985</v>
      </c>
      <c r="C12" t="s">
        <v>134</v>
      </c>
      <c r="D12" s="2">
        <v>26169</v>
      </c>
      <c r="E12" t="s">
        <v>2949</v>
      </c>
      <c r="F12" t="s">
        <v>2889</v>
      </c>
      <c r="G12" t="s">
        <v>95</v>
      </c>
      <c r="H12" t="s">
        <v>96</v>
      </c>
      <c r="I12" s="2">
        <v>42497</v>
      </c>
      <c r="J12">
        <v>8</v>
      </c>
      <c r="K12" t="s">
        <v>2950</v>
      </c>
      <c r="L12" t="s">
        <v>39</v>
      </c>
      <c r="M12" t="s">
        <v>26</v>
      </c>
      <c r="N12" t="s">
        <v>2951</v>
      </c>
      <c r="O12" t="s">
        <v>2952</v>
      </c>
      <c r="P12" t="s">
        <v>2953</v>
      </c>
      <c r="Q12" t="s">
        <v>67</v>
      </c>
    </row>
    <row r="13" spans="1:17" x14ac:dyDescent="0.25">
      <c r="A13" t="s">
        <v>2954</v>
      </c>
      <c r="B13" t="s">
        <v>2955</v>
      </c>
      <c r="C13" t="s">
        <v>20</v>
      </c>
      <c r="D13" s="2">
        <v>28377</v>
      </c>
      <c r="E13" t="s">
        <v>2938</v>
      </c>
      <c r="F13" t="s">
        <v>2919</v>
      </c>
      <c r="G13" t="s">
        <v>122</v>
      </c>
      <c r="H13" t="s">
        <v>123</v>
      </c>
      <c r="I13" s="2">
        <v>42493</v>
      </c>
      <c r="J13">
        <v>9</v>
      </c>
      <c r="K13" t="s">
        <v>2956</v>
      </c>
      <c r="L13" t="s">
        <v>39</v>
      </c>
      <c r="M13" t="s">
        <v>26</v>
      </c>
      <c r="N13" t="s">
        <v>2957</v>
      </c>
      <c r="O13" t="s">
        <v>2958</v>
      </c>
      <c r="P13" t="s">
        <v>2959</v>
      </c>
      <c r="Q13" t="s">
        <v>21</v>
      </c>
    </row>
    <row r="14" spans="1:17" x14ac:dyDescent="0.25">
      <c r="A14" t="s">
        <v>2960</v>
      </c>
      <c r="B14" t="s">
        <v>1283</v>
      </c>
      <c r="C14" t="s">
        <v>20</v>
      </c>
      <c r="D14" s="2">
        <v>32933</v>
      </c>
      <c r="E14" t="s">
        <v>2944</v>
      </c>
      <c r="F14" t="s">
        <v>2961</v>
      </c>
      <c r="G14" t="s">
        <v>75</v>
      </c>
      <c r="H14" t="s">
        <v>76</v>
      </c>
      <c r="I14" s="2">
        <v>41284</v>
      </c>
      <c r="J14">
        <v>12</v>
      </c>
      <c r="K14" t="s">
        <v>1770</v>
      </c>
      <c r="L14" t="s">
        <v>3618</v>
      </c>
      <c r="M14" t="s">
        <v>201</v>
      </c>
      <c r="N14" t="s">
        <v>2962</v>
      </c>
      <c r="O14" t="s">
        <v>2963</v>
      </c>
      <c r="P14" t="s">
        <v>2964</v>
      </c>
      <c r="Q14" t="s">
        <v>67</v>
      </c>
    </row>
    <row r="15" spans="1:17" x14ac:dyDescent="0.25">
      <c r="A15" t="s">
        <v>2965</v>
      </c>
      <c r="B15" t="s">
        <v>693</v>
      </c>
      <c r="C15" t="s">
        <v>20</v>
      </c>
      <c r="D15" s="2">
        <v>28702</v>
      </c>
      <c r="E15" t="s">
        <v>2944</v>
      </c>
      <c r="F15" t="s">
        <v>2961</v>
      </c>
      <c r="G15" t="s">
        <v>75</v>
      </c>
      <c r="H15" t="s">
        <v>76</v>
      </c>
      <c r="I15" s="2">
        <v>45386</v>
      </c>
      <c r="J15">
        <v>0</v>
      </c>
      <c r="K15" t="s">
        <v>2966</v>
      </c>
      <c r="L15" t="s">
        <v>368</v>
      </c>
      <c r="M15" t="s">
        <v>50</v>
      </c>
      <c r="N15" t="s">
        <v>2967</v>
      </c>
      <c r="O15" t="s">
        <v>2968</v>
      </c>
      <c r="P15" t="s">
        <v>2969</v>
      </c>
      <c r="Q15" t="s">
        <v>145</v>
      </c>
    </row>
    <row r="16" spans="1:17" x14ac:dyDescent="0.25">
      <c r="A16" t="s">
        <v>2970</v>
      </c>
      <c r="B16" t="s">
        <v>1306</v>
      </c>
      <c r="C16" t="s">
        <v>134</v>
      </c>
      <c r="D16" s="2">
        <v>30456</v>
      </c>
      <c r="E16" t="s">
        <v>2931</v>
      </c>
      <c r="F16" t="s">
        <v>2895</v>
      </c>
      <c r="G16" t="s">
        <v>30</v>
      </c>
      <c r="H16" t="s">
        <v>31</v>
      </c>
      <c r="I16" s="2">
        <v>44321</v>
      </c>
      <c r="J16">
        <v>3</v>
      </c>
      <c r="K16" t="s">
        <v>2971</v>
      </c>
      <c r="L16" t="s">
        <v>138</v>
      </c>
      <c r="M16" t="s">
        <v>139</v>
      </c>
      <c r="N16" t="s">
        <v>2972</v>
      </c>
      <c r="O16" t="s">
        <v>2973</v>
      </c>
      <c r="P16" t="s">
        <v>2974</v>
      </c>
      <c r="Q16" t="s">
        <v>109</v>
      </c>
    </row>
    <row r="17" spans="1:17" x14ac:dyDescent="0.25">
      <c r="A17" t="s">
        <v>2975</v>
      </c>
      <c r="B17" t="s">
        <v>1389</v>
      </c>
      <c r="C17" t="s">
        <v>20</v>
      </c>
      <c r="D17" s="2">
        <v>28914</v>
      </c>
      <c r="E17" t="s">
        <v>2888</v>
      </c>
      <c r="F17" t="s">
        <v>2932</v>
      </c>
      <c r="G17" t="s">
        <v>63</v>
      </c>
      <c r="H17" t="s">
        <v>64</v>
      </c>
      <c r="I17" s="2">
        <v>44064</v>
      </c>
      <c r="J17">
        <v>5</v>
      </c>
      <c r="K17" t="s">
        <v>2976</v>
      </c>
      <c r="L17" t="s">
        <v>82</v>
      </c>
      <c r="M17" t="s">
        <v>175</v>
      </c>
      <c r="N17" t="s">
        <v>2977</v>
      </c>
      <c r="O17" t="s">
        <v>2978</v>
      </c>
      <c r="P17" t="s">
        <v>2979</v>
      </c>
      <c r="Q17" t="s">
        <v>109</v>
      </c>
    </row>
    <row r="18" spans="1:17" x14ac:dyDescent="0.25">
      <c r="A18" t="s">
        <v>2980</v>
      </c>
      <c r="B18" t="s">
        <v>1348</v>
      </c>
      <c r="C18" t="s">
        <v>134</v>
      </c>
      <c r="D18" s="2">
        <v>30754</v>
      </c>
      <c r="E18" t="s">
        <v>2949</v>
      </c>
      <c r="F18" t="s">
        <v>2895</v>
      </c>
      <c r="G18" t="s">
        <v>30</v>
      </c>
      <c r="H18" t="s">
        <v>31</v>
      </c>
      <c r="I18" s="2">
        <v>39118</v>
      </c>
      <c r="J18">
        <v>17</v>
      </c>
      <c r="K18" t="s">
        <v>2981</v>
      </c>
      <c r="L18" t="s">
        <v>263</v>
      </c>
      <c r="M18" t="s">
        <v>139</v>
      </c>
      <c r="N18" t="s">
        <v>2982</v>
      </c>
      <c r="O18" t="s">
        <v>2983</v>
      </c>
      <c r="P18" t="s">
        <v>2984</v>
      </c>
      <c r="Q18" t="s">
        <v>171</v>
      </c>
    </row>
    <row r="19" spans="1:17" x14ac:dyDescent="0.25">
      <c r="A19" t="s">
        <v>2985</v>
      </c>
      <c r="B19" t="s">
        <v>378</v>
      </c>
      <c r="C19" t="s">
        <v>34</v>
      </c>
      <c r="D19" s="2">
        <v>29812</v>
      </c>
      <c r="E19" t="s">
        <v>2931</v>
      </c>
      <c r="F19" t="s">
        <v>2961</v>
      </c>
      <c r="G19" t="s">
        <v>75</v>
      </c>
      <c r="H19" t="s">
        <v>76</v>
      </c>
      <c r="I19" s="2">
        <v>42919</v>
      </c>
      <c r="J19">
        <v>6</v>
      </c>
      <c r="K19" t="s">
        <v>2986</v>
      </c>
      <c r="L19" t="s">
        <v>138</v>
      </c>
      <c r="M19" t="s">
        <v>139</v>
      </c>
      <c r="N19" t="s">
        <v>2987</v>
      </c>
      <c r="O19" t="s">
        <v>2988</v>
      </c>
      <c r="P19" t="s">
        <v>2989</v>
      </c>
      <c r="Q19" t="s">
        <v>171</v>
      </c>
    </row>
    <row r="20" spans="1:17" x14ac:dyDescent="0.25">
      <c r="A20" t="s">
        <v>2990</v>
      </c>
      <c r="B20" t="s">
        <v>924</v>
      </c>
      <c r="C20" t="s">
        <v>134</v>
      </c>
      <c r="D20" s="2">
        <v>27818</v>
      </c>
      <c r="E20" t="s">
        <v>2931</v>
      </c>
      <c r="F20" t="s">
        <v>2902</v>
      </c>
      <c r="G20" t="s">
        <v>159</v>
      </c>
      <c r="H20" t="s">
        <v>160</v>
      </c>
      <c r="I20" s="2">
        <v>44198</v>
      </c>
      <c r="J20">
        <v>4</v>
      </c>
      <c r="K20" t="s">
        <v>2991</v>
      </c>
      <c r="L20" t="s">
        <v>3618</v>
      </c>
      <c r="M20" t="s">
        <v>201</v>
      </c>
      <c r="N20" t="s">
        <v>2992</v>
      </c>
      <c r="O20" t="s">
        <v>2993</v>
      </c>
      <c r="P20" t="s">
        <v>2994</v>
      </c>
      <c r="Q20" t="s">
        <v>21</v>
      </c>
    </row>
    <row r="21" spans="1:17" x14ac:dyDescent="0.25">
      <c r="A21" t="s">
        <v>2995</v>
      </c>
      <c r="B21" t="s">
        <v>57</v>
      </c>
      <c r="C21" t="s">
        <v>20</v>
      </c>
      <c r="D21" s="2">
        <v>32560</v>
      </c>
      <c r="E21" t="s">
        <v>2944</v>
      </c>
      <c r="F21" t="s">
        <v>3001</v>
      </c>
      <c r="G21" t="s">
        <v>63</v>
      </c>
      <c r="H21" t="s">
        <v>213</v>
      </c>
      <c r="I21" s="2">
        <v>42762</v>
      </c>
      <c r="J21">
        <v>8</v>
      </c>
      <c r="K21" t="s">
        <v>2996</v>
      </c>
      <c r="L21" t="s">
        <v>91</v>
      </c>
      <c r="M21" t="s">
        <v>71</v>
      </c>
      <c r="N21" t="s">
        <v>2997</v>
      </c>
      <c r="O21" t="s">
        <v>2998</v>
      </c>
      <c r="P21" t="s">
        <v>2999</v>
      </c>
      <c r="Q21" t="s">
        <v>145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workbookViewId="0">
      <selection activeCell="F1" sqref="F1"/>
    </sheetView>
  </sheetViews>
  <sheetFormatPr defaultRowHeight="15" x14ac:dyDescent="0.25"/>
  <cols>
    <col min="1" max="1" width="9" bestFit="1" customWidth="1"/>
    <col min="2" max="2" width="21.42578125" bestFit="1" customWidth="1"/>
    <col min="3" max="3" width="17.28515625" bestFit="1" customWidth="1"/>
    <col min="4" max="4" width="11.7109375" bestFit="1" customWidth="1"/>
  </cols>
  <sheetData>
    <row r="1" spans="1:4" x14ac:dyDescent="0.25">
      <c r="A1" s="1" t="s">
        <v>14</v>
      </c>
      <c r="B1" s="1" t="s">
        <v>15</v>
      </c>
      <c r="C1" s="1" t="s">
        <v>2884</v>
      </c>
      <c r="D1" s="1" t="s">
        <v>3000</v>
      </c>
    </row>
    <row r="2" spans="1:4" x14ac:dyDescent="0.25">
      <c r="A2" t="s">
        <v>75</v>
      </c>
      <c r="B2" t="s">
        <v>76</v>
      </c>
      <c r="C2" t="s">
        <v>2961</v>
      </c>
      <c r="D2">
        <v>30</v>
      </c>
    </row>
    <row r="3" spans="1:4" x14ac:dyDescent="0.25">
      <c r="A3" t="s">
        <v>159</v>
      </c>
      <c r="B3" t="s">
        <v>160</v>
      </c>
      <c r="C3" t="s">
        <v>2902</v>
      </c>
      <c r="D3">
        <v>30</v>
      </c>
    </row>
    <row r="4" spans="1:4" x14ac:dyDescent="0.25">
      <c r="A4" t="s">
        <v>105</v>
      </c>
      <c r="B4" t="s">
        <v>106</v>
      </c>
      <c r="C4" t="s">
        <v>2908</v>
      </c>
      <c r="D4">
        <v>30</v>
      </c>
    </row>
    <row r="5" spans="1:4" x14ac:dyDescent="0.25">
      <c r="A5" t="s">
        <v>95</v>
      </c>
      <c r="B5" t="s">
        <v>96</v>
      </c>
      <c r="C5" t="s">
        <v>2889</v>
      </c>
      <c r="D5">
        <v>30</v>
      </c>
    </row>
    <row r="6" spans="1:4" x14ac:dyDescent="0.25">
      <c r="A6" t="s">
        <v>122</v>
      </c>
      <c r="B6" t="s">
        <v>123</v>
      </c>
      <c r="C6" t="s">
        <v>2919</v>
      </c>
      <c r="D6">
        <v>30</v>
      </c>
    </row>
    <row r="7" spans="1:4" x14ac:dyDescent="0.25">
      <c r="A7" t="s">
        <v>30</v>
      </c>
      <c r="B7" t="s">
        <v>31</v>
      </c>
      <c r="C7" t="s">
        <v>2895</v>
      </c>
      <c r="D7">
        <v>30</v>
      </c>
    </row>
    <row r="8" spans="1:4" x14ac:dyDescent="0.25">
      <c r="A8" t="s">
        <v>63</v>
      </c>
      <c r="B8" t="s">
        <v>64</v>
      </c>
      <c r="C8" t="s">
        <v>2932</v>
      </c>
      <c r="D8">
        <v>30</v>
      </c>
    </row>
    <row r="9" spans="1:4" x14ac:dyDescent="0.25">
      <c r="A9" t="s">
        <v>212</v>
      </c>
      <c r="B9" t="s">
        <v>213</v>
      </c>
      <c r="C9" t="s">
        <v>3001</v>
      </c>
      <c r="D9">
        <v>30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41"/>
  <sheetViews>
    <sheetView workbookViewId="0">
      <selection activeCell="D32" sqref="D32"/>
    </sheetView>
  </sheetViews>
  <sheetFormatPr defaultRowHeight="15" x14ac:dyDescent="0.25"/>
  <cols>
    <col min="1" max="1" width="11.85546875" bestFit="1" customWidth="1"/>
    <col min="2" max="2" width="9" bestFit="1" customWidth="1"/>
    <col min="3" max="3" width="21.42578125" bestFit="1" customWidth="1"/>
    <col min="4" max="4" width="17.28515625" bestFit="1" customWidth="1"/>
    <col min="5" max="5" width="9.42578125" bestFit="1" customWidth="1"/>
    <col min="6" max="6" width="19.28515625" bestFit="1" customWidth="1"/>
    <col min="7" max="7" width="17.85546875" bestFit="1" customWidth="1"/>
  </cols>
  <sheetData>
    <row r="1" spans="1:7" x14ac:dyDescent="0.25">
      <c r="A1" s="1" t="s">
        <v>3002</v>
      </c>
      <c r="B1" s="1" t="s">
        <v>14</v>
      </c>
      <c r="C1" s="1" t="s">
        <v>15</v>
      </c>
      <c r="D1" s="1" t="s">
        <v>2884</v>
      </c>
      <c r="E1" s="1" t="s">
        <v>17</v>
      </c>
      <c r="F1" s="1" t="s">
        <v>3003</v>
      </c>
      <c r="G1" s="1" t="s">
        <v>3003</v>
      </c>
    </row>
    <row r="2" spans="1:7" x14ac:dyDescent="0.25">
      <c r="A2" t="s">
        <v>3004</v>
      </c>
      <c r="B2" t="s">
        <v>75</v>
      </c>
      <c r="C2" t="s">
        <v>76</v>
      </c>
      <c r="D2" t="s">
        <v>2961</v>
      </c>
      <c r="E2">
        <v>1</v>
      </c>
      <c r="F2" t="s">
        <v>3005</v>
      </c>
      <c r="G2" t="str">
        <f>LEFT(F2,LEN(F2)-2)</f>
        <v>Programming</v>
      </c>
    </row>
    <row r="3" spans="1:7" x14ac:dyDescent="0.25">
      <c r="A3" t="s">
        <v>3006</v>
      </c>
      <c r="B3" t="s">
        <v>75</v>
      </c>
      <c r="C3" t="s">
        <v>76</v>
      </c>
      <c r="D3" t="s">
        <v>2961</v>
      </c>
      <c r="E3">
        <v>1</v>
      </c>
      <c r="F3" t="s">
        <v>3007</v>
      </c>
      <c r="G3" t="str">
        <f t="shared" ref="G3:G66" si="0">LEFT(F3,LEN(F3)-2)</f>
        <v>Data Structures</v>
      </c>
    </row>
    <row r="4" spans="1:7" x14ac:dyDescent="0.25">
      <c r="A4" t="s">
        <v>3008</v>
      </c>
      <c r="B4" t="s">
        <v>75</v>
      </c>
      <c r="C4" t="s">
        <v>76</v>
      </c>
      <c r="D4" t="s">
        <v>2961</v>
      </c>
      <c r="E4">
        <v>1</v>
      </c>
      <c r="F4" t="s">
        <v>3009</v>
      </c>
      <c r="G4" t="str">
        <f t="shared" si="0"/>
        <v>DBMS</v>
      </c>
    </row>
    <row r="5" spans="1:7" x14ac:dyDescent="0.25">
      <c r="A5" t="s">
        <v>3010</v>
      </c>
      <c r="B5" t="s">
        <v>75</v>
      </c>
      <c r="C5" t="s">
        <v>76</v>
      </c>
      <c r="D5" t="s">
        <v>2961</v>
      </c>
      <c r="E5">
        <v>1</v>
      </c>
      <c r="F5" t="s">
        <v>3011</v>
      </c>
      <c r="G5" t="str">
        <f t="shared" si="0"/>
        <v>Operating Systems</v>
      </c>
    </row>
    <row r="6" spans="1:7" x14ac:dyDescent="0.25">
      <c r="A6" t="s">
        <v>3012</v>
      </c>
      <c r="B6" t="s">
        <v>75</v>
      </c>
      <c r="C6" t="s">
        <v>76</v>
      </c>
      <c r="D6" t="s">
        <v>2961</v>
      </c>
      <c r="E6">
        <v>1</v>
      </c>
      <c r="F6" t="s">
        <v>3013</v>
      </c>
      <c r="G6" t="str">
        <f t="shared" si="0"/>
        <v>Networks</v>
      </c>
    </row>
    <row r="7" spans="1:7" x14ac:dyDescent="0.25">
      <c r="A7" t="s">
        <v>3014</v>
      </c>
      <c r="B7" t="s">
        <v>75</v>
      </c>
      <c r="C7" t="s">
        <v>76</v>
      </c>
      <c r="D7" t="s">
        <v>2961</v>
      </c>
      <c r="E7">
        <v>2</v>
      </c>
      <c r="F7" t="s">
        <v>3015</v>
      </c>
      <c r="G7" t="str">
        <f t="shared" si="0"/>
        <v>Programming</v>
      </c>
    </row>
    <row r="8" spans="1:7" x14ac:dyDescent="0.25">
      <c r="A8" t="s">
        <v>3016</v>
      </c>
      <c r="B8" t="s">
        <v>75</v>
      </c>
      <c r="C8" t="s">
        <v>76</v>
      </c>
      <c r="D8" t="s">
        <v>2961</v>
      </c>
      <c r="E8">
        <v>2</v>
      </c>
      <c r="F8" t="s">
        <v>3017</v>
      </c>
      <c r="G8" t="str">
        <f t="shared" si="0"/>
        <v>Data Structures</v>
      </c>
    </row>
    <row r="9" spans="1:7" x14ac:dyDescent="0.25">
      <c r="A9" t="s">
        <v>3018</v>
      </c>
      <c r="B9" t="s">
        <v>75</v>
      </c>
      <c r="C9" t="s">
        <v>76</v>
      </c>
      <c r="D9" t="s">
        <v>2961</v>
      </c>
      <c r="E9">
        <v>2</v>
      </c>
      <c r="F9" t="s">
        <v>3019</v>
      </c>
      <c r="G9" t="str">
        <f t="shared" si="0"/>
        <v>DBMS</v>
      </c>
    </row>
    <row r="10" spans="1:7" x14ac:dyDescent="0.25">
      <c r="A10" t="s">
        <v>3020</v>
      </c>
      <c r="B10" t="s">
        <v>75</v>
      </c>
      <c r="C10" t="s">
        <v>76</v>
      </c>
      <c r="D10" t="s">
        <v>2961</v>
      </c>
      <c r="E10">
        <v>2</v>
      </c>
      <c r="F10" t="s">
        <v>3021</v>
      </c>
      <c r="G10" t="str">
        <f t="shared" si="0"/>
        <v>Operating Systems</v>
      </c>
    </row>
    <row r="11" spans="1:7" x14ac:dyDescent="0.25">
      <c r="A11" t="s">
        <v>3022</v>
      </c>
      <c r="B11" t="s">
        <v>75</v>
      </c>
      <c r="C11" t="s">
        <v>76</v>
      </c>
      <c r="D11" t="s">
        <v>2961</v>
      </c>
      <c r="E11">
        <v>2</v>
      </c>
      <c r="F11" t="s">
        <v>3023</v>
      </c>
      <c r="G11" t="str">
        <f t="shared" si="0"/>
        <v>Networks</v>
      </c>
    </row>
    <row r="12" spans="1:7" x14ac:dyDescent="0.25">
      <c r="A12" t="s">
        <v>3024</v>
      </c>
      <c r="B12" t="s">
        <v>75</v>
      </c>
      <c r="C12" t="s">
        <v>76</v>
      </c>
      <c r="D12" t="s">
        <v>2961</v>
      </c>
      <c r="E12">
        <v>3</v>
      </c>
      <c r="F12" t="s">
        <v>3025</v>
      </c>
      <c r="G12" t="str">
        <f t="shared" si="0"/>
        <v>Programming</v>
      </c>
    </row>
    <row r="13" spans="1:7" x14ac:dyDescent="0.25">
      <c r="A13" t="s">
        <v>3026</v>
      </c>
      <c r="B13" t="s">
        <v>75</v>
      </c>
      <c r="C13" t="s">
        <v>76</v>
      </c>
      <c r="D13" t="s">
        <v>2961</v>
      </c>
      <c r="E13">
        <v>3</v>
      </c>
      <c r="F13" t="s">
        <v>3027</v>
      </c>
      <c r="G13" t="str">
        <f t="shared" si="0"/>
        <v>Data Structures</v>
      </c>
    </row>
    <row r="14" spans="1:7" x14ac:dyDescent="0.25">
      <c r="A14" t="s">
        <v>3028</v>
      </c>
      <c r="B14" t="s">
        <v>75</v>
      </c>
      <c r="C14" t="s">
        <v>76</v>
      </c>
      <c r="D14" t="s">
        <v>2961</v>
      </c>
      <c r="E14">
        <v>3</v>
      </c>
      <c r="F14" t="s">
        <v>3029</v>
      </c>
      <c r="G14" t="str">
        <f t="shared" si="0"/>
        <v>DBMS</v>
      </c>
    </row>
    <row r="15" spans="1:7" x14ac:dyDescent="0.25">
      <c r="A15" t="s">
        <v>3030</v>
      </c>
      <c r="B15" t="s">
        <v>75</v>
      </c>
      <c r="C15" t="s">
        <v>76</v>
      </c>
      <c r="D15" t="s">
        <v>2961</v>
      </c>
      <c r="E15">
        <v>3</v>
      </c>
      <c r="F15" t="s">
        <v>3031</v>
      </c>
      <c r="G15" t="str">
        <f t="shared" si="0"/>
        <v>Operating Systems</v>
      </c>
    </row>
    <row r="16" spans="1:7" x14ac:dyDescent="0.25">
      <c r="A16" t="s">
        <v>3032</v>
      </c>
      <c r="B16" t="s">
        <v>75</v>
      </c>
      <c r="C16" t="s">
        <v>76</v>
      </c>
      <c r="D16" t="s">
        <v>2961</v>
      </c>
      <c r="E16">
        <v>3</v>
      </c>
      <c r="F16" t="s">
        <v>3033</v>
      </c>
      <c r="G16" t="str">
        <f t="shared" si="0"/>
        <v>Networks</v>
      </c>
    </row>
    <row r="17" spans="1:7" x14ac:dyDescent="0.25">
      <c r="A17" t="s">
        <v>3034</v>
      </c>
      <c r="B17" t="s">
        <v>75</v>
      </c>
      <c r="C17" t="s">
        <v>76</v>
      </c>
      <c r="D17" t="s">
        <v>2961</v>
      </c>
      <c r="E17">
        <v>4</v>
      </c>
      <c r="F17" t="s">
        <v>3035</v>
      </c>
      <c r="G17" t="str">
        <f t="shared" si="0"/>
        <v>Programming</v>
      </c>
    </row>
    <row r="18" spans="1:7" x14ac:dyDescent="0.25">
      <c r="A18" t="s">
        <v>3036</v>
      </c>
      <c r="B18" t="s">
        <v>75</v>
      </c>
      <c r="C18" t="s">
        <v>76</v>
      </c>
      <c r="D18" t="s">
        <v>2961</v>
      </c>
      <c r="E18">
        <v>4</v>
      </c>
      <c r="F18" t="s">
        <v>3037</v>
      </c>
      <c r="G18" t="str">
        <f t="shared" si="0"/>
        <v>Data Structures</v>
      </c>
    </row>
    <row r="19" spans="1:7" x14ac:dyDescent="0.25">
      <c r="A19" t="s">
        <v>3038</v>
      </c>
      <c r="B19" t="s">
        <v>75</v>
      </c>
      <c r="C19" t="s">
        <v>76</v>
      </c>
      <c r="D19" t="s">
        <v>2961</v>
      </c>
      <c r="E19">
        <v>4</v>
      </c>
      <c r="F19" t="s">
        <v>3039</v>
      </c>
      <c r="G19" t="str">
        <f t="shared" si="0"/>
        <v>DBMS</v>
      </c>
    </row>
    <row r="20" spans="1:7" x14ac:dyDescent="0.25">
      <c r="A20" t="s">
        <v>3040</v>
      </c>
      <c r="B20" t="s">
        <v>75</v>
      </c>
      <c r="C20" t="s">
        <v>76</v>
      </c>
      <c r="D20" t="s">
        <v>2961</v>
      </c>
      <c r="E20">
        <v>4</v>
      </c>
      <c r="F20" t="s">
        <v>3041</v>
      </c>
      <c r="G20" t="str">
        <f t="shared" si="0"/>
        <v>Operating Systems</v>
      </c>
    </row>
    <row r="21" spans="1:7" x14ac:dyDescent="0.25">
      <c r="A21" t="s">
        <v>3042</v>
      </c>
      <c r="B21" t="s">
        <v>75</v>
      </c>
      <c r="C21" t="s">
        <v>76</v>
      </c>
      <c r="D21" t="s">
        <v>2961</v>
      </c>
      <c r="E21">
        <v>4</v>
      </c>
      <c r="F21" t="s">
        <v>3043</v>
      </c>
      <c r="G21" t="str">
        <f t="shared" si="0"/>
        <v>Networks</v>
      </c>
    </row>
    <row r="22" spans="1:7" x14ac:dyDescent="0.25">
      <c r="A22" t="s">
        <v>3044</v>
      </c>
      <c r="B22" t="s">
        <v>75</v>
      </c>
      <c r="C22" t="s">
        <v>76</v>
      </c>
      <c r="D22" t="s">
        <v>2961</v>
      </c>
      <c r="E22">
        <v>5</v>
      </c>
      <c r="F22" t="s">
        <v>3045</v>
      </c>
      <c r="G22" t="str">
        <f t="shared" si="0"/>
        <v>Programming</v>
      </c>
    </row>
    <row r="23" spans="1:7" x14ac:dyDescent="0.25">
      <c r="A23" t="s">
        <v>3046</v>
      </c>
      <c r="B23" t="s">
        <v>75</v>
      </c>
      <c r="C23" t="s">
        <v>76</v>
      </c>
      <c r="D23" t="s">
        <v>2961</v>
      </c>
      <c r="E23">
        <v>5</v>
      </c>
      <c r="F23" t="s">
        <v>3047</v>
      </c>
      <c r="G23" t="str">
        <f t="shared" si="0"/>
        <v>Data Structures</v>
      </c>
    </row>
    <row r="24" spans="1:7" x14ac:dyDescent="0.25">
      <c r="A24" t="s">
        <v>3048</v>
      </c>
      <c r="B24" t="s">
        <v>75</v>
      </c>
      <c r="C24" t="s">
        <v>76</v>
      </c>
      <c r="D24" t="s">
        <v>2961</v>
      </c>
      <c r="E24">
        <v>5</v>
      </c>
      <c r="F24" t="s">
        <v>3049</v>
      </c>
      <c r="G24" t="str">
        <f t="shared" si="0"/>
        <v>DBMS</v>
      </c>
    </row>
    <row r="25" spans="1:7" x14ac:dyDescent="0.25">
      <c r="A25" t="s">
        <v>3050</v>
      </c>
      <c r="B25" t="s">
        <v>75</v>
      </c>
      <c r="C25" t="s">
        <v>76</v>
      </c>
      <c r="D25" t="s">
        <v>2961</v>
      </c>
      <c r="E25">
        <v>5</v>
      </c>
      <c r="F25" t="s">
        <v>3051</v>
      </c>
      <c r="G25" t="str">
        <f t="shared" si="0"/>
        <v>Operating Systems</v>
      </c>
    </row>
    <row r="26" spans="1:7" x14ac:dyDescent="0.25">
      <c r="A26" t="s">
        <v>3052</v>
      </c>
      <c r="B26" t="s">
        <v>75</v>
      </c>
      <c r="C26" t="s">
        <v>76</v>
      </c>
      <c r="D26" t="s">
        <v>2961</v>
      </c>
      <c r="E26">
        <v>5</v>
      </c>
      <c r="F26" t="s">
        <v>3053</v>
      </c>
      <c r="G26" t="str">
        <f t="shared" si="0"/>
        <v>Networks</v>
      </c>
    </row>
    <row r="27" spans="1:7" x14ac:dyDescent="0.25">
      <c r="A27" t="s">
        <v>3054</v>
      </c>
      <c r="B27" t="s">
        <v>75</v>
      </c>
      <c r="C27" t="s">
        <v>76</v>
      </c>
      <c r="D27" t="s">
        <v>2961</v>
      </c>
      <c r="E27">
        <v>6</v>
      </c>
      <c r="F27" t="s">
        <v>3055</v>
      </c>
      <c r="G27" t="str">
        <f t="shared" si="0"/>
        <v>Programming</v>
      </c>
    </row>
    <row r="28" spans="1:7" x14ac:dyDescent="0.25">
      <c r="A28" t="s">
        <v>3056</v>
      </c>
      <c r="B28" t="s">
        <v>75</v>
      </c>
      <c r="C28" t="s">
        <v>76</v>
      </c>
      <c r="D28" t="s">
        <v>2961</v>
      </c>
      <c r="E28">
        <v>6</v>
      </c>
      <c r="F28" t="s">
        <v>3057</v>
      </c>
      <c r="G28" t="str">
        <f t="shared" si="0"/>
        <v>Data Structures</v>
      </c>
    </row>
    <row r="29" spans="1:7" x14ac:dyDescent="0.25">
      <c r="A29" t="s">
        <v>3058</v>
      </c>
      <c r="B29" t="s">
        <v>75</v>
      </c>
      <c r="C29" t="s">
        <v>76</v>
      </c>
      <c r="D29" t="s">
        <v>2961</v>
      </c>
      <c r="E29">
        <v>6</v>
      </c>
      <c r="F29" t="s">
        <v>3059</v>
      </c>
      <c r="G29" t="str">
        <f t="shared" si="0"/>
        <v>DBMS</v>
      </c>
    </row>
    <row r="30" spans="1:7" x14ac:dyDescent="0.25">
      <c r="A30" t="s">
        <v>3060</v>
      </c>
      <c r="B30" t="s">
        <v>75</v>
      </c>
      <c r="C30" t="s">
        <v>76</v>
      </c>
      <c r="D30" t="s">
        <v>2961</v>
      </c>
      <c r="E30">
        <v>6</v>
      </c>
      <c r="F30" t="s">
        <v>3061</v>
      </c>
      <c r="G30" t="str">
        <f t="shared" si="0"/>
        <v>Operating Systems</v>
      </c>
    </row>
    <row r="31" spans="1:7" x14ac:dyDescent="0.25">
      <c r="A31" t="s">
        <v>3062</v>
      </c>
      <c r="B31" t="s">
        <v>75</v>
      </c>
      <c r="C31" t="s">
        <v>76</v>
      </c>
      <c r="D31" t="s">
        <v>2961</v>
      </c>
      <c r="E31">
        <v>6</v>
      </c>
      <c r="F31" t="s">
        <v>3063</v>
      </c>
      <c r="G31" t="str">
        <f t="shared" si="0"/>
        <v>Networks</v>
      </c>
    </row>
    <row r="32" spans="1:7" x14ac:dyDescent="0.25">
      <c r="A32" t="s">
        <v>3064</v>
      </c>
      <c r="B32" t="s">
        <v>159</v>
      </c>
      <c r="C32" t="s">
        <v>160</v>
      </c>
      <c r="D32" t="s">
        <v>2902</v>
      </c>
      <c r="E32">
        <v>1</v>
      </c>
      <c r="F32" t="s">
        <v>3065</v>
      </c>
      <c r="G32" t="str">
        <f t="shared" si="0"/>
        <v>Accounting</v>
      </c>
    </row>
    <row r="33" spans="1:7" x14ac:dyDescent="0.25">
      <c r="A33" t="s">
        <v>3066</v>
      </c>
      <c r="B33" t="s">
        <v>159</v>
      </c>
      <c r="C33" t="s">
        <v>160</v>
      </c>
      <c r="D33" t="s">
        <v>2902</v>
      </c>
      <c r="E33">
        <v>1</v>
      </c>
      <c r="F33" t="s">
        <v>3067</v>
      </c>
      <c r="G33" t="str">
        <f t="shared" si="0"/>
        <v>Business Law</v>
      </c>
    </row>
    <row r="34" spans="1:7" x14ac:dyDescent="0.25">
      <c r="A34" t="s">
        <v>3068</v>
      </c>
      <c r="B34" t="s">
        <v>159</v>
      </c>
      <c r="C34" t="s">
        <v>160</v>
      </c>
      <c r="D34" t="s">
        <v>2902</v>
      </c>
      <c r="E34">
        <v>1</v>
      </c>
      <c r="F34" t="s">
        <v>3069</v>
      </c>
      <c r="G34" t="str">
        <f t="shared" si="0"/>
        <v>Economics</v>
      </c>
    </row>
    <row r="35" spans="1:7" x14ac:dyDescent="0.25">
      <c r="A35" t="s">
        <v>3070</v>
      </c>
      <c r="B35" t="s">
        <v>159</v>
      </c>
      <c r="C35" t="s">
        <v>160</v>
      </c>
      <c r="D35" t="s">
        <v>2902</v>
      </c>
      <c r="E35">
        <v>1</v>
      </c>
      <c r="F35" t="s">
        <v>3071</v>
      </c>
      <c r="G35" t="str">
        <f t="shared" si="0"/>
        <v>Taxation</v>
      </c>
    </row>
    <row r="36" spans="1:7" x14ac:dyDescent="0.25">
      <c r="A36" t="s">
        <v>3072</v>
      </c>
      <c r="B36" t="s">
        <v>159</v>
      </c>
      <c r="C36" t="s">
        <v>160</v>
      </c>
      <c r="D36" t="s">
        <v>2902</v>
      </c>
      <c r="E36">
        <v>1</v>
      </c>
      <c r="F36" t="s">
        <v>3073</v>
      </c>
      <c r="G36" t="str">
        <f t="shared" si="0"/>
        <v>Auditing</v>
      </c>
    </row>
    <row r="37" spans="1:7" x14ac:dyDescent="0.25">
      <c r="A37" t="s">
        <v>3074</v>
      </c>
      <c r="B37" t="s">
        <v>159</v>
      </c>
      <c r="C37" t="s">
        <v>160</v>
      </c>
      <c r="D37" t="s">
        <v>2902</v>
      </c>
      <c r="E37">
        <v>2</v>
      </c>
      <c r="F37" t="s">
        <v>3075</v>
      </c>
      <c r="G37" t="str">
        <f t="shared" si="0"/>
        <v>Accounting</v>
      </c>
    </row>
    <row r="38" spans="1:7" x14ac:dyDescent="0.25">
      <c r="A38" t="s">
        <v>3076</v>
      </c>
      <c r="B38" t="s">
        <v>159</v>
      </c>
      <c r="C38" t="s">
        <v>160</v>
      </c>
      <c r="D38" t="s">
        <v>2902</v>
      </c>
      <c r="E38">
        <v>2</v>
      </c>
      <c r="F38" t="s">
        <v>3077</v>
      </c>
      <c r="G38" t="str">
        <f t="shared" si="0"/>
        <v>Business Law</v>
      </c>
    </row>
    <row r="39" spans="1:7" x14ac:dyDescent="0.25">
      <c r="A39" t="s">
        <v>3078</v>
      </c>
      <c r="B39" t="s">
        <v>159</v>
      </c>
      <c r="C39" t="s">
        <v>160</v>
      </c>
      <c r="D39" t="s">
        <v>2902</v>
      </c>
      <c r="E39">
        <v>2</v>
      </c>
      <c r="F39" t="s">
        <v>3079</v>
      </c>
      <c r="G39" t="str">
        <f t="shared" si="0"/>
        <v>Economics</v>
      </c>
    </row>
    <row r="40" spans="1:7" x14ac:dyDescent="0.25">
      <c r="A40" t="s">
        <v>3080</v>
      </c>
      <c r="B40" t="s">
        <v>159</v>
      </c>
      <c r="C40" t="s">
        <v>160</v>
      </c>
      <c r="D40" t="s">
        <v>2902</v>
      </c>
      <c r="E40">
        <v>2</v>
      </c>
      <c r="F40" t="s">
        <v>3081</v>
      </c>
      <c r="G40" t="str">
        <f t="shared" si="0"/>
        <v>Taxation</v>
      </c>
    </row>
    <row r="41" spans="1:7" x14ac:dyDescent="0.25">
      <c r="A41" t="s">
        <v>3082</v>
      </c>
      <c r="B41" t="s">
        <v>159</v>
      </c>
      <c r="C41" t="s">
        <v>160</v>
      </c>
      <c r="D41" t="s">
        <v>2902</v>
      </c>
      <c r="E41">
        <v>2</v>
      </c>
      <c r="F41" t="s">
        <v>3083</v>
      </c>
      <c r="G41" t="str">
        <f t="shared" si="0"/>
        <v>Auditing</v>
      </c>
    </row>
    <row r="42" spans="1:7" x14ac:dyDescent="0.25">
      <c r="A42" t="s">
        <v>3084</v>
      </c>
      <c r="B42" t="s">
        <v>159</v>
      </c>
      <c r="C42" t="s">
        <v>160</v>
      </c>
      <c r="D42" t="s">
        <v>2902</v>
      </c>
      <c r="E42">
        <v>3</v>
      </c>
      <c r="F42" t="s">
        <v>3085</v>
      </c>
      <c r="G42" t="str">
        <f t="shared" si="0"/>
        <v>Accounting</v>
      </c>
    </row>
    <row r="43" spans="1:7" x14ac:dyDescent="0.25">
      <c r="A43" t="s">
        <v>3086</v>
      </c>
      <c r="B43" t="s">
        <v>159</v>
      </c>
      <c r="C43" t="s">
        <v>160</v>
      </c>
      <c r="D43" t="s">
        <v>2902</v>
      </c>
      <c r="E43">
        <v>3</v>
      </c>
      <c r="F43" t="s">
        <v>3087</v>
      </c>
      <c r="G43" t="str">
        <f t="shared" si="0"/>
        <v>Business Law</v>
      </c>
    </row>
    <row r="44" spans="1:7" x14ac:dyDescent="0.25">
      <c r="A44" t="s">
        <v>3088</v>
      </c>
      <c r="B44" t="s">
        <v>159</v>
      </c>
      <c r="C44" t="s">
        <v>160</v>
      </c>
      <c r="D44" t="s">
        <v>2902</v>
      </c>
      <c r="E44">
        <v>3</v>
      </c>
      <c r="F44" t="s">
        <v>3089</v>
      </c>
      <c r="G44" t="str">
        <f t="shared" si="0"/>
        <v>Economics</v>
      </c>
    </row>
    <row r="45" spans="1:7" x14ac:dyDescent="0.25">
      <c r="A45" t="s">
        <v>3090</v>
      </c>
      <c r="B45" t="s">
        <v>159</v>
      </c>
      <c r="C45" t="s">
        <v>160</v>
      </c>
      <c r="D45" t="s">
        <v>2902</v>
      </c>
      <c r="E45">
        <v>3</v>
      </c>
      <c r="F45" t="s">
        <v>3091</v>
      </c>
      <c r="G45" t="str">
        <f t="shared" si="0"/>
        <v>Taxation</v>
      </c>
    </row>
    <row r="46" spans="1:7" x14ac:dyDescent="0.25">
      <c r="A46" t="s">
        <v>3092</v>
      </c>
      <c r="B46" t="s">
        <v>159</v>
      </c>
      <c r="C46" t="s">
        <v>160</v>
      </c>
      <c r="D46" t="s">
        <v>2902</v>
      </c>
      <c r="E46">
        <v>3</v>
      </c>
      <c r="F46" t="s">
        <v>3093</v>
      </c>
      <c r="G46" t="str">
        <f t="shared" si="0"/>
        <v>Auditing</v>
      </c>
    </row>
    <row r="47" spans="1:7" x14ac:dyDescent="0.25">
      <c r="A47" t="s">
        <v>3094</v>
      </c>
      <c r="B47" t="s">
        <v>159</v>
      </c>
      <c r="C47" t="s">
        <v>160</v>
      </c>
      <c r="D47" t="s">
        <v>2902</v>
      </c>
      <c r="E47">
        <v>4</v>
      </c>
      <c r="F47" t="s">
        <v>3095</v>
      </c>
      <c r="G47" t="str">
        <f t="shared" si="0"/>
        <v>Accounting</v>
      </c>
    </row>
    <row r="48" spans="1:7" x14ac:dyDescent="0.25">
      <c r="A48" t="s">
        <v>3096</v>
      </c>
      <c r="B48" t="s">
        <v>159</v>
      </c>
      <c r="C48" t="s">
        <v>160</v>
      </c>
      <c r="D48" t="s">
        <v>2902</v>
      </c>
      <c r="E48">
        <v>4</v>
      </c>
      <c r="F48" t="s">
        <v>3097</v>
      </c>
      <c r="G48" t="str">
        <f t="shared" si="0"/>
        <v>Business Law</v>
      </c>
    </row>
    <row r="49" spans="1:7" x14ac:dyDescent="0.25">
      <c r="A49" t="s">
        <v>3098</v>
      </c>
      <c r="B49" t="s">
        <v>159</v>
      </c>
      <c r="C49" t="s">
        <v>160</v>
      </c>
      <c r="D49" t="s">
        <v>2902</v>
      </c>
      <c r="E49">
        <v>4</v>
      </c>
      <c r="F49" t="s">
        <v>3099</v>
      </c>
      <c r="G49" t="str">
        <f t="shared" si="0"/>
        <v>Economics</v>
      </c>
    </row>
    <row r="50" spans="1:7" x14ac:dyDescent="0.25">
      <c r="A50" t="s">
        <v>3100</v>
      </c>
      <c r="B50" t="s">
        <v>159</v>
      </c>
      <c r="C50" t="s">
        <v>160</v>
      </c>
      <c r="D50" t="s">
        <v>2902</v>
      </c>
      <c r="E50">
        <v>4</v>
      </c>
      <c r="F50" t="s">
        <v>3101</v>
      </c>
      <c r="G50" t="str">
        <f t="shared" si="0"/>
        <v>Taxation</v>
      </c>
    </row>
    <row r="51" spans="1:7" x14ac:dyDescent="0.25">
      <c r="A51" t="s">
        <v>3102</v>
      </c>
      <c r="B51" t="s">
        <v>159</v>
      </c>
      <c r="C51" t="s">
        <v>160</v>
      </c>
      <c r="D51" t="s">
        <v>2902</v>
      </c>
      <c r="E51">
        <v>4</v>
      </c>
      <c r="F51" t="s">
        <v>3103</v>
      </c>
      <c r="G51" t="str">
        <f t="shared" si="0"/>
        <v>Auditing</v>
      </c>
    </row>
    <row r="52" spans="1:7" x14ac:dyDescent="0.25">
      <c r="A52" t="s">
        <v>3104</v>
      </c>
      <c r="B52" t="s">
        <v>159</v>
      </c>
      <c r="C52" t="s">
        <v>160</v>
      </c>
      <c r="D52" t="s">
        <v>2902</v>
      </c>
      <c r="E52">
        <v>5</v>
      </c>
      <c r="F52" t="s">
        <v>3105</v>
      </c>
      <c r="G52" t="str">
        <f t="shared" si="0"/>
        <v>Accounting</v>
      </c>
    </row>
    <row r="53" spans="1:7" x14ac:dyDescent="0.25">
      <c r="A53" t="s">
        <v>3106</v>
      </c>
      <c r="B53" t="s">
        <v>159</v>
      </c>
      <c r="C53" t="s">
        <v>160</v>
      </c>
      <c r="D53" t="s">
        <v>2902</v>
      </c>
      <c r="E53">
        <v>5</v>
      </c>
      <c r="F53" t="s">
        <v>3107</v>
      </c>
      <c r="G53" t="str">
        <f t="shared" si="0"/>
        <v>Business Law</v>
      </c>
    </row>
    <row r="54" spans="1:7" x14ac:dyDescent="0.25">
      <c r="A54" t="s">
        <v>3108</v>
      </c>
      <c r="B54" t="s">
        <v>159</v>
      </c>
      <c r="C54" t="s">
        <v>160</v>
      </c>
      <c r="D54" t="s">
        <v>2902</v>
      </c>
      <c r="E54">
        <v>5</v>
      </c>
      <c r="F54" t="s">
        <v>3109</v>
      </c>
      <c r="G54" t="str">
        <f t="shared" si="0"/>
        <v>Economics</v>
      </c>
    </row>
    <row r="55" spans="1:7" x14ac:dyDescent="0.25">
      <c r="A55" t="s">
        <v>3110</v>
      </c>
      <c r="B55" t="s">
        <v>159</v>
      </c>
      <c r="C55" t="s">
        <v>160</v>
      </c>
      <c r="D55" t="s">
        <v>2902</v>
      </c>
      <c r="E55">
        <v>5</v>
      </c>
      <c r="F55" t="s">
        <v>3111</v>
      </c>
      <c r="G55" t="str">
        <f t="shared" si="0"/>
        <v>Taxation</v>
      </c>
    </row>
    <row r="56" spans="1:7" x14ac:dyDescent="0.25">
      <c r="A56" t="s">
        <v>3112</v>
      </c>
      <c r="B56" t="s">
        <v>159</v>
      </c>
      <c r="C56" t="s">
        <v>160</v>
      </c>
      <c r="D56" t="s">
        <v>2902</v>
      </c>
      <c r="E56">
        <v>5</v>
      </c>
      <c r="F56" t="s">
        <v>3113</v>
      </c>
      <c r="G56" t="str">
        <f t="shared" si="0"/>
        <v>Auditing</v>
      </c>
    </row>
    <row r="57" spans="1:7" x14ac:dyDescent="0.25">
      <c r="A57" t="s">
        <v>3114</v>
      </c>
      <c r="B57" t="s">
        <v>159</v>
      </c>
      <c r="C57" t="s">
        <v>160</v>
      </c>
      <c r="D57" t="s">
        <v>2902</v>
      </c>
      <c r="E57">
        <v>6</v>
      </c>
      <c r="F57" t="s">
        <v>3115</v>
      </c>
      <c r="G57" t="str">
        <f t="shared" si="0"/>
        <v>Accounting</v>
      </c>
    </row>
    <row r="58" spans="1:7" x14ac:dyDescent="0.25">
      <c r="A58" t="s">
        <v>3116</v>
      </c>
      <c r="B58" t="s">
        <v>159</v>
      </c>
      <c r="C58" t="s">
        <v>160</v>
      </c>
      <c r="D58" t="s">
        <v>2902</v>
      </c>
      <c r="E58">
        <v>6</v>
      </c>
      <c r="F58" t="s">
        <v>3117</v>
      </c>
      <c r="G58" t="str">
        <f t="shared" si="0"/>
        <v>Business Law</v>
      </c>
    </row>
    <row r="59" spans="1:7" x14ac:dyDescent="0.25">
      <c r="A59" t="s">
        <v>3118</v>
      </c>
      <c r="B59" t="s">
        <v>159</v>
      </c>
      <c r="C59" t="s">
        <v>160</v>
      </c>
      <c r="D59" t="s">
        <v>2902</v>
      </c>
      <c r="E59">
        <v>6</v>
      </c>
      <c r="F59" t="s">
        <v>3119</v>
      </c>
      <c r="G59" t="str">
        <f t="shared" si="0"/>
        <v>Economics</v>
      </c>
    </row>
    <row r="60" spans="1:7" x14ac:dyDescent="0.25">
      <c r="A60" t="s">
        <v>3120</v>
      </c>
      <c r="B60" t="s">
        <v>159</v>
      </c>
      <c r="C60" t="s">
        <v>160</v>
      </c>
      <c r="D60" t="s">
        <v>2902</v>
      </c>
      <c r="E60">
        <v>6</v>
      </c>
      <c r="F60" t="s">
        <v>3121</v>
      </c>
      <c r="G60" t="str">
        <f t="shared" si="0"/>
        <v>Taxation</v>
      </c>
    </row>
    <row r="61" spans="1:7" x14ac:dyDescent="0.25">
      <c r="A61" t="s">
        <v>3122</v>
      </c>
      <c r="B61" t="s">
        <v>159</v>
      </c>
      <c r="C61" t="s">
        <v>160</v>
      </c>
      <c r="D61" t="s">
        <v>2902</v>
      </c>
      <c r="E61">
        <v>6</v>
      </c>
      <c r="F61" t="s">
        <v>3123</v>
      </c>
      <c r="G61" t="str">
        <f t="shared" si="0"/>
        <v>Auditing</v>
      </c>
    </row>
    <row r="62" spans="1:7" x14ac:dyDescent="0.25">
      <c r="A62" t="s">
        <v>3124</v>
      </c>
      <c r="B62" t="s">
        <v>105</v>
      </c>
      <c r="C62" t="s">
        <v>106</v>
      </c>
      <c r="D62" t="s">
        <v>2908</v>
      </c>
      <c r="E62">
        <v>1</v>
      </c>
      <c r="F62" t="s">
        <v>3125</v>
      </c>
      <c r="G62" t="str">
        <f t="shared" si="0"/>
        <v>English Lit</v>
      </c>
    </row>
    <row r="63" spans="1:7" x14ac:dyDescent="0.25">
      <c r="A63" t="s">
        <v>3126</v>
      </c>
      <c r="B63" t="s">
        <v>105</v>
      </c>
      <c r="C63" t="s">
        <v>106</v>
      </c>
      <c r="D63" t="s">
        <v>2908</v>
      </c>
      <c r="E63">
        <v>1</v>
      </c>
      <c r="F63" t="s">
        <v>3127</v>
      </c>
      <c r="G63" t="str">
        <f t="shared" si="0"/>
        <v>Poetry</v>
      </c>
    </row>
    <row r="64" spans="1:7" x14ac:dyDescent="0.25">
      <c r="A64" t="s">
        <v>3128</v>
      </c>
      <c r="B64" t="s">
        <v>105</v>
      </c>
      <c r="C64" t="s">
        <v>106</v>
      </c>
      <c r="D64" t="s">
        <v>2908</v>
      </c>
      <c r="E64">
        <v>1</v>
      </c>
      <c r="F64" t="s">
        <v>3129</v>
      </c>
      <c r="G64" t="str">
        <f t="shared" si="0"/>
        <v>Drama</v>
      </c>
    </row>
    <row r="65" spans="1:7" x14ac:dyDescent="0.25">
      <c r="A65" t="s">
        <v>3130</v>
      </c>
      <c r="B65" t="s">
        <v>105</v>
      </c>
      <c r="C65" t="s">
        <v>106</v>
      </c>
      <c r="D65" t="s">
        <v>2908</v>
      </c>
      <c r="E65">
        <v>1</v>
      </c>
      <c r="F65" t="s">
        <v>3131</v>
      </c>
      <c r="G65" t="str">
        <f t="shared" si="0"/>
        <v>Prose</v>
      </c>
    </row>
    <row r="66" spans="1:7" x14ac:dyDescent="0.25">
      <c r="A66" t="s">
        <v>3132</v>
      </c>
      <c r="B66" t="s">
        <v>105</v>
      </c>
      <c r="C66" t="s">
        <v>106</v>
      </c>
      <c r="D66" t="s">
        <v>2908</v>
      </c>
      <c r="E66">
        <v>1</v>
      </c>
      <c r="F66" t="s">
        <v>3133</v>
      </c>
      <c r="G66" t="str">
        <f t="shared" si="0"/>
        <v>Linguistics</v>
      </c>
    </row>
    <row r="67" spans="1:7" x14ac:dyDescent="0.25">
      <c r="A67" t="s">
        <v>3134</v>
      </c>
      <c r="B67" t="s">
        <v>105</v>
      </c>
      <c r="C67" t="s">
        <v>106</v>
      </c>
      <c r="D67" t="s">
        <v>2908</v>
      </c>
      <c r="E67">
        <v>2</v>
      </c>
      <c r="F67" t="s">
        <v>3135</v>
      </c>
      <c r="G67" t="str">
        <f t="shared" ref="G67:G130" si="1">LEFT(F67,LEN(F67)-2)</f>
        <v>English Lit</v>
      </c>
    </row>
    <row r="68" spans="1:7" x14ac:dyDescent="0.25">
      <c r="A68" t="s">
        <v>3136</v>
      </c>
      <c r="B68" t="s">
        <v>105</v>
      </c>
      <c r="C68" t="s">
        <v>106</v>
      </c>
      <c r="D68" t="s">
        <v>2908</v>
      </c>
      <c r="E68">
        <v>2</v>
      </c>
      <c r="F68" t="s">
        <v>3137</v>
      </c>
      <c r="G68" t="str">
        <f t="shared" si="1"/>
        <v>Poetry</v>
      </c>
    </row>
    <row r="69" spans="1:7" x14ac:dyDescent="0.25">
      <c r="A69" t="s">
        <v>3138</v>
      </c>
      <c r="B69" t="s">
        <v>105</v>
      </c>
      <c r="C69" t="s">
        <v>106</v>
      </c>
      <c r="D69" t="s">
        <v>2908</v>
      </c>
      <c r="E69">
        <v>2</v>
      </c>
      <c r="F69" t="s">
        <v>3139</v>
      </c>
      <c r="G69" t="str">
        <f t="shared" si="1"/>
        <v>Drama</v>
      </c>
    </row>
    <row r="70" spans="1:7" x14ac:dyDescent="0.25">
      <c r="A70" t="s">
        <v>3140</v>
      </c>
      <c r="B70" t="s">
        <v>105</v>
      </c>
      <c r="C70" t="s">
        <v>106</v>
      </c>
      <c r="D70" t="s">
        <v>2908</v>
      </c>
      <c r="E70">
        <v>2</v>
      </c>
      <c r="F70" t="s">
        <v>3141</v>
      </c>
      <c r="G70" t="str">
        <f t="shared" si="1"/>
        <v>Prose</v>
      </c>
    </row>
    <row r="71" spans="1:7" x14ac:dyDescent="0.25">
      <c r="A71" t="s">
        <v>3142</v>
      </c>
      <c r="B71" t="s">
        <v>105</v>
      </c>
      <c r="C71" t="s">
        <v>106</v>
      </c>
      <c r="D71" t="s">
        <v>2908</v>
      </c>
      <c r="E71">
        <v>2</v>
      </c>
      <c r="F71" t="s">
        <v>3143</v>
      </c>
      <c r="G71" t="str">
        <f t="shared" si="1"/>
        <v>Linguistics</v>
      </c>
    </row>
    <row r="72" spans="1:7" x14ac:dyDescent="0.25">
      <c r="A72" t="s">
        <v>3144</v>
      </c>
      <c r="B72" t="s">
        <v>105</v>
      </c>
      <c r="C72" t="s">
        <v>106</v>
      </c>
      <c r="D72" t="s">
        <v>2908</v>
      </c>
      <c r="E72">
        <v>3</v>
      </c>
      <c r="F72" t="s">
        <v>3145</v>
      </c>
      <c r="G72" t="str">
        <f t="shared" si="1"/>
        <v>English Lit</v>
      </c>
    </row>
    <row r="73" spans="1:7" x14ac:dyDescent="0.25">
      <c r="A73" t="s">
        <v>3146</v>
      </c>
      <c r="B73" t="s">
        <v>105</v>
      </c>
      <c r="C73" t="s">
        <v>106</v>
      </c>
      <c r="D73" t="s">
        <v>2908</v>
      </c>
      <c r="E73">
        <v>3</v>
      </c>
      <c r="F73" t="s">
        <v>3147</v>
      </c>
      <c r="G73" t="str">
        <f t="shared" si="1"/>
        <v>Poetry</v>
      </c>
    </row>
    <row r="74" spans="1:7" x14ac:dyDescent="0.25">
      <c r="A74" t="s">
        <v>3148</v>
      </c>
      <c r="B74" t="s">
        <v>105</v>
      </c>
      <c r="C74" t="s">
        <v>106</v>
      </c>
      <c r="D74" t="s">
        <v>2908</v>
      </c>
      <c r="E74">
        <v>3</v>
      </c>
      <c r="F74" t="s">
        <v>3149</v>
      </c>
      <c r="G74" t="str">
        <f t="shared" si="1"/>
        <v>Drama</v>
      </c>
    </row>
    <row r="75" spans="1:7" x14ac:dyDescent="0.25">
      <c r="A75" t="s">
        <v>3150</v>
      </c>
      <c r="B75" t="s">
        <v>105</v>
      </c>
      <c r="C75" t="s">
        <v>106</v>
      </c>
      <c r="D75" t="s">
        <v>2908</v>
      </c>
      <c r="E75">
        <v>3</v>
      </c>
      <c r="F75" t="s">
        <v>3151</v>
      </c>
      <c r="G75" t="str">
        <f t="shared" si="1"/>
        <v>Prose</v>
      </c>
    </row>
    <row r="76" spans="1:7" x14ac:dyDescent="0.25">
      <c r="A76" t="s">
        <v>3152</v>
      </c>
      <c r="B76" t="s">
        <v>105</v>
      </c>
      <c r="C76" t="s">
        <v>106</v>
      </c>
      <c r="D76" t="s">
        <v>2908</v>
      </c>
      <c r="E76">
        <v>3</v>
      </c>
      <c r="F76" t="s">
        <v>3153</v>
      </c>
      <c r="G76" t="str">
        <f t="shared" si="1"/>
        <v>Linguistics</v>
      </c>
    </row>
    <row r="77" spans="1:7" x14ac:dyDescent="0.25">
      <c r="A77" t="s">
        <v>3154</v>
      </c>
      <c r="B77" t="s">
        <v>105</v>
      </c>
      <c r="C77" t="s">
        <v>106</v>
      </c>
      <c r="D77" t="s">
        <v>2908</v>
      </c>
      <c r="E77">
        <v>4</v>
      </c>
      <c r="F77" t="s">
        <v>3155</v>
      </c>
      <c r="G77" t="str">
        <f t="shared" si="1"/>
        <v>English Lit</v>
      </c>
    </row>
    <row r="78" spans="1:7" x14ac:dyDescent="0.25">
      <c r="A78" t="s">
        <v>3156</v>
      </c>
      <c r="B78" t="s">
        <v>105</v>
      </c>
      <c r="C78" t="s">
        <v>106</v>
      </c>
      <c r="D78" t="s">
        <v>2908</v>
      </c>
      <c r="E78">
        <v>4</v>
      </c>
      <c r="F78" t="s">
        <v>3157</v>
      </c>
      <c r="G78" t="str">
        <f t="shared" si="1"/>
        <v>Poetry</v>
      </c>
    </row>
    <row r="79" spans="1:7" x14ac:dyDescent="0.25">
      <c r="A79" t="s">
        <v>3158</v>
      </c>
      <c r="B79" t="s">
        <v>105</v>
      </c>
      <c r="C79" t="s">
        <v>106</v>
      </c>
      <c r="D79" t="s">
        <v>2908</v>
      </c>
      <c r="E79">
        <v>4</v>
      </c>
      <c r="F79" t="s">
        <v>3159</v>
      </c>
      <c r="G79" t="str">
        <f t="shared" si="1"/>
        <v>Drama</v>
      </c>
    </row>
    <row r="80" spans="1:7" x14ac:dyDescent="0.25">
      <c r="A80" t="s">
        <v>3160</v>
      </c>
      <c r="B80" t="s">
        <v>105</v>
      </c>
      <c r="C80" t="s">
        <v>106</v>
      </c>
      <c r="D80" t="s">
        <v>2908</v>
      </c>
      <c r="E80">
        <v>4</v>
      </c>
      <c r="F80" t="s">
        <v>3161</v>
      </c>
      <c r="G80" t="str">
        <f t="shared" si="1"/>
        <v>Prose</v>
      </c>
    </row>
    <row r="81" spans="1:7" x14ac:dyDescent="0.25">
      <c r="A81" t="s">
        <v>3162</v>
      </c>
      <c r="B81" t="s">
        <v>105</v>
      </c>
      <c r="C81" t="s">
        <v>106</v>
      </c>
      <c r="D81" t="s">
        <v>2908</v>
      </c>
      <c r="E81">
        <v>4</v>
      </c>
      <c r="F81" t="s">
        <v>3163</v>
      </c>
      <c r="G81" t="str">
        <f t="shared" si="1"/>
        <v>Linguistics</v>
      </c>
    </row>
    <row r="82" spans="1:7" x14ac:dyDescent="0.25">
      <c r="A82" t="s">
        <v>3164</v>
      </c>
      <c r="B82" t="s">
        <v>105</v>
      </c>
      <c r="C82" t="s">
        <v>106</v>
      </c>
      <c r="D82" t="s">
        <v>2908</v>
      </c>
      <c r="E82">
        <v>5</v>
      </c>
      <c r="F82" t="s">
        <v>3165</v>
      </c>
      <c r="G82" t="str">
        <f t="shared" si="1"/>
        <v>English Lit</v>
      </c>
    </row>
    <row r="83" spans="1:7" x14ac:dyDescent="0.25">
      <c r="A83" t="s">
        <v>3166</v>
      </c>
      <c r="B83" t="s">
        <v>105</v>
      </c>
      <c r="C83" t="s">
        <v>106</v>
      </c>
      <c r="D83" t="s">
        <v>2908</v>
      </c>
      <c r="E83">
        <v>5</v>
      </c>
      <c r="F83" t="s">
        <v>3167</v>
      </c>
      <c r="G83" t="str">
        <f t="shared" si="1"/>
        <v>Poetry</v>
      </c>
    </row>
    <row r="84" spans="1:7" x14ac:dyDescent="0.25">
      <c r="A84" t="s">
        <v>3168</v>
      </c>
      <c r="B84" t="s">
        <v>105</v>
      </c>
      <c r="C84" t="s">
        <v>106</v>
      </c>
      <c r="D84" t="s">
        <v>2908</v>
      </c>
      <c r="E84">
        <v>5</v>
      </c>
      <c r="F84" t="s">
        <v>3169</v>
      </c>
      <c r="G84" t="str">
        <f t="shared" si="1"/>
        <v>Drama</v>
      </c>
    </row>
    <row r="85" spans="1:7" x14ac:dyDescent="0.25">
      <c r="A85" t="s">
        <v>3170</v>
      </c>
      <c r="B85" t="s">
        <v>105</v>
      </c>
      <c r="C85" t="s">
        <v>106</v>
      </c>
      <c r="D85" t="s">
        <v>2908</v>
      </c>
      <c r="E85">
        <v>5</v>
      </c>
      <c r="F85" t="s">
        <v>3171</v>
      </c>
      <c r="G85" t="str">
        <f t="shared" si="1"/>
        <v>Prose</v>
      </c>
    </row>
    <row r="86" spans="1:7" x14ac:dyDescent="0.25">
      <c r="A86" t="s">
        <v>3172</v>
      </c>
      <c r="B86" t="s">
        <v>105</v>
      </c>
      <c r="C86" t="s">
        <v>106</v>
      </c>
      <c r="D86" t="s">
        <v>2908</v>
      </c>
      <c r="E86">
        <v>5</v>
      </c>
      <c r="F86" t="s">
        <v>3173</v>
      </c>
      <c r="G86" t="str">
        <f t="shared" si="1"/>
        <v>Linguistics</v>
      </c>
    </row>
    <row r="87" spans="1:7" x14ac:dyDescent="0.25">
      <c r="A87" t="s">
        <v>3174</v>
      </c>
      <c r="B87" t="s">
        <v>105</v>
      </c>
      <c r="C87" t="s">
        <v>106</v>
      </c>
      <c r="D87" t="s">
        <v>2908</v>
      </c>
      <c r="E87">
        <v>6</v>
      </c>
      <c r="F87" t="s">
        <v>3175</v>
      </c>
      <c r="G87" t="str">
        <f t="shared" si="1"/>
        <v>English Lit</v>
      </c>
    </row>
    <row r="88" spans="1:7" x14ac:dyDescent="0.25">
      <c r="A88" t="s">
        <v>3176</v>
      </c>
      <c r="B88" t="s">
        <v>105</v>
      </c>
      <c r="C88" t="s">
        <v>106</v>
      </c>
      <c r="D88" t="s">
        <v>2908</v>
      </c>
      <c r="E88">
        <v>6</v>
      </c>
      <c r="F88" t="s">
        <v>3177</v>
      </c>
      <c r="G88" t="str">
        <f t="shared" si="1"/>
        <v>Poetry</v>
      </c>
    </row>
    <row r="89" spans="1:7" x14ac:dyDescent="0.25">
      <c r="A89" t="s">
        <v>3178</v>
      </c>
      <c r="B89" t="s">
        <v>105</v>
      </c>
      <c r="C89" t="s">
        <v>106</v>
      </c>
      <c r="D89" t="s">
        <v>2908</v>
      </c>
      <c r="E89">
        <v>6</v>
      </c>
      <c r="F89" t="s">
        <v>3179</v>
      </c>
      <c r="G89" t="str">
        <f t="shared" si="1"/>
        <v>Drama</v>
      </c>
    </row>
    <row r="90" spans="1:7" x14ac:dyDescent="0.25">
      <c r="A90" t="s">
        <v>3180</v>
      </c>
      <c r="B90" t="s">
        <v>105</v>
      </c>
      <c r="C90" t="s">
        <v>106</v>
      </c>
      <c r="D90" t="s">
        <v>2908</v>
      </c>
      <c r="E90">
        <v>6</v>
      </c>
      <c r="F90" t="s">
        <v>3181</v>
      </c>
      <c r="G90" t="str">
        <f t="shared" si="1"/>
        <v>Prose</v>
      </c>
    </row>
    <row r="91" spans="1:7" x14ac:dyDescent="0.25">
      <c r="A91" t="s">
        <v>3182</v>
      </c>
      <c r="B91" t="s">
        <v>105</v>
      </c>
      <c r="C91" t="s">
        <v>106</v>
      </c>
      <c r="D91" t="s">
        <v>2908</v>
      </c>
      <c r="E91">
        <v>6</v>
      </c>
      <c r="F91" t="s">
        <v>3183</v>
      </c>
      <c r="G91" t="str">
        <f t="shared" si="1"/>
        <v>Linguistics</v>
      </c>
    </row>
    <row r="92" spans="1:7" x14ac:dyDescent="0.25">
      <c r="A92" t="s">
        <v>3184</v>
      </c>
      <c r="B92" t="s">
        <v>95</v>
      </c>
      <c r="C92" t="s">
        <v>96</v>
      </c>
      <c r="D92" t="s">
        <v>2889</v>
      </c>
      <c r="E92">
        <v>1</v>
      </c>
      <c r="F92" t="s">
        <v>3185</v>
      </c>
      <c r="G92" t="str">
        <f t="shared" si="1"/>
        <v>Principles of Mgmt</v>
      </c>
    </row>
    <row r="93" spans="1:7" x14ac:dyDescent="0.25">
      <c r="A93" t="s">
        <v>3186</v>
      </c>
      <c r="B93" t="s">
        <v>95</v>
      </c>
      <c r="C93" t="s">
        <v>96</v>
      </c>
      <c r="D93" t="s">
        <v>2889</v>
      </c>
      <c r="E93">
        <v>1</v>
      </c>
      <c r="F93" t="s">
        <v>3187</v>
      </c>
      <c r="G93" t="str">
        <f t="shared" si="1"/>
        <v>Marketing</v>
      </c>
    </row>
    <row r="94" spans="1:7" x14ac:dyDescent="0.25">
      <c r="A94" t="s">
        <v>3188</v>
      </c>
      <c r="B94" t="s">
        <v>95</v>
      </c>
      <c r="C94" t="s">
        <v>96</v>
      </c>
      <c r="D94" t="s">
        <v>2889</v>
      </c>
      <c r="E94">
        <v>1</v>
      </c>
      <c r="F94" t="s">
        <v>3189</v>
      </c>
      <c r="G94" t="str">
        <f t="shared" si="1"/>
        <v>Finance</v>
      </c>
    </row>
    <row r="95" spans="1:7" x14ac:dyDescent="0.25">
      <c r="A95" t="s">
        <v>3190</v>
      </c>
      <c r="B95" t="s">
        <v>95</v>
      </c>
      <c r="C95" t="s">
        <v>96</v>
      </c>
      <c r="D95" t="s">
        <v>2889</v>
      </c>
      <c r="E95">
        <v>1</v>
      </c>
      <c r="F95" t="s">
        <v>3191</v>
      </c>
      <c r="G95" t="str">
        <f t="shared" si="1"/>
        <v>HRM</v>
      </c>
    </row>
    <row r="96" spans="1:7" x14ac:dyDescent="0.25">
      <c r="A96" t="s">
        <v>3192</v>
      </c>
      <c r="B96" t="s">
        <v>95</v>
      </c>
      <c r="C96" t="s">
        <v>96</v>
      </c>
      <c r="D96" t="s">
        <v>2889</v>
      </c>
      <c r="E96">
        <v>1</v>
      </c>
      <c r="F96" t="s">
        <v>3193</v>
      </c>
      <c r="G96" t="str">
        <f t="shared" si="1"/>
        <v>Operations</v>
      </c>
    </row>
    <row r="97" spans="1:7" x14ac:dyDescent="0.25">
      <c r="A97" t="s">
        <v>3194</v>
      </c>
      <c r="B97" t="s">
        <v>95</v>
      </c>
      <c r="C97" t="s">
        <v>96</v>
      </c>
      <c r="D97" t="s">
        <v>2889</v>
      </c>
      <c r="E97">
        <v>2</v>
      </c>
      <c r="F97" t="s">
        <v>3195</v>
      </c>
      <c r="G97" t="str">
        <f t="shared" si="1"/>
        <v>Principles of Mgmt</v>
      </c>
    </row>
    <row r="98" spans="1:7" x14ac:dyDescent="0.25">
      <c r="A98" t="s">
        <v>3196</v>
      </c>
      <c r="B98" t="s">
        <v>95</v>
      </c>
      <c r="C98" t="s">
        <v>96</v>
      </c>
      <c r="D98" t="s">
        <v>2889</v>
      </c>
      <c r="E98">
        <v>2</v>
      </c>
      <c r="F98" t="s">
        <v>3197</v>
      </c>
      <c r="G98" t="str">
        <f t="shared" si="1"/>
        <v>Marketing</v>
      </c>
    </row>
    <row r="99" spans="1:7" x14ac:dyDescent="0.25">
      <c r="A99" t="s">
        <v>3198</v>
      </c>
      <c r="B99" t="s">
        <v>95</v>
      </c>
      <c r="C99" t="s">
        <v>96</v>
      </c>
      <c r="D99" t="s">
        <v>2889</v>
      </c>
      <c r="E99">
        <v>2</v>
      </c>
      <c r="F99" t="s">
        <v>3199</v>
      </c>
      <c r="G99" t="str">
        <f t="shared" si="1"/>
        <v>Finance</v>
      </c>
    </row>
    <row r="100" spans="1:7" x14ac:dyDescent="0.25">
      <c r="A100" t="s">
        <v>3200</v>
      </c>
      <c r="B100" t="s">
        <v>95</v>
      </c>
      <c r="C100" t="s">
        <v>96</v>
      </c>
      <c r="D100" t="s">
        <v>2889</v>
      </c>
      <c r="E100">
        <v>2</v>
      </c>
      <c r="F100" t="s">
        <v>3201</v>
      </c>
      <c r="G100" t="str">
        <f t="shared" si="1"/>
        <v>HRM</v>
      </c>
    </row>
    <row r="101" spans="1:7" x14ac:dyDescent="0.25">
      <c r="A101" t="s">
        <v>3202</v>
      </c>
      <c r="B101" t="s">
        <v>95</v>
      </c>
      <c r="C101" t="s">
        <v>96</v>
      </c>
      <c r="D101" t="s">
        <v>2889</v>
      </c>
      <c r="E101">
        <v>2</v>
      </c>
      <c r="F101" t="s">
        <v>3203</v>
      </c>
      <c r="G101" t="str">
        <f t="shared" si="1"/>
        <v>Operations</v>
      </c>
    </row>
    <row r="102" spans="1:7" x14ac:dyDescent="0.25">
      <c r="A102" t="s">
        <v>3204</v>
      </c>
      <c r="B102" t="s">
        <v>95</v>
      </c>
      <c r="C102" t="s">
        <v>96</v>
      </c>
      <c r="D102" t="s">
        <v>2889</v>
      </c>
      <c r="E102">
        <v>3</v>
      </c>
      <c r="F102" t="s">
        <v>3205</v>
      </c>
      <c r="G102" t="str">
        <f t="shared" si="1"/>
        <v>Principles of Mgmt</v>
      </c>
    </row>
    <row r="103" spans="1:7" x14ac:dyDescent="0.25">
      <c r="A103" t="s">
        <v>3206</v>
      </c>
      <c r="B103" t="s">
        <v>95</v>
      </c>
      <c r="C103" t="s">
        <v>96</v>
      </c>
      <c r="D103" t="s">
        <v>2889</v>
      </c>
      <c r="E103">
        <v>3</v>
      </c>
      <c r="F103" t="s">
        <v>3207</v>
      </c>
      <c r="G103" t="str">
        <f t="shared" si="1"/>
        <v>Marketing</v>
      </c>
    </row>
    <row r="104" spans="1:7" x14ac:dyDescent="0.25">
      <c r="A104" t="s">
        <v>3208</v>
      </c>
      <c r="B104" t="s">
        <v>95</v>
      </c>
      <c r="C104" t="s">
        <v>96</v>
      </c>
      <c r="D104" t="s">
        <v>2889</v>
      </c>
      <c r="E104">
        <v>3</v>
      </c>
      <c r="F104" t="s">
        <v>3209</v>
      </c>
      <c r="G104" t="str">
        <f t="shared" si="1"/>
        <v>Finance</v>
      </c>
    </row>
    <row r="105" spans="1:7" x14ac:dyDescent="0.25">
      <c r="A105" t="s">
        <v>3210</v>
      </c>
      <c r="B105" t="s">
        <v>95</v>
      </c>
      <c r="C105" t="s">
        <v>96</v>
      </c>
      <c r="D105" t="s">
        <v>2889</v>
      </c>
      <c r="E105">
        <v>3</v>
      </c>
      <c r="F105" t="s">
        <v>3211</v>
      </c>
      <c r="G105" t="str">
        <f t="shared" si="1"/>
        <v>HRM</v>
      </c>
    </row>
    <row r="106" spans="1:7" x14ac:dyDescent="0.25">
      <c r="A106" t="s">
        <v>3212</v>
      </c>
      <c r="B106" t="s">
        <v>95</v>
      </c>
      <c r="C106" t="s">
        <v>96</v>
      </c>
      <c r="D106" t="s">
        <v>2889</v>
      </c>
      <c r="E106">
        <v>3</v>
      </c>
      <c r="F106" t="s">
        <v>3213</v>
      </c>
      <c r="G106" t="str">
        <f t="shared" si="1"/>
        <v>Operations</v>
      </c>
    </row>
    <row r="107" spans="1:7" x14ac:dyDescent="0.25">
      <c r="A107" t="s">
        <v>3214</v>
      </c>
      <c r="B107" t="s">
        <v>95</v>
      </c>
      <c r="C107" t="s">
        <v>96</v>
      </c>
      <c r="D107" t="s">
        <v>2889</v>
      </c>
      <c r="E107">
        <v>4</v>
      </c>
      <c r="F107" t="s">
        <v>3215</v>
      </c>
      <c r="G107" t="str">
        <f t="shared" si="1"/>
        <v>Principles of Mgmt</v>
      </c>
    </row>
    <row r="108" spans="1:7" x14ac:dyDescent="0.25">
      <c r="A108" t="s">
        <v>3216</v>
      </c>
      <c r="B108" t="s">
        <v>95</v>
      </c>
      <c r="C108" t="s">
        <v>96</v>
      </c>
      <c r="D108" t="s">
        <v>2889</v>
      </c>
      <c r="E108">
        <v>4</v>
      </c>
      <c r="F108" t="s">
        <v>3217</v>
      </c>
      <c r="G108" t="str">
        <f t="shared" si="1"/>
        <v>Marketing</v>
      </c>
    </row>
    <row r="109" spans="1:7" x14ac:dyDescent="0.25">
      <c r="A109" t="s">
        <v>3218</v>
      </c>
      <c r="B109" t="s">
        <v>95</v>
      </c>
      <c r="C109" t="s">
        <v>96</v>
      </c>
      <c r="D109" t="s">
        <v>2889</v>
      </c>
      <c r="E109">
        <v>4</v>
      </c>
      <c r="F109" t="s">
        <v>3219</v>
      </c>
      <c r="G109" t="str">
        <f t="shared" si="1"/>
        <v>Finance</v>
      </c>
    </row>
    <row r="110" spans="1:7" x14ac:dyDescent="0.25">
      <c r="A110" t="s">
        <v>3220</v>
      </c>
      <c r="B110" t="s">
        <v>95</v>
      </c>
      <c r="C110" t="s">
        <v>96</v>
      </c>
      <c r="D110" t="s">
        <v>2889</v>
      </c>
      <c r="E110">
        <v>4</v>
      </c>
      <c r="F110" t="s">
        <v>3221</v>
      </c>
      <c r="G110" t="str">
        <f t="shared" si="1"/>
        <v>HRM</v>
      </c>
    </row>
    <row r="111" spans="1:7" x14ac:dyDescent="0.25">
      <c r="A111" t="s">
        <v>3222</v>
      </c>
      <c r="B111" t="s">
        <v>95</v>
      </c>
      <c r="C111" t="s">
        <v>96</v>
      </c>
      <c r="D111" t="s">
        <v>2889</v>
      </c>
      <c r="E111">
        <v>4</v>
      </c>
      <c r="F111" t="s">
        <v>3223</v>
      </c>
      <c r="G111" t="str">
        <f t="shared" si="1"/>
        <v>Operations</v>
      </c>
    </row>
    <row r="112" spans="1:7" x14ac:dyDescent="0.25">
      <c r="A112" t="s">
        <v>3224</v>
      </c>
      <c r="B112" t="s">
        <v>95</v>
      </c>
      <c r="C112" t="s">
        <v>96</v>
      </c>
      <c r="D112" t="s">
        <v>2889</v>
      </c>
      <c r="E112">
        <v>5</v>
      </c>
      <c r="F112" t="s">
        <v>3225</v>
      </c>
      <c r="G112" t="str">
        <f t="shared" si="1"/>
        <v>Principles of Mgmt</v>
      </c>
    </row>
    <row r="113" spans="1:7" x14ac:dyDescent="0.25">
      <c r="A113" t="s">
        <v>3226</v>
      </c>
      <c r="B113" t="s">
        <v>95</v>
      </c>
      <c r="C113" t="s">
        <v>96</v>
      </c>
      <c r="D113" t="s">
        <v>2889</v>
      </c>
      <c r="E113">
        <v>5</v>
      </c>
      <c r="F113" t="s">
        <v>3227</v>
      </c>
      <c r="G113" t="str">
        <f t="shared" si="1"/>
        <v>Marketing</v>
      </c>
    </row>
    <row r="114" spans="1:7" x14ac:dyDescent="0.25">
      <c r="A114" t="s">
        <v>3228</v>
      </c>
      <c r="B114" t="s">
        <v>95</v>
      </c>
      <c r="C114" t="s">
        <v>96</v>
      </c>
      <c r="D114" t="s">
        <v>2889</v>
      </c>
      <c r="E114">
        <v>5</v>
      </c>
      <c r="F114" t="s">
        <v>3229</v>
      </c>
      <c r="G114" t="str">
        <f t="shared" si="1"/>
        <v>Finance</v>
      </c>
    </row>
    <row r="115" spans="1:7" x14ac:dyDescent="0.25">
      <c r="A115" t="s">
        <v>3230</v>
      </c>
      <c r="B115" t="s">
        <v>95</v>
      </c>
      <c r="C115" t="s">
        <v>96</v>
      </c>
      <c r="D115" t="s">
        <v>2889</v>
      </c>
      <c r="E115">
        <v>5</v>
      </c>
      <c r="F115" t="s">
        <v>3231</v>
      </c>
      <c r="G115" t="str">
        <f t="shared" si="1"/>
        <v>HRM</v>
      </c>
    </row>
    <row r="116" spans="1:7" x14ac:dyDescent="0.25">
      <c r="A116" t="s">
        <v>3232</v>
      </c>
      <c r="B116" t="s">
        <v>95</v>
      </c>
      <c r="C116" t="s">
        <v>96</v>
      </c>
      <c r="D116" t="s">
        <v>2889</v>
      </c>
      <c r="E116">
        <v>5</v>
      </c>
      <c r="F116" t="s">
        <v>3233</v>
      </c>
      <c r="G116" t="str">
        <f t="shared" si="1"/>
        <v>Operations</v>
      </c>
    </row>
    <row r="117" spans="1:7" x14ac:dyDescent="0.25">
      <c r="A117" t="s">
        <v>3234</v>
      </c>
      <c r="B117" t="s">
        <v>95</v>
      </c>
      <c r="C117" t="s">
        <v>96</v>
      </c>
      <c r="D117" t="s">
        <v>2889</v>
      </c>
      <c r="E117">
        <v>6</v>
      </c>
      <c r="F117" t="s">
        <v>3235</v>
      </c>
      <c r="G117" t="str">
        <f t="shared" si="1"/>
        <v>Principles of Mgmt</v>
      </c>
    </row>
    <row r="118" spans="1:7" x14ac:dyDescent="0.25">
      <c r="A118" t="s">
        <v>3236</v>
      </c>
      <c r="B118" t="s">
        <v>95</v>
      </c>
      <c r="C118" t="s">
        <v>96</v>
      </c>
      <c r="D118" t="s">
        <v>2889</v>
      </c>
      <c r="E118">
        <v>6</v>
      </c>
      <c r="F118" t="s">
        <v>3237</v>
      </c>
      <c r="G118" t="str">
        <f t="shared" si="1"/>
        <v>Marketing</v>
      </c>
    </row>
    <row r="119" spans="1:7" x14ac:dyDescent="0.25">
      <c r="A119" t="s">
        <v>3238</v>
      </c>
      <c r="B119" t="s">
        <v>95</v>
      </c>
      <c r="C119" t="s">
        <v>96</v>
      </c>
      <c r="D119" t="s">
        <v>2889</v>
      </c>
      <c r="E119">
        <v>6</v>
      </c>
      <c r="F119" t="s">
        <v>3239</v>
      </c>
      <c r="G119" t="str">
        <f t="shared" si="1"/>
        <v>Finance</v>
      </c>
    </row>
    <row r="120" spans="1:7" x14ac:dyDescent="0.25">
      <c r="A120" t="s">
        <v>3240</v>
      </c>
      <c r="B120" t="s">
        <v>95</v>
      </c>
      <c r="C120" t="s">
        <v>96</v>
      </c>
      <c r="D120" t="s">
        <v>2889</v>
      </c>
      <c r="E120">
        <v>6</v>
      </c>
      <c r="F120" t="s">
        <v>3241</v>
      </c>
      <c r="G120" t="str">
        <f t="shared" si="1"/>
        <v>HRM</v>
      </c>
    </row>
    <row r="121" spans="1:7" x14ac:dyDescent="0.25">
      <c r="A121" t="s">
        <v>3242</v>
      </c>
      <c r="B121" t="s">
        <v>95</v>
      </c>
      <c r="C121" t="s">
        <v>96</v>
      </c>
      <c r="D121" t="s">
        <v>2889</v>
      </c>
      <c r="E121">
        <v>6</v>
      </c>
      <c r="F121" t="s">
        <v>3243</v>
      </c>
      <c r="G121" t="str">
        <f t="shared" si="1"/>
        <v>Operations</v>
      </c>
    </row>
    <row r="122" spans="1:7" x14ac:dyDescent="0.25">
      <c r="A122" t="s">
        <v>3244</v>
      </c>
      <c r="B122" t="s">
        <v>122</v>
      </c>
      <c r="C122" t="s">
        <v>123</v>
      </c>
      <c r="D122" t="s">
        <v>2919</v>
      </c>
      <c r="E122">
        <v>1</v>
      </c>
      <c r="F122" t="s">
        <v>3245</v>
      </c>
      <c r="G122" t="str">
        <f t="shared" si="1"/>
        <v>Thermodynamics</v>
      </c>
    </row>
    <row r="123" spans="1:7" x14ac:dyDescent="0.25">
      <c r="A123" t="s">
        <v>3246</v>
      </c>
      <c r="B123" t="s">
        <v>122</v>
      </c>
      <c r="C123" t="s">
        <v>123</v>
      </c>
      <c r="D123" t="s">
        <v>2919</v>
      </c>
      <c r="E123">
        <v>1</v>
      </c>
      <c r="F123" t="s">
        <v>3247</v>
      </c>
      <c r="G123" t="str">
        <f t="shared" si="1"/>
        <v>Fluid Mechanics</v>
      </c>
    </row>
    <row r="124" spans="1:7" x14ac:dyDescent="0.25">
      <c r="A124" t="s">
        <v>3248</v>
      </c>
      <c r="B124" t="s">
        <v>122</v>
      </c>
      <c r="C124" t="s">
        <v>123</v>
      </c>
      <c r="D124" t="s">
        <v>2919</v>
      </c>
      <c r="E124">
        <v>1</v>
      </c>
      <c r="F124" t="s">
        <v>3249</v>
      </c>
      <c r="G124" t="str">
        <f t="shared" si="1"/>
        <v>Machine Design</v>
      </c>
    </row>
    <row r="125" spans="1:7" x14ac:dyDescent="0.25">
      <c r="A125" t="s">
        <v>3250</v>
      </c>
      <c r="B125" t="s">
        <v>122</v>
      </c>
      <c r="C125" t="s">
        <v>123</v>
      </c>
      <c r="D125" t="s">
        <v>2919</v>
      </c>
      <c r="E125">
        <v>1</v>
      </c>
      <c r="F125" t="s">
        <v>3251</v>
      </c>
      <c r="G125" t="str">
        <f t="shared" si="1"/>
        <v>Manufacturing</v>
      </c>
    </row>
    <row r="126" spans="1:7" x14ac:dyDescent="0.25">
      <c r="A126" t="s">
        <v>3252</v>
      </c>
      <c r="B126" t="s">
        <v>122</v>
      </c>
      <c r="C126" t="s">
        <v>123</v>
      </c>
      <c r="D126" t="s">
        <v>2919</v>
      </c>
      <c r="E126">
        <v>1</v>
      </c>
      <c r="F126" t="s">
        <v>3253</v>
      </c>
      <c r="G126" t="str">
        <f t="shared" si="1"/>
        <v>Kinematics</v>
      </c>
    </row>
    <row r="127" spans="1:7" x14ac:dyDescent="0.25">
      <c r="A127" t="s">
        <v>3254</v>
      </c>
      <c r="B127" t="s">
        <v>122</v>
      </c>
      <c r="C127" t="s">
        <v>123</v>
      </c>
      <c r="D127" t="s">
        <v>2919</v>
      </c>
      <c r="E127">
        <v>2</v>
      </c>
      <c r="F127" t="s">
        <v>3255</v>
      </c>
      <c r="G127" t="str">
        <f t="shared" si="1"/>
        <v>Thermodynamics</v>
      </c>
    </row>
    <row r="128" spans="1:7" x14ac:dyDescent="0.25">
      <c r="A128" t="s">
        <v>3256</v>
      </c>
      <c r="B128" t="s">
        <v>122</v>
      </c>
      <c r="C128" t="s">
        <v>123</v>
      </c>
      <c r="D128" t="s">
        <v>2919</v>
      </c>
      <c r="E128">
        <v>2</v>
      </c>
      <c r="F128" t="s">
        <v>3257</v>
      </c>
      <c r="G128" t="str">
        <f t="shared" si="1"/>
        <v>Fluid Mechanics</v>
      </c>
    </row>
    <row r="129" spans="1:7" x14ac:dyDescent="0.25">
      <c r="A129" t="s">
        <v>3258</v>
      </c>
      <c r="B129" t="s">
        <v>122</v>
      </c>
      <c r="C129" t="s">
        <v>123</v>
      </c>
      <c r="D129" t="s">
        <v>2919</v>
      </c>
      <c r="E129">
        <v>2</v>
      </c>
      <c r="F129" t="s">
        <v>3259</v>
      </c>
      <c r="G129" t="str">
        <f t="shared" si="1"/>
        <v>Machine Design</v>
      </c>
    </row>
    <row r="130" spans="1:7" x14ac:dyDescent="0.25">
      <c r="A130" t="s">
        <v>3260</v>
      </c>
      <c r="B130" t="s">
        <v>122</v>
      </c>
      <c r="C130" t="s">
        <v>123</v>
      </c>
      <c r="D130" t="s">
        <v>2919</v>
      </c>
      <c r="E130">
        <v>2</v>
      </c>
      <c r="F130" t="s">
        <v>3261</v>
      </c>
      <c r="G130" t="str">
        <f t="shared" si="1"/>
        <v>Manufacturing</v>
      </c>
    </row>
    <row r="131" spans="1:7" x14ac:dyDescent="0.25">
      <c r="A131" t="s">
        <v>3262</v>
      </c>
      <c r="B131" t="s">
        <v>122</v>
      </c>
      <c r="C131" t="s">
        <v>123</v>
      </c>
      <c r="D131" t="s">
        <v>2919</v>
      </c>
      <c r="E131">
        <v>2</v>
      </c>
      <c r="F131" t="s">
        <v>3263</v>
      </c>
      <c r="G131" t="str">
        <f t="shared" ref="G131:G194" si="2">LEFT(F131,LEN(F131)-2)</f>
        <v>Kinematics</v>
      </c>
    </row>
    <row r="132" spans="1:7" x14ac:dyDescent="0.25">
      <c r="A132" t="s">
        <v>3264</v>
      </c>
      <c r="B132" t="s">
        <v>122</v>
      </c>
      <c r="C132" t="s">
        <v>123</v>
      </c>
      <c r="D132" t="s">
        <v>2919</v>
      </c>
      <c r="E132">
        <v>3</v>
      </c>
      <c r="F132" t="s">
        <v>3265</v>
      </c>
      <c r="G132" t="str">
        <f t="shared" si="2"/>
        <v>Thermodynamics</v>
      </c>
    </row>
    <row r="133" spans="1:7" x14ac:dyDescent="0.25">
      <c r="A133" t="s">
        <v>3266</v>
      </c>
      <c r="B133" t="s">
        <v>122</v>
      </c>
      <c r="C133" t="s">
        <v>123</v>
      </c>
      <c r="D133" t="s">
        <v>2919</v>
      </c>
      <c r="E133">
        <v>3</v>
      </c>
      <c r="F133" t="s">
        <v>3267</v>
      </c>
      <c r="G133" t="str">
        <f t="shared" si="2"/>
        <v>Fluid Mechanics</v>
      </c>
    </row>
    <row r="134" spans="1:7" x14ac:dyDescent="0.25">
      <c r="A134" t="s">
        <v>3268</v>
      </c>
      <c r="B134" t="s">
        <v>122</v>
      </c>
      <c r="C134" t="s">
        <v>123</v>
      </c>
      <c r="D134" t="s">
        <v>2919</v>
      </c>
      <c r="E134">
        <v>3</v>
      </c>
      <c r="F134" t="s">
        <v>3269</v>
      </c>
      <c r="G134" t="str">
        <f t="shared" si="2"/>
        <v>Machine Design</v>
      </c>
    </row>
    <row r="135" spans="1:7" x14ac:dyDescent="0.25">
      <c r="A135" t="s">
        <v>3270</v>
      </c>
      <c r="B135" t="s">
        <v>122</v>
      </c>
      <c r="C135" t="s">
        <v>123</v>
      </c>
      <c r="D135" t="s">
        <v>2919</v>
      </c>
      <c r="E135">
        <v>3</v>
      </c>
      <c r="F135" t="s">
        <v>3271</v>
      </c>
      <c r="G135" t="str">
        <f t="shared" si="2"/>
        <v>Manufacturing</v>
      </c>
    </row>
    <row r="136" spans="1:7" x14ac:dyDescent="0.25">
      <c r="A136" t="s">
        <v>3272</v>
      </c>
      <c r="B136" t="s">
        <v>122</v>
      </c>
      <c r="C136" t="s">
        <v>123</v>
      </c>
      <c r="D136" t="s">
        <v>2919</v>
      </c>
      <c r="E136">
        <v>3</v>
      </c>
      <c r="F136" t="s">
        <v>3273</v>
      </c>
      <c r="G136" t="str">
        <f t="shared" si="2"/>
        <v>Kinematics</v>
      </c>
    </row>
    <row r="137" spans="1:7" x14ac:dyDescent="0.25">
      <c r="A137" t="s">
        <v>3274</v>
      </c>
      <c r="B137" t="s">
        <v>122</v>
      </c>
      <c r="C137" t="s">
        <v>123</v>
      </c>
      <c r="D137" t="s">
        <v>2919</v>
      </c>
      <c r="E137">
        <v>4</v>
      </c>
      <c r="F137" t="s">
        <v>3275</v>
      </c>
      <c r="G137" t="str">
        <f t="shared" si="2"/>
        <v>Thermodynamics</v>
      </c>
    </row>
    <row r="138" spans="1:7" x14ac:dyDescent="0.25">
      <c r="A138" t="s">
        <v>3276</v>
      </c>
      <c r="B138" t="s">
        <v>122</v>
      </c>
      <c r="C138" t="s">
        <v>123</v>
      </c>
      <c r="D138" t="s">
        <v>2919</v>
      </c>
      <c r="E138">
        <v>4</v>
      </c>
      <c r="F138" t="s">
        <v>3277</v>
      </c>
      <c r="G138" t="str">
        <f t="shared" si="2"/>
        <v>Fluid Mechanics</v>
      </c>
    </row>
    <row r="139" spans="1:7" x14ac:dyDescent="0.25">
      <c r="A139" t="s">
        <v>3278</v>
      </c>
      <c r="B139" t="s">
        <v>122</v>
      </c>
      <c r="C139" t="s">
        <v>123</v>
      </c>
      <c r="D139" t="s">
        <v>2919</v>
      </c>
      <c r="E139">
        <v>4</v>
      </c>
      <c r="F139" t="s">
        <v>3279</v>
      </c>
      <c r="G139" t="str">
        <f t="shared" si="2"/>
        <v>Machine Design</v>
      </c>
    </row>
    <row r="140" spans="1:7" x14ac:dyDescent="0.25">
      <c r="A140" t="s">
        <v>3280</v>
      </c>
      <c r="B140" t="s">
        <v>122</v>
      </c>
      <c r="C140" t="s">
        <v>123</v>
      </c>
      <c r="D140" t="s">
        <v>2919</v>
      </c>
      <c r="E140">
        <v>4</v>
      </c>
      <c r="F140" t="s">
        <v>3281</v>
      </c>
      <c r="G140" t="str">
        <f t="shared" si="2"/>
        <v>Manufacturing</v>
      </c>
    </row>
    <row r="141" spans="1:7" x14ac:dyDescent="0.25">
      <c r="A141" t="s">
        <v>3282</v>
      </c>
      <c r="B141" t="s">
        <v>122</v>
      </c>
      <c r="C141" t="s">
        <v>123</v>
      </c>
      <c r="D141" t="s">
        <v>2919</v>
      </c>
      <c r="E141">
        <v>4</v>
      </c>
      <c r="F141" t="s">
        <v>3283</v>
      </c>
      <c r="G141" t="str">
        <f t="shared" si="2"/>
        <v>Kinematics</v>
      </c>
    </row>
    <row r="142" spans="1:7" x14ac:dyDescent="0.25">
      <c r="A142" t="s">
        <v>3284</v>
      </c>
      <c r="B142" t="s">
        <v>122</v>
      </c>
      <c r="C142" t="s">
        <v>123</v>
      </c>
      <c r="D142" t="s">
        <v>2919</v>
      </c>
      <c r="E142">
        <v>5</v>
      </c>
      <c r="F142" t="s">
        <v>3285</v>
      </c>
      <c r="G142" t="str">
        <f t="shared" si="2"/>
        <v>Thermodynamics</v>
      </c>
    </row>
    <row r="143" spans="1:7" x14ac:dyDescent="0.25">
      <c r="A143" t="s">
        <v>3286</v>
      </c>
      <c r="B143" t="s">
        <v>122</v>
      </c>
      <c r="C143" t="s">
        <v>123</v>
      </c>
      <c r="D143" t="s">
        <v>2919</v>
      </c>
      <c r="E143">
        <v>5</v>
      </c>
      <c r="F143" t="s">
        <v>3287</v>
      </c>
      <c r="G143" t="str">
        <f t="shared" si="2"/>
        <v>Fluid Mechanics</v>
      </c>
    </row>
    <row r="144" spans="1:7" x14ac:dyDescent="0.25">
      <c r="A144" t="s">
        <v>3288</v>
      </c>
      <c r="B144" t="s">
        <v>122</v>
      </c>
      <c r="C144" t="s">
        <v>123</v>
      </c>
      <c r="D144" t="s">
        <v>2919</v>
      </c>
      <c r="E144">
        <v>5</v>
      </c>
      <c r="F144" t="s">
        <v>3289</v>
      </c>
      <c r="G144" t="str">
        <f t="shared" si="2"/>
        <v>Machine Design</v>
      </c>
    </row>
    <row r="145" spans="1:7" x14ac:dyDescent="0.25">
      <c r="A145" t="s">
        <v>3290</v>
      </c>
      <c r="B145" t="s">
        <v>122</v>
      </c>
      <c r="C145" t="s">
        <v>123</v>
      </c>
      <c r="D145" t="s">
        <v>2919</v>
      </c>
      <c r="E145">
        <v>5</v>
      </c>
      <c r="F145" t="s">
        <v>3291</v>
      </c>
      <c r="G145" t="str">
        <f t="shared" si="2"/>
        <v>Manufacturing</v>
      </c>
    </row>
    <row r="146" spans="1:7" x14ac:dyDescent="0.25">
      <c r="A146" t="s">
        <v>3292</v>
      </c>
      <c r="B146" t="s">
        <v>122</v>
      </c>
      <c r="C146" t="s">
        <v>123</v>
      </c>
      <c r="D146" t="s">
        <v>2919</v>
      </c>
      <c r="E146">
        <v>5</v>
      </c>
      <c r="F146" t="s">
        <v>3293</v>
      </c>
      <c r="G146" t="str">
        <f t="shared" si="2"/>
        <v>Kinematics</v>
      </c>
    </row>
    <row r="147" spans="1:7" x14ac:dyDescent="0.25">
      <c r="A147" t="s">
        <v>3294</v>
      </c>
      <c r="B147" t="s">
        <v>122</v>
      </c>
      <c r="C147" t="s">
        <v>123</v>
      </c>
      <c r="D147" t="s">
        <v>2919</v>
      </c>
      <c r="E147">
        <v>6</v>
      </c>
      <c r="F147" t="s">
        <v>3295</v>
      </c>
      <c r="G147" t="str">
        <f t="shared" si="2"/>
        <v>Thermodynamics</v>
      </c>
    </row>
    <row r="148" spans="1:7" x14ac:dyDescent="0.25">
      <c r="A148" t="s">
        <v>3296</v>
      </c>
      <c r="B148" t="s">
        <v>122</v>
      </c>
      <c r="C148" t="s">
        <v>123</v>
      </c>
      <c r="D148" t="s">
        <v>2919</v>
      </c>
      <c r="E148">
        <v>6</v>
      </c>
      <c r="F148" t="s">
        <v>3297</v>
      </c>
      <c r="G148" t="str">
        <f t="shared" si="2"/>
        <v>Fluid Mechanics</v>
      </c>
    </row>
    <row r="149" spans="1:7" x14ac:dyDescent="0.25">
      <c r="A149" t="s">
        <v>3298</v>
      </c>
      <c r="B149" t="s">
        <v>122</v>
      </c>
      <c r="C149" t="s">
        <v>123</v>
      </c>
      <c r="D149" t="s">
        <v>2919</v>
      </c>
      <c r="E149">
        <v>6</v>
      </c>
      <c r="F149" t="s">
        <v>3299</v>
      </c>
      <c r="G149" t="str">
        <f t="shared" si="2"/>
        <v>Machine Design</v>
      </c>
    </row>
    <row r="150" spans="1:7" x14ac:dyDescent="0.25">
      <c r="A150" t="s">
        <v>3300</v>
      </c>
      <c r="B150" t="s">
        <v>122</v>
      </c>
      <c r="C150" t="s">
        <v>123</v>
      </c>
      <c r="D150" t="s">
        <v>2919</v>
      </c>
      <c r="E150">
        <v>6</v>
      </c>
      <c r="F150" t="s">
        <v>3301</v>
      </c>
      <c r="G150" t="str">
        <f t="shared" si="2"/>
        <v>Manufacturing</v>
      </c>
    </row>
    <row r="151" spans="1:7" x14ac:dyDescent="0.25">
      <c r="A151" t="s">
        <v>3302</v>
      </c>
      <c r="B151" t="s">
        <v>122</v>
      </c>
      <c r="C151" t="s">
        <v>123</v>
      </c>
      <c r="D151" t="s">
        <v>2919</v>
      </c>
      <c r="E151">
        <v>6</v>
      </c>
      <c r="F151" t="s">
        <v>3303</v>
      </c>
      <c r="G151" t="str">
        <f t="shared" si="2"/>
        <v>Kinematics</v>
      </c>
    </row>
    <row r="152" spans="1:7" x14ac:dyDescent="0.25">
      <c r="A152" t="s">
        <v>3304</v>
      </c>
      <c r="B152" t="s">
        <v>30</v>
      </c>
      <c r="C152" t="s">
        <v>31</v>
      </c>
      <c r="D152" t="s">
        <v>2895</v>
      </c>
      <c r="E152">
        <v>1</v>
      </c>
      <c r="F152" t="s">
        <v>3305</v>
      </c>
      <c r="G152" t="str">
        <f t="shared" si="2"/>
        <v>Structural Analysis</v>
      </c>
    </row>
    <row r="153" spans="1:7" x14ac:dyDescent="0.25">
      <c r="A153" t="s">
        <v>3306</v>
      </c>
      <c r="B153" t="s">
        <v>30</v>
      </c>
      <c r="C153" t="s">
        <v>31</v>
      </c>
      <c r="D153" t="s">
        <v>2895</v>
      </c>
      <c r="E153">
        <v>1</v>
      </c>
      <c r="F153" t="s">
        <v>3307</v>
      </c>
      <c r="G153" t="str">
        <f t="shared" si="2"/>
        <v>Surveying</v>
      </c>
    </row>
    <row r="154" spans="1:7" x14ac:dyDescent="0.25">
      <c r="A154" t="s">
        <v>3308</v>
      </c>
      <c r="B154" t="s">
        <v>30</v>
      </c>
      <c r="C154" t="s">
        <v>31</v>
      </c>
      <c r="D154" t="s">
        <v>2895</v>
      </c>
      <c r="E154">
        <v>1</v>
      </c>
      <c r="F154" t="s">
        <v>3309</v>
      </c>
      <c r="G154" t="str">
        <f t="shared" si="2"/>
        <v>Geotechnical</v>
      </c>
    </row>
    <row r="155" spans="1:7" x14ac:dyDescent="0.25">
      <c r="A155" t="s">
        <v>3310</v>
      </c>
      <c r="B155" t="s">
        <v>30</v>
      </c>
      <c r="C155" t="s">
        <v>31</v>
      </c>
      <c r="D155" t="s">
        <v>2895</v>
      </c>
      <c r="E155">
        <v>1</v>
      </c>
      <c r="F155" t="s">
        <v>3311</v>
      </c>
      <c r="G155" t="str">
        <f t="shared" si="2"/>
        <v>Hydraulics</v>
      </c>
    </row>
    <row r="156" spans="1:7" x14ac:dyDescent="0.25">
      <c r="A156" t="s">
        <v>3312</v>
      </c>
      <c r="B156" t="s">
        <v>30</v>
      </c>
      <c r="C156" t="s">
        <v>31</v>
      </c>
      <c r="D156" t="s">
        <v>2895</v>
      </c>
      <c r="E156">
        <v>1</v>
      </c>
      <c r="F156" t="s">
        <v>3313</v>
      </c>
      <c r="G156" t="str">
        <f t="shared" si="2"/>
        <v>Concrete Tech</v>
      </c>
    </row>
    <row r="157" spans="1:7" x14ac:dyDescent="0.25">
      <c r="A157" t="s">
        <v>3314</v>
      </c>
      <c r="B157" t="s">
        <v>30</v>
      </c>
      <c r="C157" t="s">
        <v>31</v>
      </c>
      <c r="D157" t="s">
        <v>2895</v>
      </c>
      <c r="E157">
        <v>2</v>
      </c>
      <c r="F157" t="s">
        <v>3315</v>
      </c>
      <c r="G157" t="str">
        <f t="shared" si="2"/>
        <v>Structural Analysis</v>
      </c>
    </row>
    <row r="158" spans="1:7" x14ac:dyDescent="0.25">
      <c r="A158" t="s">
        <v>3316</v>
      </c>
      <c r="B158" t="s">
        <v>30</v>
      </c>
      <c r="C158" t="s">
        <v>31</v>
      </c>
      <c r="D158" t="s">
        <v>2895</v>
      </c>
      <c r="E158">
        <v>2</v>
      </c>
      <c r="F158" t="s">
        <v>3317</v>
      </c>
      <c r="G158" t="str">
        <f t="shared" si="2"/>
        <v>Surveying</v>
      </c>
    </row>
    <row r="159" spans="1:7" x14ac:dyDescent="0.25">
      <c r="A159" t="s">
        <v>3318</v>
      </c>
      <c r="B159" t="s">
        <v>30</v>
      </c>
      <c r="C159" t="s">
        <v>31</v>
      </c>
      <c r="D159" t="s">
        <v>2895</v>
      </c>
      <c r="E159">
        <v>2</v>
      </c>
      <c r="F159" t="s">
        <v>3319</v>
      </c>
      <c r="G159" t="str">
        <f t="shared" si="2"/>
        <v>Geotechnical</v>
      </c>
    </row>
    <row r="160" spans="1:7" x14ac:dyDescent="0.25">
      <c r="A160" t="s">
        <v>3320</v>
      </c>
      <c r="B160" t="s">
        <v>30</v>
      </c>
      <c r="C160" t="s">
        <v>31</v>
      </c>
      <c r="D160" t="s">
        <v>2895</v>
      </c>
      <c r="E160">
        <v>2</v>
      </c>
      <c r="F160" t="s">
        <v>3321</v>
      </c>
      <c r="G160" t="str">
        <f t="shared" si="2"/>
        <v>Hydraulics</v>
      </c>
    </row>
    <row r="161" spans="1:7" x14ac:dyDescent="0.25">
      <c r="A161" t="s">
        <v>3322</v>
      </c>
      <c r="B161" t="s">
        <v>30</v>
      </c>
      <c r="C161" t="s">
        <v>31</v>
      </c>
      <c r="D161" t="s">
        <v>2895</v>
      </c>
      <c r="E161">
        <v>2</v>
      </c>
      <c r="F161" t="s">
        <v>3323</v>
      </c>
      <c r="G161" t="str">
        <f t="shared" si="2"/>
        <v>Concrete Tech</v>
      </c>
    </row>
    <row r="162" spans="1:7" x14ac:dyDescent="0.25">
      <c r="A162" t="s">
        <v>3324</v>
      </c>
      <c r="B162" t="s">
        <v>30</v>
      </c>
      <c r="C162" t="s">
        <v>31</v>
      </c>
      <c r="D162" t="s">
        <v>2895</v>
      </c>
      <c r="E162">
        <v>3</v>
      </c>
      <c r="F162" t="s">
        <v>3325</v>
      </c>
      <c r="G162" t="str">
        <f t="shared" si="2"/>
        <v>Structural Analysis</v>
      </c>
    </row>
    <row r="163" spans="1:7" x14ac:dyDescent="0.25">
      <c r="A163" t="s">
        <v>3326</v>
      </c>
      <c r="B163" t="s">
        <v>30</v>
      </c>
      <c r="C163" t="s">
        <v>31</v>
      </c>
      <c r="D163" t="s">
        <v>2895</v>
      </c>
      <c r="E163">
        <v>3</v>
      </c>
      <c r="F163" t="s">
        <v>3327</v>
      </c>
      <c r="G163" t="str">
        <f t="shared" si="2"/>
        <v>Surveying</v>
      </c>
    </row>
    <row r="164" spans="1:7" x14ac:dyDescent="0.25">
      <c r="A164" t="s">
        <v>3328</v>
      </c>
      <c r="B164" t="s">
        <v>30</v>
      </c>
      <c r="C164" t="s">
        <v>31</v>
      </c>
      <c r="D164" t="s">
        <v>2895</v>
      </c>
      <c r="E164">
        <v>3</v>
      </c>
      <c r="F164" t="s">
        <v>3329</v>
      </c>
      <c r="G164" t="str">
        <f t="shared" si="2"/>
        <v>Geotechnical</v>
      </c>
    </row>
    <row r="165" spans="1:7" x14ac:dyDescent="0.25">
      <c r="A165" t="s">
        <v>3330</v>
      </c>
      <c r="B165" t="s">
        <v>30</v>
      </c>
      <c r="C165" t="s">
        <v>31</v>
      </c>
      <c r="D165" t="s">
        <v>2895</v>
      </c>
      <c r="E165">
        <v>3</v>
      </c>
      <c r="F165" t="s">
        <v>3331</v>
      </c>
      <c r="G165" t="str">
        <f t="shared" si="2"/>
        <v>Hydraulics</v>
      </c>
    </row>
    <row r="166" spans="1:7" x14ac:dyDescent="0.25">
      <c r="A166" t="s">
        <v>3332</v>
      </c>
      <c r="B166" t="s">
        <v>30</v>
      </c>
      <c r="C166" t="s">
        <v>31</v>
      </c>
      <c r="D166" t="s">
        <v>2895</v>
      </c>
      <c r="E166">
        <v>3</v>
      </c>
      <c r="F166" t="s">
        <v>3333</v>
      </c>
      <c r="G166" t="str">
        <f t="shared" si="2"/>
        <v>Concrete Tech</v>
      </c>
    </row>
    <row r="167" spans="1:7" x14ac:dyDescent="0.25">
      <c r="A167" t="s">
        <v>3334</v>
      </c>
      <c r="B167" t="s">
        <v>30</v>
      </c>
      <c r="C167" t="s">
        <v>31</v>
      </c>
      <c r="D167" t="s">
        <v>2895</v>
      </c>
      <c r="E167">
        <v>4</v>
      </c>
      <c r="F167" t="s">
        <v>3335</v>
      </c>
      <c r="G167" t="str">
        <f t="shared" si="2"/>
        <v>Structural Analysis</v>
      </c>
    </row>
    <row r="168" spans="1:7" x14ac:dyDescent="0.25">
      <c r="A168" t="s">
        <v>3336</v>
      </c>
      <c r="B168" t="s">
        <v>30</v>
      </c>
      <c r="C168" t="s">
        <v>31</v>
      </c>
      <c r="D168" t="s">
        <v>2895</v>
      </c>
      <c r="E168">
        <v>4</v>
      </c>
      <c r="F168" t="s">
        <v>3337</v>
      </c>
      <c r="G168" t="str">
        <f t="shared" si="2"/>
        <v>Surveying</v>
      </c>
    </row>
    <row r="169" spans="1:7" x14ac:dyDescent="0.25">
      <c r="A169" t="s">
        <v>3338</v>
      </c>
      <c r="B169" t="s">
        <v>30</v>
      </c>
      <c r="C169" t="s">
        <v>31</v>
      </c>
      <c r="D169" t="s">
        <v>2895</v>
      </c>
      <c r="E169">
        <v>4</v>
      </c>
      <c r="F169" t="s">
        <v>3339</v>
      </c>
      <c r="G169" t="str">
        <f t="shared" si="2"/>
        <v>Geotechnical</v>
      </c>
    </row>
    <row r="170" spans="1:7" x14ac:dyDescent="0.25">
      <c r="A170" t="s">
        <v>3340</v>
      </c>
      <c r="B170" t="s">
        <v>30</v>
      </c>
      <c r="C170" t="s">
        <v>31</v>
      </c>
      <c r="D170" t="s">
        <v>2895</v>
      </c>
      <c r="E170">
        <v>4</v>
      </c>
      <c r="F170" t="s">
        <v>3341</v>
      </c>
      <c r="G170" t="str">
        <f t="shared" si="2"/>
        <v>Hydraulics</v>
      </c>
    </row>
    <row r="171" spans="1:7" x14ac:dyDescent="0.25">
      <c r="A171" t="s">
        <v>3342</v>
      </c>
      <c r="B171" t="s">
        <v>30</v>
      </c>
      <c r="C171" t="s">
        <v>31</v>
      </c>
      <c r="D171" t="s">
        <v>2895</v>
      </c>
      <c r="E171">
        <v>4</v>
      </c>
      <c r="F171" t="s">
        <v>3343</v>
      </c>
      <c r="G171" t="str">
        <f t="shared" si="2"/>
        <v>Concrete Tech</v>
      </c>
    </row>
    <row r="172" spans="1:7" x14ac:dyDescent="0.25">
      <c r="A172" t="s">
        <v>3344</v>
      </c>
      <c r="B172" t="s">
        <v>30</v>
      </c>
      <c r="C172" t="s">
        <v>31</v>
      </c>
      <c r="D172" t="s">
        <v>2895</v>
      </c>
      <c r="E172">
        <v>5</v>
      </c>
      <c r="F172" t="s">
        <v>3345</v>
      </c>
      <c r="G172" t="str">
        <f t="shared" si="2"/>
        <v>Structural Analysis</v>
      </c>
    </row>
    <row r="173" spans="1:7" x14ac:dyDescent="0.25">
      <c r="A173" t="s">
        <v>3346</v>
      </c>
      <c r="B173" t="s">
        <v>30</v>
      </c>
      <c r="C173" t="s">
        <v>31</v>
      </c>
      <c r="D173" t="s">
        <v>2895</v>
      </c>
      <c r="E173">
        <v>5</v>
      </c>
      <c r="F173" t="s">
        <v>3347</v>
      </c>
      <c r="G173" t="str">
        <f t="shared" si="2"/>
        <v>Surveying</v>
      </c>
    </row>
    <row r="174" spans="1:7" x14ac:dyDescent="0.25">
      <c r="A174" t="s">
        <v>3348</v>
      </c>
      <c r="B174" t="s">
        <v>30</v>
      </c>
      <c r="C174" t="s">
        <v>31</v>
      </c>
      <c r="D174" t="s">
        <v>2895</v>
      </c>
      <c r="E174">
        <v>5</v>
      </c>
      <c r="F174" t="s">
        <v>3349</v>
      </c>
      <c r="G174" t="str">
        <f t="shared" si="2"/>
        <v>Geotechnical</v>
      </c>
    </row>
    <row r="175" spans="1:7" x14ac:dyDescent="0.25">
      <c r="A175" t="s">
        <v>3350</v>
      </c>
      <c r="B175" t="s">
        <v>30</v>
      </c>
      <c r="C175" t="s">
        <v>31</v>
      </c>
      <c r="D175" t="s">
        <v>2895</v>
      </c>
      <c r="E175">
        <v>5</v>
      </c>
      <c r="F175" t="s">
        <v>3351</v>
      </c>
      <c r="G175" t="str">
        <f t="shared" si="2"/>
        <v>Hydraulics</v>
      </c>
    </row>
    <row r="176" spans="1:7" x14ac:dyDescent="0.25">
      <c r="A176" t="s">
        <v>3352</v>
      </c>
      <c r="B176" t="s">
        <v>30</v>
      </c>
      <c r="C176" t="s">
        <v>31</v>
      </c>
      <c r="D176" t="s">
        <v>2895</v>
      </c>
      <c r="E176">
        <v>5</v>
      </c>
      <c r="F176" t="s">
        <v>3353</v>
      </c>
      <c r="G176" t="str">
        <f t="shared" si="2"/>
        <v>Concrete Tech</v>
      </c>
    </row>
    <row r="177" spans="1:7" x14ac:dyDescent="0.25">
      <c r="A177" t="s">
        <v>3354</v>
      </c>
      <c r="B177" t="s">
        <v>30</v>
      </c>
      <c r="C177" t="s">
        <v>31</v>
      </c>
      <c r="D177" t="s">
        <v>2895</v>
      </c>
      <c r="E177">
        <v>6</v>
      </c>
      <c r="F177" t="s">
        <v>3355</v>
      </c>
      <c r="G177" t="str">
        <f t="shared" si="2"/>
        <v>Structural Analysis</v>
      </c>
    </row>
    <row r="178" spans="1:7" x14ac:dyDescent="0.25">
      <c r="A178" t="s">
        <v>3356</v>
      </c>
      <c r="B178" t="s">
        <v>30</v>
      </c>
      <c r="C178" t="s">
        <v>31</v>
      </c>
      <c r="D178" t="s">
        <v>2895</v>
      </c>
      <c r="E178">
        <v>6</v>
      </c>
      <c r="F178" t="s">
        <v>3357</v>
      </c>
      <c r="G178" t="str">
        <f t="shared" si="2"/>
        <v>Surveying</v>
      </c>
    </row>
    <row r="179" spans="1:7" x14ac:dyDescent="0.25">
      <c r="A179" t="s">
        <v>3358</v>
      </c>
      <c r="B179" t="s">
        <v>30</v>
      </c>
      <c r="C179" t="s">
        <v>31</v>
      </c>
      <c r="D179" t="s">
        <v>2895</v>
      </c>
      <c r="E179">
        <v>6</v>
      </c>
      <c r="F179" t="s">
        <v>3359</v>
      </c>
      <c r="G179" t="str">
        <f t="shared" si="2"/>
        <v>Geotechnical</v>
      </c>
    </row>
    <row r="180" spans="1:7" x14ac:dyDescent="0.25">
      <c r="A180" t="s">
        <v>3360</v>
      </c>
      <c r="B180" t="s">
        <v>30</v>
      </c>
      <c r="C180" t="s">
        <v>31</v>
      </c>
      <c r="D180" t="s">
        <v>2895</v>
      </c>
      <c r="E180">
        <v>6</v>
      </c>
      <c r="F180" t="s">
        <v>3361</v>
      </c>
      <c r="G180" t="str">
        <f t="shared" si="2"/>
        <v>Hydraulics</v>
      </c>
    </row>
    <row r="181" spans="1:7" x14ac:dyDescent="0.25">
      <c r="A181" t="s">
        <v>3362</v>
      </c>
      <c r="B181" t="s">
        <v>30</v>
      </c>
      <c r="C181" t="s">
        <v>31</v>
      </c>
      <c r="D181" t="s">
        <v>2895</v>
      </c>
      <c r="E181">
        <v>6</v>
      </c>
      <c r="F181" t="s">
        <v>3363</v>
      </c>
      <c r="G181" t="str">
        <f t="shared" si="2"/>
        <v>Concrete Tech</v>
      </c>
    </row>
    <row r="182" spans="1:7" x14ac:dyDescent="0.25">
      <c r="A182" t="s">
        <v>3364</v>
      </c>
      <c r="B182" t="s">
        <v>63</v>
      </c>
      <c r="C182" t="s">
        <v>64</v>
      </c>
      <c r="D182" t="s">
        <v>2932</v>
      </c>
      <c r="E182">
        <v>1</v>
      </c>
      <c r="F182" t="s">
        <v>3365</v>
      </c>
      <c r="G182" t="str">
        <f t="shared" si="2"/>
        <v>Mechanics</v>
      </c>
    </row>
    <row r="183" spans="1:7" x14ac:dyDescent="0.25">
      <c r="A183" t="s">
        <v>3366</v>
      </c>
      <c r="B183" t="s">
        <v>63</v>
      </c>
      <c r="C183" t="s">
        <v>64</v>
      </c>
      <c r="D183" t="s">
        <v>2932</v>
      </c>
      <c r="E183">
        <v>1</v>
      </c>
      <c r="F183" t="s">
        <v>3367</v>
      </c>
      <c r="G183" t="str">
        <f t="shared" si="2"/>
        <v>Electrodynamics</v>
      </c>
    </row>
    <row r="184" spans="1:7" x14ac:dyDescent="0.25">
      <c r="A184" t="s">
        <v>3368</v>
      </c>
      <c r="B184" t="s">
        <v>63</v>
      </c>
      <c r="C184" t="s">
        <v>64</v>
      </c>
      <c r="D184" t="s">
        <v>2932</v>
      </c>
      <c r="E184">
        <v>1</v>
      </c>
      <c r="F184" t="s">
        <v>3369</v>
      </c>
      <c r="G184" t="str">
        <f t="shared" si="2"/>
        <v>Quantum Physics</v>
      </c>
    </row>
    <row r="185" spans="1:7" x14ac:dyDescent="0.25">
      <c r="A185" t="s">
        <v>3370</v>
      </c>
      <c r="B185" t="s">
        <v>63</v>
      </c>
      <c r="C185" t="s">
        <v>64</v>
      </c>
      <c r="D185" t="s">
        <v>2932</v>
      </c>
      <c r="E185">
        <v>1</v>
      </c>
      <c r="F185" t="s">
        <v>3371</v>
      </c>
      <c r="G185" t="str">
        <f t="shared" si="2"/>
        <v>Thermal Physics</v>
      </c>
    </row>
    <row r="186" spans="1:7" x14ac:dyDescent="0.25">
      <c r="A186" t="s">
        <v>3372</v>
      </c>
      <c r="B186" t="s">
        <v>63</v>
      </c>
      <c r="C186" t="s">
        <v>64</v>
      </c>
      <c r="D186" t="s">
        <v>2932</v>
      </c>
      <c r="E186">
        <v>1</v>
      </c>
      <c r="F186" t="s">
        <v>3373</v>
      </c>
      <c r="G186" t="str">
        <f t="shared" si="2"/>
        <v>Solid State</v>
      </c>
    </row>
    <row r="187" spans="1:7" x14ac:dyDescent="0.25">
      <c r="A187" t="s">
        <v>3374</v>
      </c>
      <c r="B187" t="s">
        <v>63</v>
      </c>
      <c r="C187" t="s">
        <v>64</v>
      </c>
      <c r="D187" t="s">
        <v>2932</v>
      </c>
      <c r="E187">
        <v>2</v>
      </c>
      <c r="F187" t="s">
        <v>3375</v>
      </c>
      <c r="G187" t="str">
        <f t="shared" si="2"/>
        <v>Mechanics</v>
      </c>
    </row>
    <row r="188" spans="1:7" x14ac:dyDescent="0.25">
      <c r="A188" t="s">
        <v>3376</v>
      </c>
      <c r="B188" t="s">
        <v>63</v>
      </c>
      <c r="C188" t="s">
        <v>64</v>
      </c>
      <c r="D188" t="s">
        <v>2932</v>
      </c>
      <c r="E188">
        <v>2</v>
      </c>
      <c r="F188" t="s">
        <v>3377</v>
      </c>
      <c r="G188" t="str">
        <f t="shared" si="2"/>
        <v>Electrodynamics</v>
      </c>
    </row>
    <row r="189" spans="1:7" x14ac:dyDescent="0.25">
      <c r="A189" t="s">
        <v>3378</v>
      </c>
      <c r="B189" t="s">
        <v>63</v>
      </c>
      <c r="C189" t="s">
        <v>64</v>
      </c>
      <c r="D189" t="s">
        <v>2932</v>
      </c>
      <c r="E189">
        <v>2</v>
      </c>
      <c r="F189" t="s">
        <v>3379</v>
      </c>
      <c r="G189" t="str">
        <f t="shared" si="2"/>
        <v>Quantum Physics</v>
      </c>
    </row>
    <row r="190" spans="1:7" x14ac:dyDescent="0.25">
      <c r="A190" t="s">
        <v>3380</v>
      </c>
      <c r="B190" t="s">
        <v>63</v>
      </c>
      <c r="C190" t="s">
        <v>64</v>
      </c>
      <c r="D190" t="s">
        <v>2932</v>
      </c>
      <c r="E190">
        <v>2</v>
      </c>
      <c r="F190" t="s">
        <v>3381</v>
      </c>
      <c r="G190" t="str">
        <f t="shared" si="2"/>
        <v>Thermal Physics</v>
      </c>
    </row>
    <row r="191" spans="1:7" x14ac:dyDescent="0.25">
      <c r="A191" t="s">
        <v>3382</v>
      </c>
      <c r="B191" t="s">
        <v>63</v>
      </c>
      <c r="C191" t="s">
        <v>64</v>
      </c>
      <c r="D191" t="s">
        <v>2932</v>
      </c>
      <c r="E191">
        <v>2</v>
      </c>
      <c r="F191" t="s">
        <v>3383</v>
      </c>
      <c r="G191" t="str">
        <f t="shared" si="2"/>
        <v>Solid State</v>
      </c>
    </row>
    <row r="192" spans="1:7" x14ac:dyDescent="0.25">
      <c r="A192" t="s">
        <v>3384</v>
      </c>
      <c r="B192" t="s">
        <v>63</v>
      </c>
      <c r="C192" t="s">
        <v>64</v>
      </c>
      <c r="D192" t="s">
        <v>2932</v>
      </c>
      <c r="E192">
        <v>3</v>
      </c>
      <c r="F192" t="s">
        <v>3385</v>
      </c>
      <c r="G192" t="str">
        <f t="shared" si="2"/>
        <v>Mechanics</v>
      </c>
    </row>
    <row r="193" spans="1:7" x14ac:dyDescent="0.25">
      <c r="A193" t="s">
        <v>3386</v>
      </c>
      <c r="B193" t="s">
        <v>63</v>
      </c>
      <c r="C193" t="s">
        <v>64</v>
      </c>
      <c r="D193" t="s">
        <v>2932</v>
      </c>
      <c r="E193">
        <v>3</v>
      </c>
      <c r="F193" t="s">
        <v>3387</v>
      </c>
      <c r="G193" t="str">
        <f t="shared" si="2"/>
        <v>Electrodynamics</v>
      </c>
    </row>
    <row r="194" spans="1:7" x14ac:dyDescent="0.25">
      <c r="A194" t="s">
        <v>3388</v>
      </c>
      <c r="B194" t="s">
        <v>63</v>
      </c>
      <c r="C194" t="s">
        <v>64</v>
      </c>
      <c r="D194" t="s">
        <v>2932</v>
      </c>
      <c r="E194">
        <v>3</v>
      </c>
      <c r="F194" t="s">
        <v>3389</v>
      </c>
      <c r="G194" t="str">
        <f t="shared" si="2"/>
        <v>Quantum Physics</v>
      </c>
    </row>
    <row r="195" spans="1:7" x14ac:dyDescent="0.25">
      <c r="A195" t="s">
        <v>3390</v>
      </c>
      <c r="B195" t="s">
        <v>63</v>
      </c>
      <c r="C195" t="s">
        <v>64</v>
      </c>
      <c r="D195" t="s">
        <v>2932</v>
      </c>
      <c r="E195">
        <v>3</v>
      </c>
      <c r="F195" t="s">
        <v>3391</v>
      </c>
      <c r="G195" t="str">
        <f t="shared" ref="G195:G241" si="3">LEFT(F195,LEN(F195)-2)</f>
        <v>Thermal Physics</v>
      </c>
    </row>
    <row r="196" spans="1:7" x14ac:dyDescent="0.25">
      <c r="A196" t="s">
        <v>3392</v>
      </c>
      <c r="B196" t="s">
        <v>63</v>
      </c>
      <c r="C196" t="s">
        <v>64</v>
      </c>
      <c r="D196" t="s">
        <v>2932</v>
      </c>
      <c r="E196">
        <v>3</v>
      </c>
      <c r="F196" t="s">
        <v>3393</v>
      </c>
      <c r="G196" t="str">
        <f t="shared" si="3"/>
        <v>Solid State</v>
      </c>
    </row>
    <row r="197" spans="1:7" x14ac:dyDescent="0.25">
      <c r="A197" t="s">
        <v>3394</v>
      </c>
      <c r="B197" t="s">
        <v>63</v>
      </c>
      <c r="C197" t="s">
        <v>64</v>
      </c>
      <c r="D197" t="s">
        <v>2932</v>
      </c>
      <c r="E197">
        <v>4</v>
      </c>
      <c r="F197" t="s">
        <v>3395</v>
      </c>
      <c r="G197" t="str">
        <f t="shared" si="3"/>
        <v>Mechanics</v>
      </c>
    </row>
    <row r="198" spans="1:7" x14ac:dyDescent="0.25">
      <c r="A198" t="s">
        <v>3396</v>
      </c>
      <c r="B198" t="s">
        <v>63</v>
      </c>
      <c r="C198" t="s">
        <v>64</v>
      </c>
      <c r="D198" t="s">
        <v>2932</v>
      </c>
      <c r="E198">
        <v>4</v>
      </c>
      <c r="F198" t="s">
        <v>3397</v>
      </c>
      <c r="G198" t="str">
        <f t="shared" si="3"/>
        <v>Electrodynamics</v>
      </c>
    </row>
    <row r="199" spans="1:7" x14ac:dyDescent="0.25">
      <c r="A199" t="s">
        <v>3398</v>
      </c>
      <c r="B199" t="s">
        <v>63</v>
      </c>
      <c r="C199" t="s">
        <v>64</v>
      </c>
      <c r="D199" t="s">
        <v>2932</v>
      </c>
      <c r="E199">
        <v>4</v>
      </c>
      <c r="F199" t="s">
        <v>3399</v>
      </c>
      <c r="G199" t="str">
        <f t="shared" si="3"/>
        <v>Quantum Physics</v>
      </c>
    </row>
    <row r="200" spans="1:7" x14ac:dyDescent="0.25">
      <c r="A200" t="s">
        <v>3400</v>
      </c>
      <c r="B200" t="s">
        <v>63</v>
      </c>
      <c r="C200" t="s">
        <v>64</v>
      </c>
      <c r="D200" t="s">
        <v>2932</v>
      </c>
      <c r="E200">
        <v>4</v>
      </c>
      <c r="F200" t="s">
        <v>3401</v>
      </c>
      <c r="G200" t="str">
        <f t="shared" si="3"/>
        <v>Thermal Physics</v>
      </c>
    </row>
    <row r="201" spans="1:7" x14ac:dyDescent="0.25">
      <c r="A201" t="s">
        <v>3402</v>
      </c>
      <c r="B201" t="s">
        <v>63</v>
      </c>
      <c r="C201" t="s">
        <v>64</v>
      </c>
      <c r="D201" t="s">
        <v>2932</v>
      </c>
      <c r="E201">
        <v>4</v>
      </c>
      <c r="F201" t="s">
        <v>3403</v>
      </c>
      <c r="G201" t="str">
        <f t="shared" si="3"/>
        <v>Solid State</v>
      </c>
    </row>
    <row r="202" spans="1:7" x14ac:dyDescent="0.25">
      <c r="A202" t="s">
        <v>3404</v>
      </c>
      <c r="B202" t="s">
        <v>63</v>
      </c>
      <c r="C202" t="s">
        <v>64</v>
      </c>
      <c r="D202" t="s">
        <v>2932</v>
      </c>
      <c r="E202">
        <v>5</v>
      </c>
      <c r="F202" t="s">
        <v>3405</v>
      </c>
      <c r="G202" t="str">
        <f t="shared" si="3"/>
        <v>Mechanics</v>
      </c>
    </row>
    <row r="203" spans="1:7" x14ac:dyDescent="0.25">
      <c r="A203" t="s">
        <v>3406</v>
      </c>
      <c r="B203" t="s">
        <v>63</v>
      </c>
      <c r="C203" t="s">
        <v>64</v>
      </c>
      <c r="D203" t="s">
        <v>2932</v>
      </c>
      <c r="E203">
        <v>5</v>
      </c>
      <c r="F203" t="s">
        <v>3407</v>
      </c>
      <c r="G203" t="str">
        <f t="shared" si="3"/>
        <v>Electrodynamics</v>
      </c>
    </row>
    <row r="204" spans="1:7" x14ac:dyDescent="0.25">
      <c r="A204" t="s">
        <v>3408</v>
      </c>
      <c r="B204" t="s">
        <v>63</v>
      </c>
      <c r="C204" t="s">
        <v>64</v>
      </c>
      <c r="D204" t="s">
        <v>2932</v>
      </c>
      <c r="E204">
        <v>5</v>
      </c>
      <c r="F204" t="s">
        <v>3409</v>
      </c>
      <c r="G204" t="str">
        <f t="shared" si="3"/>
        <v>Quantum Physics</v>
      </c>
    </row>
    <row r="205" spans="1:7" x14ac:dyDescent="0.25">
      <c r="A205" t="s">
        <v>3410</v>
      </c>
      <c r="B205" t="s">
        <v>63</v>
      </c>
      <c r="C205" t="s">
        <v>64</v>
      </c>
      <c r="D205" t="s">
        <v>2932</v>
      </c>
      <c r="E205">
        <v>5</v>
      </c>
      <c r="F205" t="s">
        <v>3411</v>
      </c>
      <c r="G205" t="str">
        <f t="shared" si="3"/>
        <v>Thermal Physics</v>
      </c>
    </row>
    <row r="206" spans="1:7" x14ac:dyDescent="0.25">
      <c r="A206" t="s">
        <v>3412</v>
      </c>
      <c r="B206" t="s">
        <v>63</v>
      </c>
      <c r="C206" t="s">
        <v>64</v>
      </c>
      <c r="D206" t="s">
        <v>2932</v>
      </c>
      <c r="E206">
        <v>5</v>
      </c>
      <c r="F206" t="s">
        <v>3413</v>
      </c>
      <c r="G206" t="str">
        <f t="shared" si="3"/>
        <v>Solid State</v>
      </c>
    </row>
    <row r="207" spans="1:7" x14ac:dyDescent="0.25">
      <c r="A207" t="s">
        <v>3414</v>
      </c>
      <c r="B207" t="s">
        <v>63</v>
      </c>
      <c r="C207" t="s">
        <v>64</v>
      </c>
      <c r="D207" t="s">
        <v>2932</v>
      </c>
      <c r="E207">
        <v>6</v>
      </c>
      <c r="F207" t="s">
        <v>3415</v>
      </c>
      <c r="G207" t="str">
        <f t="shared" si="3"/>
        <v>Mechanics</v>
      </c>
    </row>
    <row r="208" spans="1:7" x14ac:dyDescent="0.25">
      <c r="A208" t="s">
        <v>3416</v>
      </c>
      <c r="B208" t="s">
        <v>63</v>
      </c>
      <c r="C208" t="s">
        <v>64</v>
      </c>
      <c r="D208" t="s">
        <v>2932</v>
      </c>
      <c r="E208">
        <v>6</v>
      </c>
      <c r="F208" t="s">
        <v>3417</v>
      </c>
      <c r="G208" t="str">
        <f t="shared" si="3"/>
        <v>Electrodynamics</v>
      </c>
    </row>
    <row r="209" spans="1:7" x14ac:dyDescent="0.25">
      <c r="A209" t="s">
        <v>3418</v>
      </c>
      <c r="B209" t="s">
        <v>63</v>
      </c>
      <c r="C209" t="s">
        <v>64</v>
      </c>
      <c r="D209" t="s">
        <v>2932</v>
      </c>
      <c r="E209">
        <v>6</v>
      </c>
      <c r="F209" t="s">
        <v>3419</v>
      </c>
      <c r="G209" t="str">
        <f t="shared" si="3"/>
        <v>Quantum Physics</v>
      </c>
    </row>
    <row r="210" spans="1:7" x14ac:dyDescent="0.25">
      <c r="A210" t="s">
        <v>3420</v>
      </c>
      <c r="B210" t="s">
        <v>63</v>
      </c>
      <c r="C210" t="s">
        <v>64</v>
      </c>
      <c r="D210" t="s">
        <v>2932</v>
      </c>
      <c r="E210">
        <v>6</v>
      </c>
      <c r="F210" t="s">
        <v>3421</v>
      </c>
      <c r="G210" t="str">
        <f t="shared" si="3"/>
        <v>Thermal Physics</v>
      </c>
    </row>
    <row r="211" spans="1:7" x14ac:dyDescent="0.25">
      <c r="A211" t="s">
        <v>3422</v>
      </c>
      <c r="B211" t="s">
        <v>63</v>
      </c>
      <c r="C211" t="s">
        <v>64</v>
      </c>
      <c r="D211" t="s">
        <v>2932</v>
      </c>
      <c r="E211">
        <v>6</v>
      </c>
      <c r="F211" t="s">
        <v>3423</v>
      </c>
      <c r="G211" t="str">
        <f t="shared" si="3"/>
        <v>Solid State</v>
      </c>
    </row>
    <row r="212" spans="1:7" x14ac:dyDescent="0.25">
      <c r="A212" t="s">
        <v>3424</v>
      </c>
      <c r="B212" t="s">
        <v>212</v>
      </c>
      <c r="C212" t="s">
        <v>213</v>
      </c>
      <c r="D212" t="s">
        <v>3001</v>
      </c>
      <c r="E212">
        <v>1</v>
      </c>
      <c r="F212" t="s">
        <v>3425</v>
      </c>
      <c r="G212" t="str">
        <f t="shared" si="3"/>
        <v>Algebra</v>
      </c>
    </row>
    <row r="213" spans="1:7" x14ac:dyDescent="0.25">
      <c r="A213" t="s">
        <v>3426</v>
      </c>
      <c r="B213" t="s">
        <v>212</v>
      </c>
      <c r="C213" t="s">
        <v>213</v>
      </c>
      <c r="D213" t="s">
        <v>3001</v>
      </c>
      <c r="E213">
        <v>1</v>
      </c>
      <c r="F213" t="s">
        <v>3427</v>
      </c>
      <c r="G213" t="str">
        <f t="shared" si="3"/>
        <v>Calculus</v>
      </c>
    </row>
    <row r="214" spans="1:7" x14ac:dyDescent="0.25">
      <c r="A214" t="s">
        <v>3428</v>
      </c>
      <c r="B214" t="s">
        <v>212</v>
      </c>
      <c r="C214" t="s">
        <v>213</v>
      </c>
      <c r="D214" t="s">
        <v>3001</v>
      </c>
      <c r="E214">
        <v>1</v>
      </c>
      <c r="F214" t="s">
        <v>3429</v>
      </c>
      <c r="G214" t="str">
        <f t="shared" si="3"/>
        <v>Probability</v>
      </c>
    </row>
    <row r="215" spans="1:7" x14ac:dyDescent="0.25">
      <c r="A215" t="s">
        <v>3430</v>
      </c>
      <c r="B215" t="s">
        <v>212</v>
      </c>
      <c r="C215" t="s">
        <v>213</v>
      </c>
      <c r="D215" t="s">
        <v>3001</v>
      </c>
      <c r="E215">
        <v>1</v>
      </c>
      <c r="F215" t="s">
        <v>3431</v>
      </c>
      <c r="G215" t="str">
        <f t="shared" si="3"/>
        <v>Statistics</v>
      </c>
    </row>
    <row r="216" spans="1:7" x14ac:dyDescent="0.25">
      <c r="A216" t="s">
        <v>3432</v>
      </c>
      <c r="B216" t="s">
        <v>212</v>
      </c>
      <c r="C216" t="s">
        <v>213</v>
      </c>
      <c r="D216" t="s">
        <v>3001</v>
      </c>
      <c r="E216">
        <v>1</v>
      </c>
      <c r="F216" t="s">
        <v>3433</v>
      </c>
      <c r="G216" t="str">
        <f t="shared" si="3"/>
        <v>Real Analysis</v>
      </c>
    </row>
    <row r="217" spans="1:7" x14ac:dyDescent="0.25">
      <c r="A217" t="s">
        <v>3434</v>
      </c>
      <c r="B217" t="s">
        <v>212</v>
      </c>
      <c r="C217" t="s">
        <v>213</v>
      </c>
      <c r="D217" t="s">
        <v>3001</v>
      </c>
      <c r="E217">
        <v>2</v>
      </c>
      <c r="F217" t="s">
        <v>3435</v>
      </c>
      <c r="G217" t="str">
        <f t="shared" si="3"/>
        <v>Algebra</v>
      </c>
    </row>
    <row r="218" spans="1:7" x14ac:dyDescent="0.25">
      <c r="A218" t="s">
        <v>3436</v>
      </c>
      <c r="B218" t="s">
        <v>212</v>
      </c>
      <c r="C218" t="s">
        <v>213</v>
      </c>
      <c r="D218" t="s">
        <v>3001</v>
      </c>
      <c r="E218">
        <v>2</v>
      </c>
      <c r="F218" t="s">
        <v>3437</v>
      </c>
      <c r="G218" t="str">
        <f t="shared" si="3"/>
        <v>Calculus</v>
      </c>
    </row>
    <row r="219" spans="1:7" x14ac:dyDescent="0.25">
      <c r="A219" t="s">
        <v>3438</v>
      </c>
      <c r="B219" t="s">
        <v>212</v>
      </c>
      <c r="C219" t="s">
        <v>213</v>
      </c>
      <c r="D219" t="s">
        <v>3001</v>
      </c>
      <c r="E219">
        <v>2</v>
      </c>
      <c r="F219" t="s">
        <v>3439</v>
      </c>
      <c r="G219" t="str">
        <f t="shared" si="3"/>
        <v>Probability</v>
      </c>
    </row>
    <row r="220" spans="1:7" x14ac:dyDescent="0.25">
      <c r="A220" t="s">
        <v>3440</v>
      </c>
      <c r="B220" t="s">
        <v>212</v>
      </c>
      <c r="C220" t="s">
        <v>213</v>
      </c>
      <c r="D220" t="s">
        <v>3001</v>
      </c>
      <c r="E220">
        <v>2</v>
      </c>
      <c r="F220" t="s">
        <v>3441</v>
      </c>
      <c r="G220" t="str">
        <f t="shared" si="3"/>
        <v>Statistics</v>
      </c>
    </row>
    <row r="221" spans="1:7" x14ac:dyDescent="0.25">
      <c r="A221" t="s">
        <v>3442</v>
      </c>
      <c r="B221" t="s">
        <v>212</v>
      </c>
      <c r="C221" t="s">
        <v>213</v>
      </c>
      <c r="D221" t="s">
        <v>3001</v>
      </c>
      <c r="E221">
        <v>2</v>
      </c>
      <c r="F221" t="s">
        <v>3443</v>
      </c>
      <c r="G221" t="str">
        <f t="shared" si="3"/>
        <v>Real Analysis</v>
      </c>
    </row>
    <row r="222" spans="1:7" x14ac:dyDescent="0.25">
      <c r="A222" t="s">
        <v>3444</v>
      </c>
      <c r="B222" t="s">
        <v>212</v>
      </c>
      <c r="C222" t="s">
        <v>213</v>
      </c>
      <c r="D222" t="s">
        <v>3001</v>
      </c>
      <c r="E222">
        <v>3</v>
      </c>
      <c r="F222" t="s">
        <v>3445</v>
      </c>
      <c r="G222" t="str">
        <f t="shared" si="3"/>
        <v>Algebra</v>
      </c>
    </row>
    <row r="223" spans="1:7" x14ac:dyDescent="0.25">
      <c r="A223" t="s">
        <v>3446</v>
      </c>
      <c r="B223" t="s">
        <v>212</v>
      </c>
      <c r="C223" t="s">
        <v>213</v>
      </c>
      <c r="D223" t="s">
        <v>3001</v>
      </c>
      <c r="E223">
        <v>3</v>
      </c>
      <c r="F223" t="s">
        <v>3447</v>
      </c>
      <c r="G223" t="str">
        <f t="shared" si="3"/>
        <v>Calculus</v>
      </c>
    </row>
    <row r="224" spans="1:7" x14ac:dyDescent="0.25">
      <c r="A224" t="s">
        <v>3448</v>
      </c>
      <c r="B224" t="s">
        <v>212</v>
      </c>
      <c r="C224" t="s">
        <v>213</v>
      </c>
      <c r="D224" t="s">
        <v>3001</v>
      </c>
      <c r="E224">
        <v>3</v>
      </c>
      <c r="F224" t="s">
        <v>3449</v>
      </c>
      <c r="G224" t="str">
        <f t="shared" si="3"/>
        <v>Probability</v>
      </c>
    </row>
    <row r="225" spans="1:7" x14ac:dyDescent="0.25">
      <c r="A225" t="s">
        <v>3450</v>
      </c>
      <c r="B225" t="s">
        <v>212</v>
      </c>
      <c r="C225" t="s">
        <v>213</v>
      </c>
      <c r="D225" t="s">
        <v>3001</v>
      </c>
      <c r="E225">
        <v>3</v>
      </c>
      <c r="F225" t="s">
        <v>3451</v>
      </c>
      <c r="G225" t="str">
        <f t="shared" si="3"/>
        <v>Statistics</v>
      </c>
    </row>
    <row r="226" spans="1:7" x14ac:dyDescent="0.25">
      <c r="A226" t="s">
        <v>3452</v>
      </c>
      <c r="B226" t="s">
        <v>212</v>
      </c>
      <c r="C226" t="s">
        <v>213</v>
      </c>
      <c r="D226" t="s">
        <v>3001</v>
      </c>
      <c r="E226">
        <v>3</v>
      </c>
      <c r="F226" t="s">
        <v>3453</v>
      </c>
      <c r="G226" t="str">
        <f t="shared" si="3"/>
        <v>Real Analysis</v>
      </c>
    </row>
    <row r="227" spans="1:7" x14ac:dyDescent="0.25">
      <c r="A227" t="s">
        <v>3454</v>
      </c>
      <c r="B227" t="s">
        <v>212</v>
      </c>
      <c r="C227" t="s">
        <v>213</v>
      </c>
      <c r="D227" t="s">
        <v>3001</v>
      </c>
      <c r="E227">
        <v>4</v>
      </c>
      <c r="F227" t="s">
        <v>3455</v>
      </c>
      <c r="G227" t="str">
        <f t="shared" si="3"/>
        <v>Algebra</v>
      </c>
    </row>
    <row r="228" spans="1:7" x14ac:dyDescent="0.25">
      <c r="A228" t="s">
        <v>3456</v>
      </c>
      <c r="B228" t="s">
        <v>212</v>
      </c>
      <c r="C228" t="s">
        <v>213</v>
      </c>
      <c r="D228" t="s">
        <v>3001</v>
      </c>
      <c r="E228">
        <v>4</v>
      </c>
      <c r="F228" t="s">
        <v>3457</v>
      </c>
      <c r="G228" t="str">
        <f t="shared" si="3"/>
        <v>Calculus</v>
      </c>
    </row>
    <row r="229" spans="1:7" x14ac:dyDescent="0.25">
      <c r="A229" t="s">
        <v>3458</v>
      </c>
      <c r="B229" t="s">
        <v>212</v>
      </c>
      <c r="C229" t="s">
        <v>213</v>
      </c>
      <c r="D229" t="s">
        <v>3001</v>
      </c>
      <c r="E229">
        <v>4</v>
      </c>
      <c r="F229" t="s">
        <v>3459</v>
      </c>
      <c r="G229" t="str">
        <f t="shared" si="3"/>
        <v>Probability</v>
      </c>
    </row>
    <row r="230" spans="1:7" x14ac:dyDescent="0.25">
      <c r="A230" t="s">
        <v>3460</v>
      </c>
      <c r="B230" t="s">
        <v>212</v>
      </c>
      <c r="C230" t="s">
        <v>213</v>
      </c>
      <c r="D230" t="s">
        <v>3001</v>
      </c>
      <c r="E230">
        <v>4</v>
      </c>
      <c r="F230" t="s">
        <v>3461</v>
      </c>
      <c r="G230" t="str">
        <f t="shared" si="3"/>
        <v>Statistics</v>
      </c>
    </row>
    <row r="231" spans="1:7" x14ac:dyDescent="0.25">
      <c r="A231" t="s">
        <v>3462</v>
      </c>
      <c r="B231" t="s">
        <v>212</v>
      </c>
      <c r="C231" t="s">
        <v>213</v>
      </c>
      <c r="D231" t="s">
        <v>3001</v>
      </c>
      <c r="E231">
        <v>4</v>
      </c>
      <c r="F231" t="s">
        <v>3463</v>
      </c>
      <c r="G231" t="str">
        <f t="shared" si="3"/>
        <v>Real Analysis</v>
      </c>
    </row>
    <row r="232" spans="1:7" x14ac:dyDescent="0.25">
      <c r="A232" t="s">
        <v>3464</v>
      </c>
      <c r="B232" t="s">
        <v>212</v>
      </c>
      <c r="C232" t="s">
        <v>213</v>
      </c>
      <c r="D232" t="s">
        <v>3001</v>
      </c>
      <c r="E232">
        <v>5</v>
      </c>
      <c r="F232" t="s">
        <v>3465</v>
      </c>
      <c r="G232" t="str">
        <f t="shared" si="3"/>
        <v>Algebra</v>
      </c>
    </row>
    <row r="233" spans="1:7" x14ac:dyDescent="0.25">
      <c r="A233" t="s">
        <v>3466</v>
      </c>
      <c r="B233" t="s">
        <v>212</v>
      </c>
      <c r="C233" t="s">
        <v>213</v>
      </c>
      <c r="D233" t="s">
        <v>3001</v>
      </c>
      <c r="E233">
        <v>5</v>
      </c>
      <c r="F233" t="s">
        <v>3467</v>
      </c>
      <c r="G233" t="str">
        <f t="shared" si="3"/>
        <v>Calculus</v>
      </c>
    </row>
    <row r="234" spans="1:7" x14ac:dyDescent="0.25">
      <c r="A234" t="s">
        <v>3468</v>
      </c>
      <c r="B234" t="s">
        <v>212</v>
      </c>
      <c r="C234" t="s">
        <v>213</v>
      </c>
      <c r="D234" t="s">
        <v>3001</v>
      </c>
      <c r="E234">
        <v>5</v>
      </c>
      <c r="F234" t="s">
        <v>3469</v>
      </c>
      <c r="G234" t="str">
        <f t="shared" si="3"/>
        <v>Probability</v>
      </c>
    </row>
    <row r="235" spans="1:7" x14ac:dyDescent="0.25">
      <c r="A235" t="s">
        <v>3470</v>
      </c>
      <c r="B235" t="s">
        <v>212</v>
      </c>
      <c r="C235" t="s">
        <v>213</v>
      </c>
      <c r="D235" t="s">
        <v>3001</v>
      </c>
      <c r="E235">
        <v>5</v>
      </c>
      <c r="F235" t="s">
        <v>3471</v>
      </c>
      <c r="G235" t="str">
        <f t="shared" si="3"/>
        <v>Statistics</v>
      </c>
    </row>
    <row r="236" spans="1:7" x14ac:dyDescent="0.25">
      <c r="A236" t="s">
        <v>3472</v>
      </c>
      <c r="B236" t="s">
        <v>212</v>
      </c>
      <c r="C236" t="s">
        <v>213</v>
      </c>
      <c r="D236" t="s">
        <v>3001</v>
      </c>
      <c r="E236">
        <v>5</v>
      </c>
      <c r="F236" t="s">
        <v>3473</v>
      </c>
      <c r="G236" t="str">
        <f t="shared" si="3"/>
        <v>Real Analysis</v>
      </c>
    </row>
    <row r="237" spans="1:7" x14ac:dyDescent="0.25">
      <c r="A237" t="s">
        <v>3474</v>
      </c>
      <c r="B237" t="s">
        <v>212</v>
      </c>
      <c r="C237" t="s">
        <v>213</v>
      </c>
      <c r="D237" t="s">
        <v>3001</v>
      </c>
      <c r="E237">
        <v>6</v>
      </c>
      <c r="F237" t="s">
        <v>3475</v>
      </c>
      <c r="G237" t="str">
        <f t="shared" si="3"/>
        <v>Algebra</v>
      </c>
    </row>
    <row r="238" spans="1:7" x14ac:dyDescent="0.25">
      <c r="A238" t="s">
        <v>3476</v>
      </c>
      <c r="B238" t="s">
        <v>212</v>
      </c>
      <c r="C238" t="s">
        <v>213</v>
      </c>
      <c r="D238" t="s">
        <v>3001</v>
      </c>
      <c r="E238">
        <v>6</v>
      </c>
      <c r="F238" t="s">
        <v>3477</v>
      </c>
      <c r="G238" t="str">
        <f t="shared" si="3"/>
        <v>Calculus</v>
      </c>
    </row>
    <row r="239" spans="1:7" x14ac:dyDescent="0.25">
      <c r="A239" t="s">
        <v>3478</v>
      </c>
      <c r="B239" t="s">
        <v>212</v>
      </c>
      <c r="C239" t="s">
        <v>213</v>
      </c>
      <c r="D239" t="s">
        <v>3001</v>
      </c>
      <c r="E239">
        <v>6</v>
      </c>
      <c r="F239" t="s">
        <v>3479</v>
      </c>
      <c r="G239" t="str">
        <f t="shared" si="3"/>
        <v>Probability</v>
      </c>
    </row>
    <row r="240" spans="1:7" x14ac:dyDescent="0.25">
      <c r="A240" t="s">
        <v>3480</v>
      </c>
      <c r="B240" t="s">
        <v>212</v>
      </c>
      <c r="C240" t="s">
        <v>213</v>
      </c>
      <c r="D240" t="s">
        <v>3001</v>
      </c>
      <c r="E240">
        <v>6</v>
      </c>
      <c r="F240" t="s">
        <v>3481</v>
      </c>
      <c r="G240" t="str">
        <f t="shared" si="3"/>
        <v>Statistics</v>
      </c>
    </row>
    <row r="241" spans="1:7" x14ac:dyDescent="0.25">
      <c r="A241" t="s">
        <v>3482</v>
      </c>
      <c r="B241" t="s">
        <v>212</v>
      </c>
      <c r="C241" t="s">
        <v>213</v>
      </c>
      <c r="D241" t="s">
        <v>3001</v>
      </c>
      <c r="E241">
        <v>6</v>
      </c>
      <c r="F241" t="s">
        <v>3483</v>
      </c>
      <c r="G241" t="str">
        <f t="shared" si="3"/>
        <v>Real Analysis</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41"/>
  <sheetViews>
    <sheetView workbookViewId="0">
      <selection activeCell="G16" sqref="G16"/>
    </sheetView>
  </sheetViews>
  <sheetFormatPr defaultRowHeight="15" x14ac:dyDescent="0.25"/>
  <cols>
    <col min="1" max="1" width="11.85546875" bestFit="1" customWidth="1"/>
  </cols>
  <sheetData>
    <row r="1" spans="1:2" x14ac:dyDescent="0.25">
      <c r="A1" s="1" t="s">
        <v>3002</v>
      </c>
      <c r="B1" s="1" t="s">
        <v>2881</v>
      </c>
    </row>
    <row r="2" spans="1:2" x14ac:dyDescent="0.25">
      <c r="A2" t="s">
        <v>3004</v>
      </c>
      <c r="B2" t="s">
        <v>2965</v>
      </c>
    </row>
    <row r="3" spans="1:2" x14ac:dyDescent="0.25">
      <c r="A3" t="s">
        <v>3006</v>
      </c>
      <c r="B3" t="s">
        <v>2887</v>
      </c>
    </row>
    <row r="4" spans="1:2" x14ac:dyDescent="0.25">
      <c r="A4" t="s">
        <v>3008</v>
      </c>
      <c r="B4" t="s">
        <v>2948</v>
      </c>
    </row>
    <row r="5" spans="1:2" x14ac:dyDescent="0.25">
      <c r="A5" t="s">
        <v>3010</v>
      </c>
      <c r="B5" t="s">
        <v>2970</v>
      </c>
    </row>
    <row r="6" spans="1:2" x14ac:dyDescent="0.25">
      <c r="A6" t="s">
        <v>3012</v>
      </c>
      <c r="B6" t="s">
        <v>2900</v>
      </c>
    </row>
    <row r="7" spans="1:2" x14ac:dyDescent="0.25">
      <c r="A7" t="s">
        <v>3014</v>
      </c>
      <c r="B7" t="s">
        <v>2913</v>
      </c>
    </row>
    <row r="8" spans="1:2" x14ac:dyDescent="0.25">
      <c r="A8" t="s">
        <v>3016</v>
      </c>
      <c r="B8" t="s">
        <v>2907</v>
      </c>
    </row>
    <row r="9" spans="1:2" x14ac:dyDescent="0.25">
      <c r="A9" t="s">
        <v>3018</v>
      </c>
      <c r="B9" t="s">
        <v>2995</v>
      </c>
    </row>
    <row r="10" spans="1:2" x14ac:dyDescent="0.25">
      <c r="A10" t="s">
        <v>3020</v>
      </c>
      <c r="B10" t="s">
        <v>2980</v>
      </c>
    </row>
    <row r="11" spans="1:2" x14ac:dyDescent="0.25">
      <c r="A11" t="s">
        <v>3022</v>
      </c>
      <c r="B11" t="s">
        <v>2985</v>
      </c>
    </row>
    <row r="12" spans="1:2" x14ac:dyDescent="0.25">
      <c r="A12" t="s">
        <v>3024</v>
      </c>
      <c r="B12" t="s">
        <v>2907</v>
      </c>
    </row>
    <row r="13" spans="1:2" x14ac:dyDescent="0.25">
      <c r="A13" t="s">
        <v>3026</v>
      </c>
      <c r="B13" t="s">
        <v>2990</v>
      </c>
    </row>
    <row r="14" spans="1:2" x14ac:dyDescent="0.25">
      <c r="A14" t="s">
        <v>3028</v>
      </c>
      <c r="B14" t="s">
        <v>2913</v>
      </c>
    </row>
    <row r="15" spans="1:2" x14ac:dyDescent="0.25">
      <c r="A15" t="s">
        <v>3030</v>
      </c>
      <c r="B15" t="s">
        <v>2975</v>
      </c>
    </row>
    <row r="16" spans="1:2" x14ac:dyDescent="0.25">
      <c r="A16" t="s">
        <v>3032</v>
      </c>
      <c r="B16" t="s">
        <v>2975</v>
      </c>
    </row>
    <row r="17" spans="1:2" x14ac:dyDescent="0.25">
      <c r="A17" t="s">
        <v>3034</v>
      </c>
      <c r="B17" t="s">
        <v>2985</v>
      </c>
    </row>
    <row r="18" spans="1:2" x14ac:dyDescent="0.25">
      <c r="A18" t="s">
        <v>3036</v>
      </c>
      <c r="B18" t="s">
        <v>2985</v>
      </c>
    </row>
    <row r="19" spans="1:2" x14ac:dyDescent="0.25">
      <c r="A19" t="s">
        <v>3038</v>
      </c>
      <c r="B19" t="s">
        <v>2948</v>
      </c>
    </row>
    <row r="20" spans="1:2" x14ac:dyDescent="0.25">
      <c r="A20" t="s">
        <v>3040</v>
      </c>
      <c r="B20" t="s">
        <v>2907</v>
      </c>
    </row>
    <row r="21" spans="1:2" x14ac:dyDescent="0.25">
      <c r="A21" t="s">
        <v>3042</v>
      </c>
      <c r="B21" t="s">
        <v>2995</v>
      </c>
    </row>
    <row r="22" spans="1:2" x14ac:dyDescent="0.25">
      <c r="A22" t="s">
        <v>3044</v>
      </c>
      <c r="B22" t="s">
        <v>2894</v>
      </c>
    </row>
    <row r="23" spans="1:2" x14ac:dyDescent="0.25">
      <c r="A23" t="s">
        <v>3046</v>
      </c>
      <c r="B23" t="s">
        <v>2948</v>
      </c>
    </row>
    <row r="24" spans="1:2" x14ac:dyDescent="0.25">
      <c r="A24" t="s">
        <v>3048</v>
      </c>
      <c r="B24" t="s">
        <v>2930</v>
      </c>
    </row>
    <row r="25" spans="1:2" x14ac:dyDescent="0.25">
      <c r="A25" t="s">
        <v>3050</v>
      </c>
      <c r="B25" t="s">
        <v>2943</v>
      </c>
    </row>
    <row r="26" spans="1:2" x14ac:dyDescent="0.25">
      <c r="A26" t="s">
        <v>3052</v>
      </c>
      <c r="B26" t="s">
        <v>2985</v>
      </c>
    </row>
    <row r="27" spans="1:2" x14ac:dyDescent="0.25">
      <c r="A27" t="s">
        <v>3054</v>
      </c>
      <c r="B27" t="s">
        <v>2965</v>
      </c>
    </row>
    <row r="28" spans="1:2" x14ac:dyDescent="0.25">
      <c r="A28" t="s">
        <v>3056</v>
      </c>
      <c r="B28" t="s">
        <v>2943</v>
      </c>
    </row>
    <row r="29" spans="1:2" x14ac:dyDescent="0.25">
      <c r="A29" t="s">
        <v>3058</v>
      </c>
      <c r="B29" t="s">
        <v>2894</v>
      </c>
    </row>
    <row r="30" spans="1:2" x14ac:dyDescent="0.25">
      <c r="A30" t="s">
        <v>3060</v>
      </c>
      <c r="B30" t="s">
        <v>2907</v>
      </c>
    </row>
    <row r="31" spans="1:2" x14ac:dyDescent="0.25">
      <c r="A31" t="s">
        <v>3062</v>
      </c>
      <c r="B31" t="s">
        <v>2894</v>
      </c>
    </row>
    <row r="32" spans="1:2" x14ac:dyDescent="0.25">
      <c r="A32" t="s">
        <v>3064</v>
      </c>
      <c r="B32" t="s">
        <v>2943</v>
      </c>
    </row>
    <row r="33" spans="1:2" x14ac:dyDescent="0.25">
      <c r="A33" t="s">
        <v>3066</v>
      </c>
      <c r="B33" t="s">
        <v>2913</v>
      </c>
    </row>
    <row r="34" spans="1:2" x14ac:dyDescent="0.25">
      <c r="A34" t="s">
        <v>3068</v>
      </c>
      <c r="B34" t="s">
        <v>2937</v>
      </c>
    </row>
    <row r="35" spans="1:2" x14ac:dyDescent="0.25">
      <c r="A35" t="s">
        <v>3070</v>
      </c>
      <c r="B35" t="s">
        <v>2960</v>
      </c>
    </row>
    <row r="36" spans="1:2" x14ac:dyDescent="0.25">
      <c r="A36" t="s">
        <v>3072</v>
      </c>
      <c r="B36" t="s">
        <v>2913</v>
      </c>
    </row>
    <row r="37" spans="1:2" x14ac:dyDescent="0.25">
      <c r="A37" t="s">
        <v>3074</v>
      </c>
      <c r="B37" t="s">
        <v>2937</v>
      </c>
    </row>
    <row r="38" spans="1:2" x14ac:dyDescent="0.25">
      <c r="A38" t="s">
        <v>3076</v>
      </c>
      <c r="B38" t="s">
        <v>2948</v>
      </c>
    </row>
    <row r="39" spans="1:2" x14ac:dyDescent="0.25">
      <c r="A39" t="s">
        <v>3078</v>
      </c>
      <c r="B39" t="s">
        <v>2965</v>
      </c>
    </row>
    <row r="40" spans="1:2" x14ac:dyDescent="0.25">
      <c r="A40" t="s">
        <v>3080</v>
      </c>
      <c r="B40" t="s">
        <v>2900</v>
      </c>
    </row>
    <row r="41" spans="1:2" x14ac:dyDescent="0.25">
      <c r="A41" t="s">
        <v>3082</v>
      </c>
      <c r="B41" t="s">
        <v>2980</v>
      </c>
    </row>
    <row r="42" spans="1:2" x14ac:dyDescent="0.25">
      <c r="A42" t="s">
        <v>3084</v>
      </c>
      <c r="B42" t="s">
        <v>2954</v>
      </c>
    </row>
    <row r="43" spans="1:2" x14ac:dyDescent="0.25">
      <c r="A43" t="s">
        <v>3086</v>
      </c>
      <c r="B43" t="s">
        <v>2900</v>
      </c>
    </row>
    <row r="44" spans="1:2" x14ac:dyDescent="0.25">
      <c r="A44" t="s">
        <v>3088</v>
      </c>
      <c r="B44" t="s">
        <v>2975</v>
      </c>
    </row>
    <row r="45" spans="1:2" x14ac:dyDescent="0.25">
      <c r="A45" t="s">
        <v>3090</v>
      </c>
      <c r="B45" t="s">
        <v>2943</v>
      </c>
    </row>
    <row r="46" spans="1:2" x14ac:dyDescent="0.25">
      <c r="A46" t="s">
        <v>3092</v>
      </c>
      <c r="B46" t="s">
        <v>2943</v>
      </c>
    </row>
    <row r="47" spans="1:2" x14ac:dyDescent="0.25">
      <c r="A47" t="s">
        <v>3094</v>
      </c>
      <c r="B47" t="s">
        <v>2965</v>
      </c>
    </row>
    <row r="48" spans="1:2" x14ac:dyDescent="0.25">
      <c r="A48" t="s">
        <v>3096</v>
      </c>
      <c r="B48" t="s">
        <v>2887</v>
      </c>
    </row>
    <row r="49" spans="1:2" x14ac:dyDescent="0.25">
      <c r="A49" t="s">
        <v>3098</v>
      </c>
      <c r="B49" t="s">
        <v>2887</v>
      </c>
    </row>
    <row r="50" spans="1:2" x14ac:dyDescent="0.25">
      <c r="A50" t="s">
        <v>3100</v>
      </c>
      <c r="B50" t="s">
        <v>2943</v>
      </c>
    </row>
    <row r="51" spans="1:2" x14ac:dyDescent="0.25">
      <c r="A51" t="s">
        <v>3102</v>
      </c>
      <c r="B51" t="s">
        <v>2948</v>
      </c>
    </row>
    <row r="52" spans="1:2" x14ac:dyDescent="0.25">
      <c r="A52" t="s">
        <v>3104</v>
      </c>
      <c r="B52" t="s">
        <v>2918</v>
      </c>
    </row>
    <row r="53" spans="1:2" x14ac:dyDescent="0.25">
      <c r="A53" t="s">
        <v>3106</v>
      </c>
      <c r="B53" t="s">
        <v>2900</v>
      </c>
    </row>
    <row r="54" spans="1:2" x14ac:dyDescent="0.25">
      <c r="A54" t="s">
        <v>3108</v>
      </c>
      <c r="B54" t="s">
        <v>2913</v>
      </c>
    </row>
    <row r="55" spans="1:2" x14ac:dyDescent="0.25">
      <c r="A55" t="s">
        <v>3110</v>
      </c>
      <c r="B55" t="s">
        <v>2980</v>
      </c>
    </row>
    <row r="56" spans="1:2" x14ac:dyDescent="0.25">
      <c r="A56" t="s">
        <v>3112</v>
      </c>
      <c r="B56" t="s">
        <v>2995</v>
      </c>
    </row>
    <row r="57" spans="1:2" x14ac:dyDescent="0.25">
      <c r="A57" t="s">
        <v>3114</v>
      </c>
      <c r="B57" t="s">
        <v>2995</v>
      </c>
    </row>
    <row r="58" spans="1:2" x14ac:dyDescent="0.25">
      <c r="A58" t="s">
        <v>3116</v>
      </c>
      <c r="B58" t="s">
        <v>2907</v>
      </c>
    </row>
    <row r="59" spans="1:2" x14ac:dyDescent="0.25">
      <c r="A59" t="s">
        <v>3118</v>
      </c>
      <c r="B59" t="s">
        <v>2954</v>
      </c>
    </row>
    <row r="60" spans="1:2" x14ac:dyDescent="0.25">
      <c r="A60" t="s">
        <v>3120</v>
      </c>
      <c r="B60" t="s">
        <v>2907</v>
      </c>
    </row>
    <row r="61" spans="1:2" x14ac:dyDescent="0.25">
      <c r="A61" t="s">
        <v>3122</v>
      </c>
      <c r="B61" t="s">
        <v>2907</v>
      </c>
    </row>
    <row r="62" spans="1:2" x14ac:dyDescent="0.25">
      <c r="A62" t="s">
        <v>3124</v>
      </c>
      <c r="B62" t="s">
        <v>2937</v>
      </c>
    </row>
    <row r="63" spans="1:2" x14ac:dyDescent="0.25">
      <c r="A63" t="s">
        <v>3126</v>
      </c>
      <c r="B63" t="s">
        <v>2948</v>
      </c>
    </row>
    <row r="64" spans="1:2" x14ac:dyDescent="0.25">
      <c r="A64" t="s">
        <v>3128</v>
      </c>
      <c r="B64" t="s">
        <v>2948</v>
      </c>
    </row>
    <row r="65" spans="1:2" x14ac:dyDescent="0.25">
      <c r="A65" t="s">
        <v>3130</v>
      </c>
      <c r="B65" t="s">
        <v>2907</v>
      </c>
    </row>
    <row r="66" spans="1:2" x14ac:dyDescent="0.25">
      <c r="A66" t="s">
        <v>3132</v>
      </c>
      <c r="B66" t="s">
        <v>2918</v>
      </c>
    </row>
    <row r="67" spans="1:2" x14ac:dyDescent="0.25">
      <c r="A67" t="s">
        <v>3134</v>
      </c>
      <c r="B67" t="s">
        <v>2990</v>
      </c>
    </row>
    <row r="68" spans="1:2" x14ac:dyDescent="0.25">
      <c r="A68" t="s">
        <v>3136</v>
      </c>
      <c r="B68" t="s">
        <v>2924</v>
      </c>
    </row>
    <row r="69" spans="1:2" x14ac:dyDescent="0.25">
      <c r="A69" t="s">
        <v>3138</v>
      </c>
      <c r="B69" t="s">
        <v>2990</v>
      </c>
    </row>
    <row r="70" spans="1:2" x14ac:dyDescent="0.25">
      <c r="A70" t="s">
        <v>3140</v>
      </c>
      <c r="B70" t="s">
        <v>2900</v>
      </c>
    </row>
    <row r="71" spans="1:2" x14ac:dyDescent="0.25">
      <c r="A71" t="s">
        <v>3142</v>
      </c>
      <c r="B71" t="s">
        <v>2930</v>
      </c>
    </row>
    <row r="72" spans="1:2" x14ac:dyDescent="0.25">
      <c r="A72" t="s">
        <v>3144</v>
      </c>
      <c r="B72" t="s">
        <v>2894</v>
      </c>
    </row>
    <row r="73" spans="1:2" x14ac:dyDescent="0.25">
      <c r="A73" t="s">
        <v>3146</v>
      </c>
      <c r="B73" t="s">
        <v>2937</v>
      </c>
    </row>
    <row r="74" spans="1:2" x14ac:dyDescent="0.25">
      <c r="A74" t="s">
        <v>3148</v>
      </c>
      <c r="B74" t="s">
        <v>2943</v>
      </c>
    </row>
    <row r="75" spans="1:2" x14ac:dyDescent="0.25">
      <c r="A75" t="s">
        <v>3150</v>
      </c>
      <c r="B75" t="s">
        <v>2985</v>
      </c>
    </row>
    <row r="76" spans="1:2" x14ac:dyDescent="0.25">
      <c r="A76" t="s">
        <v>3152</v>
      </c>
      <c r="B76" t="s">
        <v>2985</v>
      </c>
    </row>
    <row r="77" spans="1:2" x14ac:dyDescent="0.25">
      <c r="A77" t="s">
        <v>3154</v>
      </c>
      <c r="B77" t="s">
        <v>2900</v>
      </c>
    </row>
    <row r="78" spans="1:2" x14ac:dyDescent="0.25">
      <c r="A78" t="s">
        <v>3156</v>
      </c>
      <c r="B78" t="s">
        <v>2985</v>
      </c>
    </row>
    <row r="79" spans="1:2" x14ac:dyDescent="0.25">
      <c r="A79" t="s">
        <v>3158</v>
      </c>
      <c r="B79" t="s">
        <v>2990</v>
      </c>
    </row>
    <row r="80" spans="1:2" x14ac:dyDescent="0.25">
      <c r="A80" t="s">
        <v>3160</v>
      </c>
      <c r="B80" t="s">
        <v>2985</v>
      </c>
    </row>
    <row r="81" spans="1:2" x14ac:dyDescent="0.25">
      <c r="A81" t="s">
        <v>3162</v>
      </c>
      <c r="B81" t="s">
        <v>2943</v>
      </c>
    </row>
    <row r="82" spans="1:2" x14ac:dyDescent="0.25">
      <c r="A82" t="s">
        <v>3164</v>
      </c>
      <c r="B82" t="s">
        <v>2985</v>
      </c>
    </row>
    <row r="83" spans="1:2" x14ac:dyDescent="0.25">
      <c r="A83" t="s">
        <v>3166</v>
      </c>
      <c r="B83" t="s">
        <v>2943</v>
      </c>
    </row>
    <row r="84" spans="1:2" x14ac:dyDescent="0.25">
      <c r="A84" t="s">
        <v>3168</v>
      </c>
      <c r="B84" t="s">
        <v>2907</v>
      </c>
    </row>
    <row r="85" spans="1:2" x14ac:dyDescent="0.25">
      <c r="A85" t="s">
        <v>3170</v>
      </c>
      <c r="B85" t="s">
        <v>2960</v>
      </c>
    </row>
    <row r="86" spans="1:2" x14ac:dyDescent="0.25">
      <c r="A86" t="s">
        <v>3172</v>
      </c>
      <c r="B86" t="s">
        <v>2894</v>
      </c>
    </row>
    <row r="87" spans="1:2" x14ac:dyDescent="0.25">
      <c r="A87" t="s">
        <v>3174</v>
      </c>
      <c r="B87" t="s">
        <v>2943</v>
      </c>
    </row>
    <row r="88" spans="1:2" x14ac:dyDescent="0.25">
      <c r="A88" t="s">
        <v>3176</v>
      </c>
      <c r="B88" t="s">
        <v>2965</v>
      </c>
    </row>
    <row r="89" spans="1:2" x14ac:dyDescent="0.25">
      <c r="A89" t="s">
        <v>3178</v>
      </c>
      <c r="B89" t="s">
        <v>2900</v>
      </c>
    </row>
    <row r="90" spans="1:2" x14ac:dyDescent="0.25">
      <c r="A90" t="s">
        <v>3180</v>
      </c>
      <c r="B90" t="s">
        <v>2948</v>
      </c>
    </row>
    <row r="91" spans="1:2" x14ac:dyDescent="0.25">
      <c r="A91" t="s">
        <v>3182</v>
      </c>
      <c r="B91" t="s">
        <v>2937</v>
      </c>
    </row>
    <row r="92" spans="1:2" x14ac:dyDescent="0.25">
      <c r="A92" t="s">
        <v>3184</v>
      </c>
      <c r="B92" t="s">
        <v>2894</v>
      </c>
    </row>
    <row r="93" spans="1:2" x14ac:dyDescent="0.25">
      <c r="A93" t="s">
        <v>3186</v>
      </c>
      <c r="B93" t="s">
        <v>2913</v>
      </c>
    </row>
    <row r="94" spans="1:2" x14ac:dyDescent="0.25">
      <c r="A94" t="s">
        <v>3188</v>
      </c>
      <c r="B94" t="s">
        <v>2900</v>
      </c>
    </row>
    <row r="95" spans="1:2" x14ac:dyDescent="0.25">
      <c r="A95" t="s">
        <v>3190</v>
      </c>
      <c r="B95" t="s">
        <v>2907</v>
      </c>
    </row>
    <row r="96" spans="1:2" x14ac:dyDescent="0.25">
      <c r="A96" t="s">
        <v>3192</v>
      </c>
      <c r="B96" t="s">
        <v>2990</v>
      </c>
    </row>
    <row r="97" spans="1:2" x14ac:dyDescent="0.25">
      <c r="A97" t="s">
        <v>3194</v>
      </c>
      <c r="B97" t="s">
        <v>2887</v>
      </c>
    </row>
    <row r="98" spans="1:2" x14ac:dyDescent="0.25">
      <c r="A98" t="s">
        <v>3196</v>
      </c>
      <c r="B98" t="s">
        <v>2907</v>
      </c>
    </row>
    <row r="99" spans="1:2" x14ac:dyDescent="0.25">
      <c r="A99" t="s">
        <v>3198</v>
      </c>
      <c r="B99" t="s">
        <v>2975</v>
      </c>
    </row>
    <row r="100" spans="1:2" x14ac:dyDescent="0.25">
      <c r="A100" t="s">
        <v>3200</v>
      </c>
      <c r="B100" t="s">
        <v>2894</v>
      </c>
    </row>
    <row r="101" spans="1:2" x14ac:dyDescent="0.25">
      <c r="A101" t="s">
        <v>3202</v>
      </c>
      <c r="B101" t="s">
        <v>2975</v>
      </c>
    </row>
    <row r="102" spans="1:2" x14ac:dyDescent="0.25">
      <c r="A102" t="s">
        <v>3204</v>
      </c>
      <c r="B102" t="s">
        <v>2954</v>
      </c>
    </row>
    <row r="103" spans="1:2" x14ac:dyDescent="0.25">
      <c r="A103" t="s">
        <v>3206</v>
      </c>
      <c r="B103" t="s">
        <v>2960</v>
      </c>
    </row>
    <row r="104" spans="1:2" x14ac:dyDescent="0.25">
      <c r="A104" t="s">
        <v>3208</v>
      </c>
      <c r="B104" t="s">
        <v>2985</v>
      </c>
    </row>
    <row r="105" spans="1:2" x14ac:dyDescent="0.25">
      <c r="A105" t="s">
        <v>3210</v>
      </c>
      <c r="B105" t="s">
        <v>2907</v>
      </c>
    </row>
    <row r="106" spans="1:2" x14ac:dyDescent="0.25">
      <c r="A106" t="s">
        <v>3212</v>
      </c>
      <c r="B106" t="s">
        <v>2937</v>
      </c>
    </row>
    <row r="107" spans="1:2" x14ac:dyDescent="0.25">
      <c r="A107" t="s">
        <v>3214</v>
      </c>
      <c r="B107" t="s">
        <v>2918</v>
      </c>
    </row>
    <row r="108" spans="1:2" x14ac:dyDescent="0.25">
      <c r="A108" t="s">
        <v>3216</v>
      </c>
      <c r="B108" t="s">
        <v>2990</v>
      </c>
    </row>
    <row r="109" spans="1:2" x14ac:dyDescent="0.25">
      <c r="A109" t="s">
        <v>3218</v>
      </c>
      <c r="B109" t="s">
        <v>2985</v>
      </c>
    </row>
    <row r="110" spans="1:2" x14ac:dyDescent="0.25">
      <c r="A110" t="s">
        <v>3220</v>
      </c>
      <c r="B110" t="s">
        <v>2930</v>
      </c>
    </row>
    <row r="111" spans="1:2" x14ac:dyDescent="0.25">
      <c r="A111" t="s">
        <v>3222</v>
      </c>
      <c r="B111" t="s">
        <v>2900</v>
      </c>
    </row>
    <row r="112" spans="1:2" x14ac:dyDescent="0.25">
      <c r="A112" t="s">
        <v>3224</v>
      </c>
      <c r="B112" t="s">
        <v>2948</v>
      </c>
    </row>
    <row r="113" spans="1:2" x14ac:dyDescent="0.25">
      <c r="A113" t="s">
        <v>3226</v>
      </c>
      <c r="B113" t="s">
        <v>2918</v>
      </c>
    </row>
    <row r="114" spans="1:2" x14ac:dyDescent="0.25">
      <c r="A114" t="s">
        <v>3228</v>
      </c>
      <c r="B114" t="s">
        <v>2918</v>
      </c>
    </row>
    <row r="115" spans="1:2" x14ac:dyDescent="0.25">
      <c r="A115" t="s">
        <v>3230</v>
      </c>
      <c r="B115" t="s">
        <v>2990</v>
      </c>
    </row>
    <row r="116" spans="1:2" x14ac:dyDescent="0.25">
      <c r="A116" t="s">
        <v>3232</v>
      </c>
      <c r="B116" t="s">
        <v>2907</v>
      </c>
    </row>
    <row r="117" spans="1:2" x14ac:dyDescent="0.25">
      <c r="A117" t="s">
        <v>3234</v>
      </c>
      <c r="B117" t="s">
        <v>2887</v>
      </c>
    </row>
    <row r="118" spans="1:2" x14ac:dyDescent="0.25">
      <c r="A118" t="s">
        <v>3236</v>
      </c>
      <c r="B118" t="s">
        <v>2975</v>
      </c>
    </row>
    <row r="119" spans="1:2" x14ac:dyDescent="0.25">
      <c r="A119" t="s">
        <v>3238</v>
      </c>
      <c r="B119" t="s">
        <v>2924</v>
      </c>
    </row>
    <row r="120" spans="1:2" x14ac:dyDescent="0.25">
      <c r="A120" t="s">
        <v>3240</v>
      </c>
      <c r="B120" t="s">
        <v>2913</v>
      </c>
    </row>
    <row r="121" spans="1:2" x14ac:dyDescent="0.25">
      <c r="A121" t="s">
        <v>3242</v>
      </c>
      <c r="B121" t="s">
        <v>2918</v>
      </c>
    </row>
    <row r="122" spans="1:2" x14ac:dyDescent="0.25">
      <c r="A122" t="s">
        <v>3244</v>
      </c>
      <c r="B122" t="s">
        <v>2980</v>
      </c>
    </row>
    <row r="123" spans="1:2" x14ac:dyDescent="0.25">
      <c r="A123" t="s">
        <v>3246</v>
      </c>
      <c r="B123" t="s">
        <v>2930</v>
      </c>
    </row>
    <row r="124" spans="1:2" x14ac:dyDescent="0.25">
      <c r="A124" t="s">
        <v>3248</v>
      </c>
      <c r="B124" t="s">
        <v>2965</v>
      </c>
    </row>
    <row r="125" spans="1:2" x14ac:dyDescent="0.25">
      <c r="A125" t="s">
        <v>3250</v>
      </c>
      <c r="B125" t="s">
        <v>2887</v>
      </c>
    </row>
    <row r="126" spans="1:2" x14ac:dyDescent="0.25">
      <c r="A126" t="s">
        <v>3252</v>
      </c>
      <c r="B126" t="s">
        <v>2980</v>
      </c>
    </row>
    <row r="127" spans="1:2" x14ac:dyDescent="0.25">
      <c r="A127" t="s">
        <v>3254</v>
      </c>
      <c r="B127" t="s">
        <v>2937</v>
      </c>
    </row>
    <row r="128" spans="1:2" x14ac:dyDescent="0.25">
      <c r="A128" t="s">
        <v>3256</v>
      </c>
      <c r="B128" t="s">
        <v>2990</v>
      </c>
    </row>
    <row r="129" spans="1:2" x14ac:dyDescent="0.25">
      <c r="A129" t="s">
        <v>3258</v>
      </c>
      <c r="B129" t="s">
        <v>2924</v>
      </c>
    </row>
    <row r="130" spans="1:2" x14ac:dyDescent="0.25">
      <c r="A130" t="s">
        <v>3260</v>
      </c>
      <c r="B130" t="s">
        <v>2975</v>
      </c>
    </row>
    <row r="131" spans="1:2" x14ac:dyDescent="0.25">
      <c r="A131" t="s">
        <v>3262</v>
      </c>
      <c r="B131" t="s">
        <v>2985</v>
      </c>
    </row>
    <row r="132" spans="1:2" x14ac:dyDescent="0.25">
      <c r="A132" t="s">
        <v>3264</v>
      </c>
      <c r="B132" t="s">
        <v>2930</v>
      </c>
    </row>
    <row r="133" spans="1:2" x14ac:dyDescent="0.25">
      <c r="A133" t="s">
        <v>3266</v>
      </c>
      <c r="B133" t="s">
        <v>2894</v>
      </c>
    </row>
    <row r="134" spans="1:2" x14ac:dyDescent="0.25">
      <c r="A134" t="s">
        <v>3268</v>
      </c>
      <c r="B134" t="s">
        <v>2965</v>
      </c>
    </row>
    <row r="135" spans="1:2" x14ac:dyDescent="0.25">
      <c r="A135" t="s">
        <v>3270</v>
      </c>
      <c r="B135" t="s">
        <v>2924</v>
      </c>
    </row>
    <row r="136" spans="1:2" x14ac:dyDescent="0.25">
      <c r="A136" t="s">
        <v>3272</v>
      </c>
      <c r="B136" t="s">
        <v>2995</v>
      </c>
    </row>
    <row r="137" spans="1:2" x14ac:dyDescent="0.25">
      <c r="A137" t="s">
        <v>3274</v>
      </c>
      <c r="B137" t="s">
        <v>2960</v>
      </c>
    </row>
    <row r="138" spans="1:2" x14ac:dyDescent="0.25">
      <c r="A138" t="s">
        <v>3276</v>
      </c>
      <c r="B138" t="s">
        <v>2924</v>
      </c>
    </row>
    <row r="139" spans="1:2" x14ac:dyDescent="0.25">
      <c r="A139" t="s">
        <v>3278</v>
      </c>
      <c r="B139" t="s">
        <v>2980</v>
      </c>
    </row>
    <row r="140" spans="1:2" x14ac:dyDescent="0.25">
      <c r="A140" t="s">
        <v>3280</v>
      </c>
      <c r="B140" t="s">
        <v>2943</v>
      </c>
    </row>
    <row r="141" spans="1:2" x14ac:dyDescent="0.25">
      <c r="A141" t="s">
        <v>3282</v>
      </c>
      <c r="B141" t="s">
        <v>2954</v>
      </c>
    </row>
    <row r="142" spans="1:2" x14ac:dyDescent="0.25">
      <c r="A142" t="s">
        <v>3284</v>
      </c>
      <c r="B142" t="s">
        <v>2913</v>
      </c>
    </row>
    <row r="143" spans="1:2" x14ac:dyDescent="0.25">
      <c r="A143" t="s">
        <v>3286</v>
      </c>
      <c r="B143" t="s">
        <v>2960</v>
      </c>
    </row>
    <row r="144" spans="1:2" x14ac:dyDescent="0.25">
      <c r="A144" t="s">
        <v>3288</v>
      </c>
      <c r="B144" t="s">
        <v>2990</v>
      </c>
    </row>
    <row r="145" spans="1:2" x14ac:dyDescent="0.25">
      <c r="A145" t="s">
        <v>3290</v>
      </c>
      <c r="B145" t="s">
        <v>2965</v>
      </c>
    </row>
    <row r="146" spans="1:2" x14ac:dyDescent="0.25">
      <c r="A146" t="s">
        <v>3292</v>
      </c>
      <c r="B146" t="s">
        <v>2990</v>
      </c>
    </row>
    <row r="147" spans="1:2" x14ac:dyDescent="0.25">
      <c r="A147" t="s">
        <v>3294</v>
      </c>
      <c r="B147" t="s">
        <v>2943</v>
      </c>
    </row>
    <row r="148" spans="1:2" x14ac:dyDescent="0.25">
      <c r="A148" t="s">
        <v>3296</v>
      </c>
      <c r="B148" t="s">
        <v>2937</v>
      </c>
    </row>
    <row r="149" spans="1:2" x14ac:dyDescent="0.25">
      <c r="A149" t="s">
        <v>3298</v>
      </c>
      <c r="B149" t="s">
        <v>2930</v>
      </c>
    </row>
    <row r="150" spans="1:2" x14ac:dyDescent="0.25">
      <c r="A150" t="s">
        <v>3300</v>
      </c>
      <c r="B150" t="s">
        <v>2995</v>
      </c>
    </row>
    <row r="151" spans="1:2" x14ac:dyDescent="0.25">
      <c r="A151" t="s">
        <v>3302</v>
      </c>
      <c r="B151" t="s">
        <v>2907</v>
      </c>
    </row>
    <row r="152" spans="1:2" x14ac:dyDescent="0.25">
      <c r="A152" t="s">
        <v>3304</v>
      </c>
      <c r="B152" t="s">
        <v>2965</v>
      </c>
    </row>
    <row r="153" spans="1:2" x14ac:dyDescent="0.25">
      <c r="A153" t="s">
        <v>3306</v>
      </c>
      <c r="B153" t="s">
        <v>2937</v>
      </c>
    </row>
    <row r="154" spans="1:2" x14ac:dyDescent="0.25">
      <c r="A154" t="s">
        <v>3308</v>
      </c>
      <c r="B154" t="s">
        <v>2995</v>
      </c>
    </row>
    <row r="155" spans="1:2" x14ac:dyDescent="0.25">
      <c r="A155" t="s">
        <v>3310</v>
      </c>
      <c r="B155" t="s">
        <v>2975</v>
      </c>
    </row>
    <row r="156" spans="1:2" x14ac:dyDescent="0.25">
      <c r="A156" t="s">
        <v>3312</v>
      </c>
      <c r="B156" t="s">
        <v>2887</v>
      </c>
    </row>
    <row r="157" spans="1:2" x14ac:dyDescent="0.25">
      <c r="A157" t="s">
        <v>3314</v>
      </c>
      <c r="B157" t="s">
        <v>2907</v>
      </c>
    </row>
    <row r="158" spans="1:2" x14ac:dyDescent="0.25">
      <c r="A158" t="s">
        <v>3316</v>
      </c>
      <c r="B158" t="s">
        <v>2960</v>
      </c>
    </row>
    <row r="159" spans="1:2" x14ac:dyDescent="0.25">
      <c r="A159" t="s">
        <v>3318</v>
      </c>
      <c r="B159" t="s">
        <v>2990</v>
      </c>
    </row>
    <row r="160" spans="1:2" x14ac:dyDescent="0.25">
      <c r="A160" t="s">
        <v>3320</v>
      </c>
      <c r="B160" t="s">
        <v>2924</v>
      </c>
    </row>
    <row r="161" spans="1:2" x14ac:dyDescent="0.25">
      <c r="A161" t="s">
        <v>3322</v>
      </c>
      <c r="B161" t="s">
        <v>2937</v>
      </c>
    </row>
    <row r="162" spans="1:2" x14ac:dyDescent="0.25">
      <c r="A162" t="s">
        <v>3324</v>
      </c>
      <c r="B162" t="s">
        <v>2913</v>
      </c>
    </row>
    <row r="163" spans="1:2" x14ac:dyDescent="0.25">
      <c r="A163" t="s">
        <v>3326</v>
      </c>
      <c r="B163" t="s">
        <v>2990</v>
      </c>
    </row>
    <row r="164" spans="1:2" x14ac:dyDescent="0.25">
      <c r="A164" t="s">
        <v>3328</v>
      </c>
      <c r="B164" t="s">
        <v>2918</v>
      </c>
    </row>
    <row r="165" spans="1:2" x14ac:dyDescent="0.25">
      <c r="A165" t="s">
        <v>3330</v>
      </c>
      <c r="B165" t="s">
        <v>2990</v>
      </c>
    </row>
    <row r="166" spans="1:2" x14ac:dyDescent="0.25">
      <c r="A166" t="s">
        <v>3332</v>
      </c>
      <c r="B166" t="s">
        <v>2907</v>
      </c>
    </row>
    <row r="167" spans="1:2" x14ac:dyDescent="0.25">
      <c r="A167" t="s">
        <v>3334</v>
      </c>
      <c r="B167" t="s">
        <v>2930</v>
      </c>
    </row>
    <row r="168" spans="1:2" x14ac:dyDescent="0.25">
      <c r="A168" t="s">
        <v>3336</v>
      </c>
      <c r="B168" t="s">
        <v>2913</v>
      </c>
    </row>
    <row r="169" spans="1:2" x14ac:dyDescent="0.25">
      <c r="A169" t="s">
        <v>3338</v>
      </c>
      <c r="B169" t="s">
        <v>2894</v>
      </c>
    </row>
    <row r="170" spans="1:2" x14ac:dyDescent="0.25">
      <c r="A170" t="s">
        <v>3340</v>
      </c>
      <c r="B170" t="s">
        <v>2930</v>
      </c>
    </row>
    <row r="171" spans="1:2" x14ac:dyDescent="0.25">
      <c r="A171" t="s">
        <v>3342</v>
      </c>
      <c r="B171" t="s">
        <v>2930</v>
      </c>
    </row>
    <row r="172" spans="1:2" x14ac:dyDescent="0.25">
      <c r="A172" t="s">
        <v>3344</v>
      </c>
      <c r="B172" t="s">
        <v>2894</v>
      </c>
    </row>
    <row r="173" spans="1:2" x14ac:dyDescent="0.25">
      <c r="A173" t="s">
        <v>3346</v>
      </c>
      <c r="B173" t="s">
        <v>2900</v>
      </c>
    </row>
    <row r="174" spans="1:2" x14ac:dyDescent="0.25">
      <c r="A174" t="s">
        <v>3348</v>
      </c>
      <c r="B174" t="s">
        <v>2960</v>
      </c>
    </row>
    <row r="175" spans="1:2" x14ac:dyDescent="0.25">
      <c r="A175" t="s">
        <v>3350</v>
      </c>
      <c r="B175" t="s">
        <v>2913</v>
      </c>
    </row>
    <row r="176" spans="1:2" x14ac:dyDescent="0.25">
      <c r="A176" t="s">
        <v>3352</v>
      </c>
      <c r="B176" t="s">
        <v>2924</v>
      </c>
    </row>
    <row r="177" spans="1:2" x14ac:dyDescent="0.25">
      <c r="A177" t="s">
        <v>3354</v>
      </c>
      <c r="B177" t="s">
        <v>2937</v>
      </c>
    </row>
    <row r="178" spans="1:2" x14ac:dyDescent="0.25">
      <c r="A178" t="s">
        <v>3356</v>
      </c>
      <c r="B178" t="s">
        <v>2907</v>
      </c>
    </row>
    <row r="179" spans="1:2" x14ac:dyDescent="0.25">
      <c r="A179" t="s">
        <v>3358</v>
      </c>
      <c r="B179" t="s">
        <v>2990</v>
      </c>
    </row>
    <row r="180" spans="1:2" x14ac:dyDescent="0.25">
      <c r="A180" t="s">
        <v>3360</v>
      </c>
      <c r="B180" t="s">
        <v>2887</v>
      </c>
    </row>
    <row r="181" spans="1:2" x14ac:dyDescent="0.25">
      <c r="A181" t="s">
        <v>3362</v>
      </c>
      <c r="B181" t="s">
        <v>2924</v>
      </c>
    </row>
    <row r="182" spans="1:2" x14ac:dyDescent="0.25">
      <c r="A182" t="s">
        <v>3364</v>
      </c>
      <c r="B182" t="s">
        <v>2907</v>
      </c>
    </row>
    <row r="183" spans="1:2" x14ac:dyDescent="0.25">
      <c r="A183" t="s">
        <v>3366</v>
      </c>
      <c r="B183" t="s">
        <v>2887</v>
      </c>
    </row>
    <row r="184" spans="1:2" x14ac:dyDescent="0.25">
      <c r="A184" t="s">
        <v>3368</v>
      </c>
      <c r="B184" t="s">
        <v>2965</v>
      </c>
    </row>
    <row r="185" spans="1:2" x14ac:dyDescent="0.25">
      <c r="A185" t="s">
        <v>3370</v>
      </c>
      <c r="B185" t="s">
        <v>2907</v>
      </c>
    </row>
    <row r="186" spans="1:2" x14ac:dyDescent="0.25">
      <c r="A186" t="s">
        <v>3372</v>
      </c>
      <c r="B186" t="s">
        <v>2948</v>
      </c>
    </row>
    <row r="187" spans="1:2" x14ac:dyDescent="0.25">
      <c r="A187" t="s">
        <v>3374</v>
      </c>
      <c r="B187" t="s">
        <v>2924</v>
      </c>
    </row>
    <row r="188" spans="1:2" x14ac:dyDescent="0.25">
      <c r="A188" t="s">
        <v>3376</v>
      </c>
      <c r="B188" t="s">
        <v>2970</v>
      </c>
    </row>
    <row r="189" spans="1:2" x14ac:dyDescent="0.25">
      <c r="A189" t="s">
        <v>3378</v>
      </c>
      <c r="B189" t="s">
        <v>2913</v>
      </c>
    </row>
    <row r="190" spans="1:2" x14ac:dyDescent="0.25">
      <c r="A190" t="s">
        <v>3380</v>
      </c>
      <c r="B190" t="s">
        <v>2913</v>
      </c>
    </row>
    <row r="191" spans="1:2" x14ac:dyDescent="0.25">
      <c r="A191" t="s">
        <v>3382</v>
      </c>
      <c r="B191" t="s">
        <v>2907</v>
      </c>
    </row>
    <row r="192" spans="1:2" x14ac:dyDescent="0.25">
      <c r="A192" t="s">
        <v>3384</v>
      </c>
      <c r="B192" t="s">
        <v>2954</v>
      </c>
    </row>
    <row r="193" spans="1:2" x14ac:dyDescent="0.25">
      <c r="A193" t="s">
        <v>3386</v>
      </c>
      <c r="B193" t="s">
        <v>2948</v>
      </c>
    </row>
    <row r="194" spans="1:2" x14ac:dyDescent="0.25">
      <c r="A194" t="s">
        <v>3388</v>
      </c>
      <c r="B194" t="s">
        <v>2965</v>
      </c>
    </row>
    <row r="195" spans="1:2" x14ac:dyDescent="0.25">
      <c r="A195" t="s">
        <v>3390</v>
      </c>
      <c r="B195" t="s">
        <v>2960</v>
      </c>
    </row>
    <row r="196" spans="1:2" x14ac:dyDescent="0.25">
      <c r="A196" t="s">
        <v>3392</v>
      </c>
      <c r="B196" t="s">
        <v>2980</v>
      </c>
    </row>
    <row r="197" spans="1:2" x14ac:dyDescent="0.25">
      <c r="A197" t="s">
        <v>3394</v>
      </c>
      <c r="B197" t="s">
        <v>2937</v>
      </c>
    </row>
    <row r="198" spans="1:2" x14ac:dyDescent="0.25">
      <c r="A198" t="s">
        <v>3396</v>
      </c>
      <c r="B198" t="s">
        <v>2970</v>
      </c>
    </row>
    <row r="199" spans="1:2" x14ac:dyDescent="0.25">
      <c r="A199" t="s">
        <v>3398</v>
      </c>
      <c r="B199" t="s">
        <v>2924</v>
      </c>
    </row>
    <row r="200" spans="1:2" x14ac:dyDescent="0.25">
      <c r="A200" t="s">
        <v>3400</v>
      </c>
      <c r="B200" t="s">
        <v>2913</v>
      </c>
    </row>
    <row r="201" spans="1:2" x14ac:dyDescent="0.25">
      <c r="A201" t="s">
        <v>3402</v>
      </c>
      <c r="B201" t="s">
        <v>2924</v>
      </c>
    </row>
    <row r="202" spans="1:2" x14ac:dyDescent="0.25">
      <c r="A202" t="s">
        <v>3404</v>
      </c>
      <c r="B202" t="s">
        <v>2960</v>
      </c>
    </row>
    <row r="203" spans="1:2" x14ac:dyDescent="0.25">
      <c r="A203" t="s">
        <v>3406</v>
      </c>
      <c r="B203" t="s">
        <v>2954</v>
      </c>
    </row>
    <row r="204" spans="1:2" x14ac:dyDescent="0.25">
      <c r="A204" t="s">
        <v>3408</v>
      </c>
      <c r="B204" t="s">
        <v>2924</v>
      </c>
    </row>
    <row r="205" spans="1:2" x14ac:dyDescent="0.25">
      <c r="A205" t="s">
        <v>3410</v>
      </c>
      <c r="B205" t="s">
        <v>2930</v>
      </c>
    </row>
    <row r="206" spans="1:2" x14ac:dyDescent="0.25">
      <c r="A206" t="s">
        <v>3412</v>
      </c>
      <c r="B206" t="s">
        <v>2975</v>
      </c>
    </row>
    <row r="207" spans="1:2" x14ac:dyDescent="0.25">
      <c r="A207" t="s">
        <v>3414</v>
      </c>
      <c r="B207" t="s">
        <v>2975</v>
      </c>
    </row>
    <row r="208" spans="1:2" x14ac:dyDescent="0.25">
      <c r="A208" t="s">
        <v>3416</v>
      </c>
      <c r="B208" t="s">
        <v>2937</v>
      </c>
    </row>
    <row r="209" spans="1:2" x14ac:dyDescent="0.25">
      <c r="A209" t="s">
        <v>3418</v>
      </c>
      <c r="B209" t="s">
        <v>2965</v>
      </c>
    </row>
    <row r="210" spans="1:2" x14ac:dyDescent="0.25">
      <c r="A210" t="s">
        <v>3420</v>
      </c>
      <c r="B210" t="s">
        <v>2894</v>
      </c>
    </row>
    <row r="211" spans="1:2" x14ac:dyDescent="0.25">
      <c r="A211" t="s">
        <v>3422</v>
      </c>
      <c r="B211" t="s">
        <v>2937</v>
      </c>
    </row>
    <row r="212" spans="1:2" x14ac:dyDescent="0.25">
      <c r="A212" t="s">
        <v>3424</v>
      </c>
      <c r="B212" t="s">
        <v>2887</v>
      </c>
    </row>
    <row r="213" spans="1:2" x14ac:dyDescent="0.25">
      <c r="A213" t="s">
        <v>3426</v>
      </c>
      <c r="B213" t="s">
        <v>2965</v>
      </c>
    </row>
    <row r="214" spans="1:2" x14ac:dyDescent="0.25">
      <c r="A214" t="s">
        <v>3428</v>
      </c>
      <c r="B214" t="s">
        <v>2970</v>
      </c>
    </row>
    <row r="215" spans="1:2" x14ac:dyDescent="0.25">
      <c r="A215" t="s">
        <v>3430</v>
      </c>
      <c r="B215" t="s">
        <v>2918</v>
      </c>
    </row>
    <row r="216" spans="1:2" x14ac:dyDescent="0.25">
      <c r="A216" t="s">
        <v>3432</v>
      </c>
      <c r="B216" t="s">
        <v>2894</v>
      </c>
    </row>
    <row r="217" spans="1:2" x14ac:dyDescent="0.25">
      <c r="A217" t="s">
        <v>3434</v>
      </c>
      <c r="B217" t="s">
        <v>2894</v>
      </c>
    </row>
    <row r="218" spans="1:2" x14ac:dyDescent="0.25">
      <c r="A218" t="s">
        <v>3436</v>
      </c>
      <c r="B218" t="s">
        <v>2970</v>
      </c>
    </row>
    <row r="219" spans="1:2" x14ac:dyDescent="0.25">
      <c r="A219" t="s">
        <v>3438</v>
      </c>
      <c r="B219" t="s">
        <v>2980</v>
      </c>
    </row>
    <row r="220" spans="1:2" x14ac:dyDescent="0.25">
      <c r="A220" t="s">
        <v>3440</v>
      </c>
      <c r="B220" t="s">
        <v>2943</v>
      </c>
    </row>
    <row r="221" spans="1:2" x14ac:dyDescent="0.25">
      <c r="A221" t="s">
        <v>3442</v>
      </c>
      <c r="B221" t="s">
        <v>2924</v>
      </c>
    </row>
    <row r="222" spans="1:2" x14ac:dyDescent="0.25">
      <c r="A222" t="s">
        <v>3444</v>
      </c>
      <c r="B222" t="s">
        <v>2965</v>
      </c>
    </row>
    <row r="223" spans="1:2" x14ac:dyDescent="0.25">
      <c r="A223" t="s">
        <v>3446</v>
      </c>
      <c r="B223" t="s">
        <v>2907</v>
      </c>
    </row>
    <row r="224" spans="1:2" x14ac:dyDescent="0.25">
      <c r="A224" t="s">
        <v>3448</v>
      </c>
      <c r="B224" t="s">
        <v>2943</v>
      </c>
    </row>
    <row r="225" spans="1:2" x14ac:dyDescent="0.25">
      <c r="A225" t="s">
        <v>3450</v>
      </c>
      <c r="B225" t="s">
        <v>2913</v>
      </c>
    </row>
    <row r="226" spans="1:2" x14ac:dyDescent="0.25">
      <c r="A226" t="s">
        <v>3452</v>
      </c>
      <c r="B226" t="s">
        <v>2943</v>
      </c>
    </row>
    <row r="227" spans="1:2" x14ac:dyDescent="0.25">
      <c r="A227" t="s">
        <v>3454</v>
      </c>
      <c r="B227" t="s">
        <v>2937</v>
      </c>
    </row>
    <row r="228" spans="1:2" x14ac:dyDescent="0.25">
      <c r="A228" t="s">
        <v>3456</v>
      </c>
      <c r="B228" t="s">
        <v>2918</v>
      </c>
    </row>
    <row r="229" spans="1:2" x14ac:dyDescent="0.25">
      <c r="A229" t="s">
        <v>3458</v>
      </c>
      <c r="B229" t="s">
        <v>2965</v>
      </c>
    </row>
    <row r="230" spans="1:2" x14ac:dyDescent="0.25">
      <c r="A230" t="s">
        <v>3460</v>
      </c>
      <c r="B230" t="s">
        <v>2887</v>
      </c>
    </row>
    <row r="231" spans="1:2" x14ac:dyDescent="0.25">
      <c r="A231" t="s">
        <v>3462</v>
      </c>
      <c r="B231" t="s">
        <v>2975</v>
      </c>
    </row>
    <row r="232" spans="1:2" x14ac:dyDescent="0.25">
      <c r="A232" t="s">
        <v>3464</v>
      </c>
      <c r="B232" t="s">
        <v>2980</v>
      </c>
    </row>
    <row r="233" spans="1:2" x14ac:dyDescent="0.25">
      <c r="A233" t="s">
        <v>3466</v>
      </c>
      <c r="B233" t="s">
        <v>2900</v>
      </c>
    </row>
    <row r="234" spans="1:2" x14ac:dyDescent="0.25">
      <c r="A234" t="s">
        <v>3468</v>
      </c>
      <c r="B234" t="s">
        <v>2990</v>
      </c>
    </row>
    <row r="235" spans="1:2" x14ac:dyDescent="0.25">
      <c r="A235" t="s">
        <v>3470</v>
      </c>
      <c r="B235" t="s">
        <v>2970</v>
      </c>
    </row>
    <row r="236" spans="1:2" x14ac:dyDescent="0.25">
      <c r="A236" t="s">
        <v>3472</v>
      </c>
      <c r="B236" t="s">
        <v>2954</v>
      </c>
    </row>
    <row r="237" spans="1:2" x14ac:dyDescent="0.25">
      <c r="A237" t="s">
        <v>3474</v>
      </c>
      <c r="B237" t="s">
        <v>2943</v>
      </c>
    </row>
    <row r="238" spans="1:2" x14ac:dyDescent="0.25">
      <c r="A238" t="s">
        <v>3476</v>
      </c>
      <c r="B238" t="s">
        <v>2930</v>
      </c>
    </row>
    <row r="239" spans="1:2" x14ac:dyDescent="0.25">
      <c r="A239" t="s">
        <v>3478</v>
      </c>
      <c r="B239" t="s">
        <v>2970</v>
      </c>
    </row>
    <row r="240" spans="1:2" x14ac:dyDescent="0.25">
      <c r="A240" t="s">
        <v>3480</v>
      </c>
      <c r="B240" t="s">
        <v>2924</v>
      </c>
    </row>
    <row r="241" spans="1:2" x14ac:dyDescent="0.25">
      <c r="A241" t="s">
        <v>3482</v>
      </c>
      <c r="B241" t="s">
        <v>2937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501"/>
  <sheetViews>
    <sheetView workbookViewId="0">
      <selection sqref="A1:J2501"/>
    </sheetView>
  </sheetViews>
  <sheetFormatPr defaultRowHeight="15" x14ac:dyDescent="0.25"/>
  <cols>
    <col min="1" max="1" width="9.85546875" bestFit="1" customWidth="1"/>
    <col min="2" max="2" width="9" bestFit="1" customWidth="1"/>
    <col min="3" max="3" width="9.42578125" bestFit="1" customWidth="1"/>
    <col min="4" max="4" width="11.85546875" bestFit="1" customWidth="1"/>
    <col min="5" max="5" width="10.85546875" bestFit="1" customWidth="1"/>
    <col min="6" max="6" width="13.5703125" bestFit="1" customWidth="1"/>
    <col min="7" max="7" width="13.85546875" bestFit="1" customWidth="1"/>
    <col min="8" max="8" width="6.42578125" bestFit="1" customWidth="1"/>
    <col min="9" max="9" width="6.5703125" bestFit="1" customWidth="1"/>
    <col min="10" max="10" width="17.28515625" bestFit="1" customWidth="1"/>
  </cols>
  <sheetData>
    <row r="1" spans="1:10" x14ac:dyDescent="0.25">
      <c r="A1" s="1" t="s">
        <v>0</v>
      </c>
      <c r="B1" s="1" t="s">
        <v>14</v>
      </c>
      <c r="C1" s="1" t="s">
        <v>17</v>
      </c>
      <c r="D1" s="1" t="s">
        <v>3002</v>
      </c>
      <c r="E1" s="1" t="s">
        <v>3484</v>
      </c>
      <c r="F1" s="1" t="s">
        <v>3485</v>
      </c>
      <c r="G1" s="1" t="s">
        <v>3486</v>
      </c>
      <c r="H1" s="1" t="s">
        <v>3487</v>
      </c>
      <c r="I1" s="1" t="s">
        <v>3488</v>
      </c>
      <c r="J1" s="13" t="s">
        <v>2884</v>
      </c>
    </row>
    <row r="2" spans="1:10" x14ac:dyDescent="0.25">
      <c r="A2" t="s">
        <v>18</v>
      </c>
      <c r="B2" t="s">
        <v>30</v>
      </c>
      <c r="C2">
        <v>6</v>
      </c>
      <c r="D2" t="s">
        <v>3354</v>
      </c>
      <c r="E2">
        <v>69</v>
      </c>
      <c r="F2">
        <v>25</v>
      </c>
      <c r="G2">
        <v>44</v>
      </c>
      <c r="H2" t="s">
        <v>3489</v>
      </c>
      <c r="I2" t="s">
        <v>3490</v>
      </c>
      <c r="J2" t="s">
        <v>2895</v>
      </c>
    </row>
    <row r="3" spans="1:10" x14ac:dyDescent="0.25">
      <c r="A3" t="s">
        <v>18</v>
      </c>
      <c r="B3" t="s">
        <v>30</v>
      </c>
      <c r="C3">
        <v>6</v>
      </c>
      <c r="D3" t="s">
        <v>3356</v>
      </c>
      <c r="E3">
        <v>48</v>
      </c>
      <c r="F3">
        <v>18</v>
      </c>
      <c r="G3">
        <v>30</v>
      </c>
      <c r="H3" t="s">
        <v>3491</v>
      </c>
      <c r="I3" t="s">
        <v>3492</v>
      </c>
      <c r="J3" t="s">
        <v>2895</v>
      </c>
    </row>
    <row r="4" spans="1:10" x14ac:dyDescent="0.25">
      <c r="A4" t="s">
        <v>18</v>
      </c>
      <c r="B4" t="s">
        <v>30</v>
      </c>
      <c r="C4">
        <v>6</v>
      </c>
      <c r="D4" t="s">
        <v>3358</v>
      </c>
      <c r="E4">
        <v>59</v>
      </c>
      <c r="F4">
        <v>25</v>
      </c>
      <c r="G4">
        <v>34</v>
      </c>
      <c r="H4" t="s">
        <v>3493</v>
      </c>
      <c r="I4" t="s">
        <v>3490</v>
      </c>
      <c r="J4" t="s">
        <v>2895</v>
      </c>
    </row>
    <row r="5" spans="1:10" x14ac:dyDescent="0.25">
      <c r="A5" t="s">
        <v>18</v>
      </c>
      <c r="B5" t="s">
        <v>30</v>
      </c>
      <c r="C5">
        <v>6</v>
      </c>
      <c r="D5" t="s">
        <v>3360</v>
      </c>
      <c r="E5">
        <v>52</v>
      </c>
      <c r="F5">
        <v>24</v>
      </c>
      <c r="G5">
        <v>28</v>
      </c>
      <c r="H5" t="s">
        <v>3493</v>
      </c>
      <c r="I5" t="s">
        <v>3490</v>
      </c>
      <c r="J5" t="s">
        <v>2895</v>
      </c>
    </row>
    <row r="6" spans="1:10" x14ac:dyDescent="0.25">
      <c r="A6" t="s">
        <v>18</v>
      </c>
      <c r="B6" t="s">
        <v>30</v>
      </c>
      <c r="C6">
        <v>6</v>
      </c>
      <c r="D6" t="s">
        <v>3362</v>
      </c>
      <c r="E6">
        <v>79</v>
      </c>
      <c r="F6">
        <v>10</v>
      </c>
      <c r="G6">
        <v>69</v>
      </c>
      <c r="H6" t="s">
        <v>3494</v>
      </c>
      <c r="I6" t="s">
        <v>3490</v>
      </c>
      <c r="J6" t="s">
        <v>2895</v>
      </c>
    </row>
    <row r="7" spans="1:10" x14ac:dyDescent="0.25">
      <c r="A7" t="s">
        <v>32</v>
      </c>
      <c r="B7" t="s">
        <v>30</v>
      </c>
      <c r="C7">
        <v>4</v>
      </c>
      <c r="D7" t="s">
        <v>3334</v>
      </c>
      <c r="E7">
        <v>78</v>
      </c>
      <c r="F7">
        <v>17</v>
      </c>
      <c r="G7">
        <v>61</v>
      </c>
      <c r="H7" t="s">
        <v>3494</v>
      </c>
      <c r="I7" t="s">
        <v>3490</v>
      </c>
      <c r="J7" t="s">
        <v>2895</v>
      </c>
    </row>
    <row r="8" spans="1:10" x14ac:dyDescent="0.25">
      <c r="A8" t="s">
        <v>32</v>
      </c>
      <c r="B8" t="s">
        <v>30</v>
      </c>
      <c r="C8">
        <v>4</v>
      </c>
      <c r="D8" t="s">
        <v>3336</v>
      </c>
      <c r="E8">
        <v>69</v>
      </c>
      <c r="F8">
        <v>25</v>
      </c>
      <c r="G8">
        <v>44</v>
      </c>
      <c r="H8" t="s">
        <v>3489</v>
      </c>
      <c r="I8" t="s">
        <v>3490</v>
      </c>
      <c r="J8" t="s">
        <v>2895</v>
      </c>
    </row>
    <row r="9" spans="1:10" x14ac:dyDescent="0.25">
      <c r="A9" t="s">
        <v>32</v>
      </c>
      <c r="B9" t="s">
        <v>30</v>
      </c>
      <c r="C9">
        <v>4</v>
      </c>
      <c r="D9" t="s">
        <v>3338</v>
      </c>
      <c r="E9">
        <v>72</v>
      </c>
      <c r="F9">
        <v>17</v>
      </c>
      <c r="G9">
        <v>55</v>
      </c>
      <c r="H9" t="s">
        <v>3494</v>
      </c>
      <c r="I9" t="s">
        <v>3490</v>
      </c>
      <c r="J9" t="s">
        <v>2895</v>
      </c>
    </row>
    <row r="10" spans="1:10" x14ac:dyDescent="0.25">
      <c r="A10" t="s">
        <v>32</v>
      </c>
      <c r="B10" t="s">
        <v>30</v>
      </c>
      <c r="C10">
        <v>4</v>
      </c>
      <c r="D10" t="s">
        <v>3340</v>
      </c>
      <c r="E10">
        <v>87</v>
      </c>
      <c r="F10">
        <v>26</v>
      </c>
      <c r="G10">
        <v>61</v>
      </c>
      <c r="H10" t="s">
        <v>196</v>
      </c>
      <c r="I10" t="s">
        <v>3490</v>
      </c>
      <c r="J10" t="s">
        <v>2895</v>
      </c>
    </row>
    <row r="11" spans="1:10" x14ac:dyDescent="0.25">
      <c r="A11" t="s">
        <v>32</v>
      </c>
      <c r="B11" t="s">
        <v>30</v>
      </c>
      <c r="C11">
        <v>4</v>
      </c>
      <c r="D11" t="s">
        <v>3342</v>
      </c>
      <c r="E11">
        <v>41</v>
      </c>
      <c r="F11">
        <v>14</v>
      </c>
      <c r="G11">
        <v>27</v>
      </c>
      <c r="H11" t="s">
        <v>3491</v>
      </c>
      <c r="I11" t="s">
        <v>3492</v>
      </c>
      <c r="J11" t="s">
        <v>2895</v>
      </c>
    </row>
    <row r="12" spans="1:10" x14ac:dyDescent="0.25">
      <c r="A12" t="s">
        <v>44</v>
      </c>
      <c r="B12" t="s">
        <v>30</v>
      </c>
      <c r="C12">
        <v>4</v>
      </c>
      <c r="D12" t="s">
        <v>3334</v>
      </c>
      <c r="E12">
        <v>84</v>
      </c>
      <c r="F12">
        <v>18</v>
      </c>
      <c r="G12">
        <v>66</v>
      </c>
      <c r="H12" t="s">
        <v>196</v>
      </c>
      <c r="I12" t="s">
        <v>3490</v>
      </c>
      <c r="J12" t="s">
        <v>2895</v>
      </c>
    </row>
    <row r="13" spans="1:10" x14ac:dyDescent="0.25">
      <c r="A13" t="s">
        <v>44</v>
      </c>
      <c r="B13" t="s">
        <v>30</v>
      </c>
      <c r="C13">
        <v>4</v>
      </c>
      <c r="D13" t="s">
        <v>3336</v>
      </c>
      <c r="E13">
        <v>74</v>
      </c>
      <c r="F13">
        <v>21</v>
      </c>
      <c r="G13">
        <v>53</v>
      </c>
      <c r="H13" t="s">
        <v>3494</v>
      </c>
      <c r="I13" t="s">
        <v>3490</v>
      </c>
      <c r="J13" t="s">
        <v>2895</v>
      </c>
    </row>
    <row r="14" spans="1:10" x14ac:dyDescent="0.25">
      <c r="A14" t="s">
        <v>44</v>
      </c>
      <c r="B14" t="s">
        <v>30</v>
      </c>
      <c r="C14">
        <v>4</v>
      </c>
      <c r="D14" t="s">
        <v>3338</v>
      </c>
      <c r="E14">
        <v>82</v>
      </c>
      <c r="F14">
        <v>18</v>
      </c>
      <c r="G14">
        <v>64</v>
      </c>
      <c r="H14" t="s">
        <v>196</v>
      </c>
      <c r="I14" t="s">
        <v>3490</v>
      </c>
      <c r="J14" t="s">
        <v>2895</v>
      </c>
    </row>
    <row r="15" spans="1:10" x14ac:dyDescent="0.25">
      <c r="A15" t="s">
        <v>44</v>
      </c>
      <c r="B15" t="s">
        <v>30</v>
      </c>
      <c r="C15">
        <v>4</v>
      </c>
      <c r="D15" t="s">
        <v>3340</v>
      </c>
      <c r="E15">
        <v>50</v>
      </c>
      <c r="F15">
        <v>13</v>
      </c>
      <c r="G15">
        <v>37</v>
      </c>
      <c r="H15" t="s">
        <v>3493</v>
      </c>
      <c r="I15" t="s">
        <v>3490</v>
      </c>
      <c r="J15" t="s">
        <v>2895</v>
      </c>
    </row>
    <row r="16" spans="1:10" x14ac:dyDescent="0.25">
      <c r="A16" t="s">
        <v>44</v>
      </c>
      <c r="B16" t="s">
        <v>30</v>
      </c>
      <c r="C16">
        <v>4</v>
      </c>
      <c r="D16" t="s">
        <v>3342</v>
      </c>
      <c r="E16">
        <v>65</v>
      </c>
      <c r="F16">
        <v>26</v>
      </c>
      <c r="G16">
        <v>39</v>
      </c>
      <c r="H16" t="s">
        <v>3489</v>
      </c>
      <c r="I16" t="s">
        <v>3490</v>
      </c>
      <c r="J16" t="s">
        <v>2895</v>
      </c>
    </row>
    <row r="17" spans="1:10" x14ac:dyDescent="0.25">
      <c r="A17" t="s">
        <v>54</v>
      </c>
      <c r="B17" t="s">
        <v>63</v>
      </c>
      <c r="C17">
        <v>6</v>
      </c>
      <c r="D17" t="s">
        <v>3414</v>
      </c>
      <c r="E17">
        <v>43</v>
      </c>
      <c r="F17">
        <v>22</v>
      </c>
      <c r="G17">
        <v>21</v>
      </c>
      <c r="H17" t="s">
        <v>3491</v>
      </c>
      <c r="I17" t="s">
        <v>3492</v>
      </c>
      <c r="J17" t="s">
        <v>2932</v>
      </c>
    </row>
    <row r="18" spans="1:10" x14ac:dyDescent="0.25">
      <c r="A18" t="s">
        <v>54</v>
      </c>
      <c r="B18" t="s">
        <v>63</v>
      </c>
      <c r="C18">
        <v>6</v>
      </c>
      <c r="D18" t="s">
        <v>3416</v>
      </c>
      <c r="E18">
        <v>68</v>
      </c>
      <c r="F18">
        <v>12</v>
      </c>
      <c r="G18">
        <v>56</v>
      </c>
      <c r="H18" t="s">
        <v>3489</v>
      </c>
      <c r="I18" t="s">
        <v>3490</v>
      </c>
      <c r="J18" t="s">
        <v>2932</v>
      </c>
    </row>
    <row r="19" spans="1:10" x14ac:dyDescent="0.25">
      <c r="A19" t="s">
        <v>54</v>
      </c>
      <c r="B19" t="s">
        <v>63</v>
      </c>
      <c r="C19">
        <v>6</v>
      </c>
      <c r="D19" t="s">
        <v>3418</v>
      </c>
      <c r="E19">
        <v>48</v>
      </c>
      <c r="F19">
        <v>13</v>
      </c>
      <c r="G19">
        <v>35</v>
      </c>
      <c r="H19" t="s">
        <v>3491</v>
      </c>
      <c r="I19" t="s">
        <v>3492</v>
      </c>
      <c r="J19" t="s">
        <v>2932</v>
      </c>
    </row>
    <row r="20" spans="1:10" x14ac:dyDescent="0.25">
      <c r="A20" t="s">
        <v>54</v>
      </c>
      <c r="B20" t="s">
        <v>63</v>
      </c>
      <c r="C20">
        <v>6</v>
      </c>
      <c r="D20" t="s">
        <v>3420</v>
      </c>
      <c r="E20">
        <v>55</v>
      </c>
      <c r="F20">
        <v>19</v>
      </c>
      <c r="G20">
        <v>36</v>
      </c>
      <c r="H20" t="s">
        <v>3493</v>
      </c>
      <c r="I20" t="s">
        <v>3490</v>
      </c>
      <c r="J20" t="s">
        <v>2932</v>
      </c>
    </row>
    <row r="21" spans="1:10" x14ac:dyDescent="0.25">
      <c r="A21" t="s">
        <v>54</v>
      </c>
      <c r="B21" t="s">
        <v>63</v>
      </c>
      <c r="C21">
        <v>6</v>
      </c>
      <c r="D21" t="s">
        <v>3422</v>
      </c>
      <c r="E21">
        <v>85</v>
      </c>
      <c r="F21">
        <v>17</v>
      </c>
      <c r="G21">
        <v>68</v>
      </c>
      <c r="H21" t="s">
        <v>196</v>
      </c>
      <c r="I21" t="s">
        <v>3490</v>
      </c>
      <c r="J21" t="s">
        <v>2932</v>
      </c>
    </row>
    <row r="22" spans="1:10" x14ac:dyDescent="0.25">
      <c r="A22" t="s">
        <v>65</v>
      </c>
      <c r="B22" t="s">
        <v>75</v>
      </c>
      <c r="C22">
        <v>8</v>
      </c>
      <c r="D22" t="s">
        <v>3054</v>
      </c>
      <c r="E22">
        <v>86</v>
      </c>
      <c r="F22">
        <v>27</v>
      </c>
      <c r="G22">
        <v>59</v>
      </c>
      <c r="H22" t="s">
        <v>196</v>
      </c>
      <c r="I22" t="s">
        <v>3490</v>
      </c>
      <c r="J22" t="s">
        <v>2961</v>
      </c>
    </row>
    <row r="23" spans="1:10" x14ac:dyDescent="0.25">
      <c r="A23" t="s">
        <v>65</v>
      </c>
      <c r="B23" t="s">
        <v>75</v>
      </c>
      <c r="C23">
        <v>8</v>
      </c>
      <c r="D23" t="s">
        <v>3056</v>
      </c>
      <c r="E23">
        <v>81</v>
      </c>
      <c r="F23">
        <v>28</v>
      </c>
      <c r="G23">
        <v>53</v>
      </c>
      <c r="H23" t="s">
        <v>196</v>
      </c>
      <c r="I23" t="s">
        <v>3490</v>
      </c>
      <c r="J23" t="s">
        <v>2961</v>
      </c>
    </row>
    <row r="24" spans="1:10" x14ac:dyDescent="0.25">
      <c r="A24" t="s">
        <v>65</v>
      </c>
      <c r="B24" t="s">
        <v>75</v>
      </c>
      <c r="C24">
        <v>8</v>
      </c>
      <c r="D24" t="s">
        <v>3058</v>
      </c>
      <c r="E24">
        <v>75</v>
      </c>
      <c r="F24">
        <v>15</v>
      </c>
      <c r="G24">
        <v>60</v>
      </c>
      <c r="H24" t="s">
        <v>3494</v>
      </c>
      <c r="I24" t="s">
        <v>3490</v>
      </c>
      <c r="J24" t="s">
        <v>2961</v>
      </c>
    </row>
    <row r="25" spans="1:10" x14ac:dyDescent="0.25">
      <c r="A25" t="s">
        <v>65</v>
      </c>
      <c r="B25" t="s">
        <v>75</v>
      </c>
      <c r="C25">
        <v>8</v>
      </c>
      <c r="D25" t="s">
        <v>3060</v>
      </c>
      <c r="E25">
        <v>78</v>
      </c>
      <c r="F25">
        <v>25</v>
      </c>
      <c r="G25">
        <v>53</v>
      </c>
      <c r="H25" t="s">
        <v>3494</v>
      </c>
      <c r="I25" t="s">
        <v>3490</v>
      </c>
      <c r="J25" t="s">
        <v>2961</v>
      </c>
    </row>
    <row r="26" spans="1:10" x14ac:dyDescent="0.25">
      <c r="A26" t="s">
        <v>65</v>
      </c>
      <c r="B26" t="s">
        <v>75</v>
      </c>
      <c r="C26">
        <v>8</v>
      </c>
      <c r="D26" t="s">
        <v>3062</v>
      </c>
      <c r="E26">
        <v>39</v>
      </c>
      <c r="F26">
        <v>10</v>
      </c>
      <c r="G26">
        <v>29</v>
      </c>
      <c r="H26" t="s">
        <v>3491</v>
      </c>
      <c r="I26" t="s">
        <v>3492</v>
      </c>
      <c r="J26" t="s">
        <v>2961</v>
      </c>
    </row>
    <row r="27" spans="1:10" x14ac:dyDescent="0.25">
      <c r="A27" t="s">
        <v>77</v>
      </c>
      <c r="B27" t="s">
        <v>63</v>
      </c>
      <c r="C27">
        <v>8</v>
      </c>
      <c r="D27" t="s">
        <v>3414</v>
      </c>
      <c r="E27">
        <v>50</v>
      </c>
      <c r="F27">
        <v>10</v>
      </c>
      <c r="G27">
        <v>40</v>
      </c>
      <c r="H27" t="s">
        <v>3493</v>
      </c>
      <c r="I27" t="s">
        <v>3490</v>
      </c>
      <c r="J27" t="s">
        <v>2932</v>
      </c>
    </row>
    <row r="28" spans="1:10" x14ac:dyDescent="0.25">
      <c r="A28" t="s">
        <v>77</v>
      </c>
      <c r="B28" t="s">
        <v>63</v>
      </c>
      <c r="C28">
        <v>8</v>
      </c>
      <c r="D28" t="s">
        <v>3416</v>
      </c>
      <c r="E28">
        <v>73</v>
      </c>
      <c r="F28">
        <v>27</v>
      </c>
      <c r="G28">
        <v>46</v>
      </c>
      <c r="H28" t="s">
        <v>3494</v>
      </c>
      <c r="I28" t="s">
        <v>3490</v>
      </c>
      <c r="J28" t="s">
        <v>2932</v>
      </c>
    </row>
    <row r="29" spans="1:10" x14ac:dyDescent="0.25">
      <c r="A29" t="s">
        <v>77</v>
      </c>
      <c r="B29" t="s">
        <v>63</v>
      </c>
      <c r="C29">
        <v>8</v>
      </c>
      <c r="D29" t="s">
        <v>3418</v>
      </c>
      <c r="E29">
        <v>69</v>
      </c>
      <c r="F29">
        <v>28</v>
      </c>
      <c r="G29">
        <v>41</v>
      </c>
      <c r="H29" t="s">
        <v>3489</v>
      </c>
      <c r="I29" t="s">
        <v>3490</v>
      </c>
      <c r="J29" t="s">
        <v>2932</v>
      </c>
    </row>
    <row r="30" spans="1:10" x14ac:dyDescent="0.25">
      <c r="A30" t="s">
        <v>77</v>
      </c>
      <c r="B30" t="s">
        <v>63</v>
      </c>
      <c r="C30">
        <v>8</v>
      </c>
      <c r="D30" t="s">
        <v>3420</v>
      </c>
      <c r="E30">
        <v>60</v>
      </c>
      <c r="F30">
        <v>10</v>
      </c>
      <c r="G30">
        <v>50</v>
      </c>
      <c r="H30" t="s">
        <v>3489</v>
      </c>
      <c r="I30" t="s">
        <v>3490</v>
      </c>
      <c r="J30" t="s">
        <v>2932</v>
      </c>
    </row>
    <row r="31" spans="1:10" x14ac:dyDescent="0.25">
      <c r="A31" t="s">
        <v>77</v>
      </c>
      <c r="B31" t="s">
        <v>63</v>
      </c>
      <c r="C31">
        <v>8</v>
      </c>
      <c r="D31" t="s">
        <v>3422</v>
      </c>
      <c r="E31">
        <v>47</v>
      </c>
      <c r="F31">
        <v>16</v>
      </c>
      <c r="G31">
        <v>31</v>
      </c>
      <c r="H31" t="s">
        <v>3491</v>
      </c>
      <c r="I31" t="s">
        <v>3492</v>
      </c>
      <c r="J31" t="s">
        <v>2932</v>
      </c>
    </row>
    <row r="32" spans="1:10" x14ac:dyDescent="0.25">
      <c r="A32" t="s">
        <v>86</v>
      </c>
      <c r="B32" t="s">
        <v>95</v>
      </c>
      <c r="C32">
        <v>8</v>
      </c>
      <c r="D32" t="s">
        <v>3234</v>
      </c>
      <c r="E32">
        <v>79</v>
      </c>
      <c r="F32">
        <v>13</v>
      </c>
      <c r="G32">
        <v>66</v>
      </c>
      <c r="H32" t="s">
        <v>3494</v>
      </c>
      <c r="I32" t="s">
        <v>3490</v>
      </c>
      <c r="J32" t="s">
        <v>2889</v>
      </c>
    </row>
    <row r="33" spans="1:10" x14ac:dyDescent="0.25">
      <c r="A33" t="s">
        <v>86</v>
      </c>
      <c r="B33" t="s">
        <v>95</v>
      </c>
      <c r="C33">
        <v>8</v>
      </c>
      <c r="D33" t="s">
        <v>3236</v>
      </c>
      <c r="E33">
        <v>85</v>
      </c>
      <c r="F33">
        <v>19</v>
      </c>
      <c r="G33">
        <v>66</v>
      </c>
      <c r="H33" t="s">
        <v>196</v>
      </c>
      <c r="I33" t="s">
        <v>3490</v>
      </c>
      <c r="J33" t="s">
        <v>2889</v>
      </c>
    </row>
    <row r="34" spans="1:10" x14ac:dyDescent="0.25">
      <c r="A34" t="s">
        <v>86</v>
      </c>
      <c r="B34" t="s">
        <v>95</v>
      </c>
      <c r="C34">
        <v>8</v>
      </c>
      <c r="D34" t="s">
        <v>3238</v>
      </c>
      <c r="E34">
        <v>59</v>
      </c>
      <c r="F34">
        <v>23</v>
      </c>
      <c r="G34">
        <v>36</v>
      </c>
      <c r="H34" t="s">
        <v>3493</v>
      </c>
      <c r="I34" t="s">
        <v>3490</v>
      </c>
      <c r="J34" t="s">
        <v>2889</v>
      </c>
    </row>
    <row r="35" spans="1:10" x14ac:dyDescent="0.25">
      <c r="A35" t="s">
        <v>86</v>
      </c>
      <c r="B35" t="s">
        <v>95</v>
      </c>
      <c r="C35">
        <v>8</v>
      </c>
      <c r="D35" t="s">
        <v>3240</v>
      </c>
      <c r="E35">
        <v>75</v>
      </c>
      <c r="F35">
        <v>18</v>
      </c>
      <c r="G35">
        <v>57</v>
      </c>
      <c r="H35" t="s">
        <v>3494</v>
      </c>
      <c r="I35" t="s">
        <v>3490</v>
      </c>
      <c r="J35" t="s">
        <v>2889</v>
      </c>
    </row>
    <row r="36" spans="1:10" x14ac:dyDescent="0.25">
      <c r="A36" t="s">
        <v>86</v>
      </c>
      <c r="B36" t="s">
        <v>95</v>
      </c>
      <c r="C36">
        <v>8</v>
      </c>
      <c r="D36" t="s">
        <v>3242</v>
      </c>
      <c r="E36">
        <v>76</v>
      </c>
      <c r="F36">
        <v>16</v>
      </c>
      <c r="G36">
        <v>60</v>
      </c>
      <c r="H36" t="s">
        <v>3494</v>
      </c>
      <c r="I36" t="s">
        <v>3490</v>
      </c>
      <c r="J36" t="s">
        <v>2889</v>
      </c>
    </row>
    <row r="37" spans="1:10" x14ac:dyDescent="0.25">
      <c r="A37" t="s">
        <v>97</v>
      </c>
      <c r="B37" t="s">
        <v>105</v>
      </c>
      <c r="C37">
        <v>8</v>
      </c>
      <c r="D37" t="s">
        <v>3174</v>
      </c>
      <c r="E37">
        <v>84</v>
      </c>
      <c r="F37">
        <v>22</v>
      </c>
      <c r="G37">
        <v>62</v>
      </c>
      <c r="H37" t="s">
        <v>196</v>
      </c>
      <c r="I37" t="s">
        <v>3490</v>
      </c>
      <c r="J37" t="s">
        <v>2908</v>
      </c>
    </row>
    <row r="38" spans="1:10" x14ac:dyDescent="0.25">
      <c r="A38" t="s">
        <v>97</v>
      </c>
      <c r="B38" t="s">
        <v>105</v>
      </c>
      <c r="C38">
        <v>8</v>
      </c>
      <c r="D38" t="s">
        <v>3176</v>
      </c>
      <c r="E38">
        <v>85</v>
      </c>
      <c r="F38">
        <v>29</v>
      </c>
      <c r="G38">
        <v>56</v>
      </c>
      <c r="H38" t="s">
        <v>196</v>
      </c>
      <c r="I38" t="s">
        <v>3490</v>
      </c>
      <c r="J38" t="s">
        <v>2908</v>
      </c>
    </row>
    <row r="39" spans="1:10" x14ac:dyDescent="0.25">
      <c r="A39" t="s">
        <v>97</v>
      </c>
      <c r="B39" t="s">
        <v>105</v>
      </c>
      <c r="C39">
        <v>8</v>
      </c>
      <c r="D39" t="s">
        <v>3178</v>
      </c>
      <c r="E39">
        <v>70</v>
      </c>
      <c r="F39">
        <v>28</v>
      </c>
      <c r="G39">
        <v>42</v>
      </c>
      <c r="H39" t="s">
        <v>3494</v>
      </c>
      <c r="I39" t="s">
        <v>3490</v>
      </c>
      <c r="J39" t="s">
        <v>2908</v>
      </c>
    </row>
    <row r="40" spans="1:10" x14ac:dyDescent="0.25">
      <c r="A40" t="s">
        <v>97</v>
      </c>
      <c r="B40" t="s">
        <v>105</v>
      </c>
      <c r="C40">
        <v>8</v>
      </c>
      <c r="D40" t="s">
        <v>3180</v>
      </c>
      <c r="E40">
        <v>57</v>
      </c>
      <c r="F40">
        <v>13</v>
      </c>
      <c r="G40">
        <v>44</v>
      </c>
      <c r="H40" t="s">
        <v>3493</v>
      </c>
      <c r="I40" t="s">
        <v>3490</v>
      </c>
      <c r="J40" t="s">
        <v>2908</v>
      </c>
    </row>
    <row r="41" spans="1:10" x14ac:dyDescent="0.25">
      <c r="A41" t="s">
        <v>97</v>
      </c>
      <c r="B41" t="s">
        <v>105</v>
      </c>
      <c r="C41">
        <v>8</v>
      </c>
      <c r="D41" t="s">
        <v>3182</v>
      </c>
      <c r="E41">
        <v>84</v>
      </c>
      <c r="F41">
        <v>25</v>
      </c>
      <c r="G41">
        <v>59</v>
      </c>
      <c r="H41" t="s">
        <v>196</v>
      </c>
      <c r="I41" t="s">
        <v>3490</v>
      </c>
      <c r="J41" t="s">
        <v>2908</v>
      </c>
    </row>
    <row r="42" spans="1:10" x14ac:dyDescent="0.25">
      <c r="A42" t="s">
        <v>107</v>
      </c>
      <c r="B42" t="s">
        <v>63</v>
      </c>
      <c r="C42">
        <v>4</v>
      </c>
      <c r="D42" t="s">
        <v>3394</v>
      </c>
      <c r="E42">
        <v>51</v>
      </c>
      <c r="F42">
        <v>16</v>
      </c>
      <c r="G42">
        <v>35</v>
      </c>
      <c r="H42" t="s">
        <v>3493</v>
      </c>
      <c r="I42" t="s">
        <v>3490</v>
      </c>
      <c r="J42" t="s">
        <v>2932</v>
      </c>
    </row>
    <row r="43" spans="1:10" x14ac:dyDescent="0.25">
      <c r="A43" t="s">
        <v>107</v>
      </c>
      <c r="B43" t="s">
        <v>63</v>
      </c>
      <c r="C43">
        <v>4</v>
      </c>
      <c r="D43" t="s">
        <v>3396</v>
      </c>
      <c r="E43">
        <v>42</v>
      </c>
      <c r="F43">
        <v>20</v>
      </c>
      <c r="G43">
        <v>22</v>
      </c>
      <c r="H43" t="s">
        <v>3491</v>
      </c>
      <c r="I43" t="s">
        <v>3492</v>
      </c>
      <c r="J43" t="s">
        <v>2932</v>
      </c>
    </row>
    <row r="44" spans="1:10" x14ac:dyDescent="0.25">
      <c r="A44" t="s">
        <v>107</v>
      </c>
      <c r="B44" t="s">
        <v>63</v>
      </c>
      <c r="C44">
        <v>4</v>
      </c>
      <c r="D44" t="s">
        <v>3398</v>
      </c>
      <c r="E44">
        <v>62</v>
      </c>
      <c r="F44">
        <v>20</v>
      </c>
      <c r="G44">
        <v>42</v>
      </c>
      <c r="H44" t="s">
        <v>3489</v>
      </c>
      <c r="I44" t="s">
        <v>3490</v>
      </c>
      <c r="J44" t="s">
        <v>2932</v>
      </c>
    </row>
    <row r="45" spans="1:10" x14ac:dyDescent="0.25">
      <c r="A45" t="s">
        <v>107</v>
      </c>
      <c r="B45" t="s">
        <v>63</v>
      </c>
      <c r="C45">
        <v>4</v>
      </c>
      <c r="D45" t="s">
        <v>3400</v>
      </c>
      <c r="E45">
        <v>93</v>
      </c>
      <c r="F45">
        <v>25</v>
      </c>
      <c r="G45">
        <v>68</v>
      </c>
      <c r="H45" t="s">
        <v>3495</v>
      </c>
      <c r="I45" t="s">
        <v>3490</v>
      </c>
      <c r="J45" t="s">
        <v>2932</v>
      </c>
    </row>
    <row r="46" spans="1:10" x14ac:dyDescent="0.25">
      <c r="A46" t="s">
        <v>107</v>
      </c>
      <c r="B46" t="s">
        <v>63</v>
      </c>
      <c r="C46">
        <v>4</v>
      </c>
      <c r="D46" t="s">
        <v>3402</v>
      </c>
      <c r="E46">
        <v>71</v>
      </c>
      <c r="F46">
        <v>17</v>
      </c>
      <c r="G46">
        <v>54</v>
      </c>
      <c r="H46" t="s">
        <v>3494</v>
      </c>
      <c r="I46" t="s">
        <v>3490</v>
      </c>
      <c r="J46" t="s">
        <v>2932</v>
      </c>
    </row>
    <row r="47" spans="1:10" x14ac:dyDescent="0.25">
      <c r="A47" t="s">
        <v>115</v>
      </c>
      <c r="B47" t="s">
        <v>122</v>
      </c>
      <c r="C47">
        <v>6</v>
      </c>
      <c r="D47" t="s">
        <v>3294</v>
      </c>
      <c r="E47">
        <v>71</v>
      </c>
      <c r="F47">
        <v>20</v>
      </c>
      <c r="G47">
        <v>51</v>
      </c>
      <c r="H47" t="s">
        <v>3494</v>
      </c>
      <c r="I47" t="s">
        <v>3490</v>
      </c>
      <c r="J47" t="s">
        <v>2919</v>
      </c>
    </row>
    <row r="48" spans="1:10" x14ac:dyDescent="0.25">
      <c r="A48" t="s">
        <v>115</v>
      </c>
      <c r="B48" t="s">
        <v>122</v>
      </c>
      <c r="C48">
        <v>6</v>
      </c>
      <c r="D48" t="s">
        <v>3296</v>
      </c>
      <c r="E48">
        <v>64</v>
      </c>
      <c r="F48">
        <v>17</v>
      </c>
      <c r="G48">
        <v>47</v>
      </c>
      <c r="H48" t="s">
        <v>3489</v>
      </c>
      <c r="I48" t="s">
        <v>3490</v>
      </c>
      <c r="J48" t="s">
        <v>2919</v>
      </c>
    </row>
    <row r="49" spans="1:10" x14ac:dyDescent="0.25">
      <c r="A49" t="s">
        <v>115</v>
      </c>
      <c r="B49" t="s">
        <v>122</v>
      </c>
      <c r="C49">
        <v>6</v>
      </c>
      <c r="D49" t="s">
        <v>3298</v>
      </c>
      <c r="E49">
        <v>48</v>
      </c>
      <c r="F49">
        <v>27</v>
      </c>
      <c r="G49">
        <v>21</v>
      </c>
      <c r="H49" t="s">
        <v>3491</v>
      </c>
      <c r="I49" t="s">
        <v>3492</v>
      </c>
      <c r="J49" t="s">
        <v>2919</v>
      </c>
    </row>
    <row r="50" spans="1:10" x14ac:dyDescent="0.25">
      <c r="A50" t="s">
        <v>115</v>
      </c>
      <c r="B50" t="s">
        <v>122</v>
      </c>
      <c r="C50">
        <v>6</v>
      </c>
      <c r="D50" t="s">
        <v>3300</v>
      </c>
      <c r="E50">
        <v>38</v>
      </c>
      <c r="F50">
        <v>12</v>
      </c>
      <c r="G50">
        <v>26</v>
      </c>
      <c r="H50" t="s">
        <v>3491</v>
      </c>
      <c r="I50" t="s">
        <v>3492</v>
      </c>
      <c r="J50" t="s">
        <v>2919</v>
      </c>
    </row>
    <row r="51" spans="1:10" x14ac:dyDescent="0.25">
      <c r="A51" t="s">
        <v>115</v>
      </c>
      <c r="B51" t="s">
        <v>122</v>
      </c>
      <c r="C51">
        <v>6</v>
      </c>
      <c r="D51" t="s">
        <v>3302</v>
      </c>
      <c r="E51">
        <v>56</v>
      </c>
      <c r="F51">
        <v>28</v>
      </c>
      <c r="G51">
        <v>28</v>
      </c>
      <c r="H51" t="s">
        <v>3493</v>
      </c>
      <c r="I51" t="s">
        <v>3490</v>
      </c>
      <c r="J51" t="s">
        <v>2919</v>
      </c>
    </row>
    <row r="52" spans="1:10" x14ac:dyDescent="0.25">
      <c r="A52" t="s">
        <v>124</v>
      </c>
      <c r="B52" t="s">
        <v>95</v>
      </c>
      <c r="C52">
        <v>8</v>
      </c>
      <c r="D52" t="s">
        <v>3234</v>
      </c>
      <c r="E52">
        <v>63</v>
      </c>
      <c r="F52">
        <v>17</v>
      </c>
      <c r="G52">
        <v>46</v>
      </c>
      <c r="H52" t="s">
        <v>3489</v>
      </c>
      <c r="I52" t="s">
        <v>3490</v>
      </c>
      <c r="J52" t="s">
        <v>2889</v>
      </c>
    </row>
    <row r="53" spans="1:10" x14ac:dyDescent="0.25">
      <c r="A53" t="s">
        <v>124</v>
      </c>
      <c r="B53" t="s">
        <v>95</v>
      </c>
      <c r="C53">
        <v>8</v>
      </c>
      <c r="D53" t="s">
        <v>3236</v>
      </c>
      <c r="E53">
        <v>44</v>
      </c>
      <c r="F53">
        <v>11</v>
      </c>
      <c r="G53">
        <v>33</v>
      </c>
      <c r="H53" t="s">
        <v>3491</v>
      </c>
      <c r="I53" t="s">
        <v>3492</v>
      </c>
      <c r="J53" t="s">
        <v>2889</v>
      </c>
    </row>
    <row r="54" spans="1:10" x14ac:dyDescent="0.25">
      <c r="A54" t="s">
        <v>124</v>
      </c>
      <c r="B54" t="s">
        <v>95</v>
      </c>
      <c r="C54">
        <v>8</v>
      </c>
      <c r="D54" t="s">
        <v>3238</v>
      </c>
      <c r="E54">
        <v>70</v>
      </c>
      <c r="F54">
        <v>24</v>
      </c>
      <c r="G54">
        <v>46</v>
      </c>
      <c r="H54" t="s">
        <v>3494</v>
      </c>
      <c r="I54" t="s">
        <v>3490</v>
      </c>
      <c r="J54" t="s">
        <v>2889</v>
      </c>
    </row>
    <row r="55" spans="1:10" x14ac:dyDescent="0.25">
      <c r="A55" t="s">
        <v>124</v>
      </c>
      <c r="B55" t="s">
        <v>95</v>
      </c>
      <c r="C55">
        <v>8</v>
      </c>
      <c r="D55" t="s">
        <v>3240</v>
      </c>
      <c r="E55">
        <v>94</v>
      </c>
      <c r="F55">
        <v>27</v>
      </c>
      <c r="G55">
        <v>67</v>
      </c>
      <c r="H55" t="s">
        <v>3495</v>
      </c>
      <c r="I55" t="s">
        <v>3490</v>
      </c>
      <c r="J55" t="s">
        <v>2889</v>
      </c>
    </row>
    <row r="56" spans="1:10" x14ac:dyDescent="0.25">
      <c r="A56" t="s">
        <v>124</v>
      </c>
      <c r="B56" t="s">
        <v>95</v>
      </c>
      <c r="C56">
        <v>8</v>
      </c>
      <c r="D56" t="s">
        <v>3242</v>
      </c>
      <c r="E56">
        <v>38</v>
      </c>
      <c r="F56">
        <v>12</v>
      </c>
      <c r="G56">
        <v>26</v>
      </c>
      <c r="H56" t="s">
        <v>3491</v>
      </c>
      <c r="I56" t="s">
        <v>3492</v>
      </c>
      <c r="J56" t="s">
        <v>2889</v>
      </c>
    </row>
    <row r="57" spans="1:10" x14ac:dyDescent="0.25">
      <c r="A57" t="s">
        <v>132</v>
      </c>
      <c r="B57" t="s">
        <v>30</v>
      </c>
      <c r="C57">
        <v>8</v>
      </c>
      <c r="D57" t="s">
        <v>3354</v>
      </c>
      <c r="E57">
        <v>75</v>
      </c>
      <c r="F57">
        <v>27</v>
      </c>
      <c r="G57">
        <v>48</v>
      </c>
      <c r="H57" t="s">
        <v>3494</v>
      </c>
      <c r="I57" t="s">
        <v>3490</v>
      </c>
      <c r="J57" t="s">
        <v>2895</v>
      </c>
    </row>
    <row r="58" spans="1:10" x14ac:dyDescent="0.25">
      <c r="A58" t="s">
        <v>132</v>
      </c>
      <c r="B58" t="s">
        <v>30</v>
      </c>
      <c r="C58">
        <v>8</v>
      </c>
      <c r="D58" t="s">
        <v>3356</v>
      </c>
      <c r="E58">
        <v>48</v>
      </c>
      <c r="F58">
        <v>14</v>
      </c>
      <c r="G58">
        <v>34</v>
      </c>
      <c r="H58" t="s">
        <v>3491</v>
      </c>
      <c r="I58" t="s">
        <v>3492</v>
      </c>
      <c r="J58" t="s">
        <v>2895</v>
      </c>
    </row>
    <row r="59" spans="1:10" x14ac:dyDescent="0.25">
      <c r="A59" t="s">
        <v>132</v>
      </c>
      <c r="B59" t="s">
        <v>30</v>
      </c>
      <c r="C59">
        <v>8</v>
      </c>
      <c r="D59" t="s">
        <v>3358</v>
      </c>
      <c r="E59">
        <v>49</v>
      </c>
      <c r="F59">
        <v>16</v>
      </c>
      <c r="G59">
        <v>33</v>
      </c>
      <c r="H59" t="s">
        <v>3491</v>
      </c>
      <c r="I59" t="s">
        <v>3492</v>
      </c>
      <c r="J59" t="s">
        <v>2895</v>
      </c>
    </row>
    <row r="60" spans="1:10" x14ac:dyDescent="0.25">
      <c r="A60" t="s">
        <v>132</v>
      </c>
      <c r="B60" t="s">
        <v>30</v>
      </c>
      <c r="C60">
        <v>8</v>
      </c>
      <c r="D60" t="s">
        <v>3360</v>
      </c>
      <c r="E60">
        <v>47</v>
      </c>
      <c r="F60">
        <v>21</v>
      </c>
      <c r="G60">
        <v>26</v>
      </c>
      <c r="H60" t="s">
        <v>3491</v>
      </c>
      <c r="I60" t="s">
        <v>3492</v>
      </c>
      <c r="J60" t="s">
        <v>2895</v>
      </c>
    </row>
    <row r="61" spans="1:10" x14ac:dyDescent="0.25">
      <c r="A61" t="s">
        <v>132</v>
      </c>
      <c r="B61" t="s">
        <v>30</v>
      </c>
      <c r="C61">
        <v>8</v>
      </c>
      <c r="D61" t="s">
        <v>3362</v>
      </c>
      <c r="E61">
        <v>47</v>
      </c>
      <c r="F61">
        <v>11</v>
      </c>
      <c r="G61">
        <v>36</v>
      </c>
      <c r="H61" t="s">
        <v>3491</v>
      </c>
      <c r="I61" t="s">
        <v>3492</v>
      </c>
      <c r="J61" t="s">
        <v>2895</v>
      </c>
    </row>
    <row r="62" spans="1:10" x14ac:dyDescent="0.25">
      <c r="A62" t="s">
        <v>143</v>
      </c>
      <c r="B62" t="s">
        <v>105</v>
      </c>
      <c r="C62">
        <v>4</v>
      </c>
      <c r="D62" t="s">
        <v>3154</v>
      </c>
      <c r="E62">
        <v>67</v>
      </c>
      <c r="F62">
        <v>10</v>
      </c>
      <c r="G62">
        <v>57</v>
      </c>
      <c r="H62" t="s">
        <v>3489</v>
      </c>
      <c r="I62" t="s">
        <v>3490</v>
      </c>
      <c r="J62" t="s">
        <v>2908</v>
      </c>
    </row>
    <row r="63" spans="1:10" x14ac:dyDescent="0.25">
      <c r="A63" t="s">
        <v>143</v>
      </c>
      <c r="B63" t="s">
        <v>105</v>
      </c>
      <c r="C63">
        <v>4</v>
      </c>
      <c r="D63" t="s">
        <v>3156</v>
      </c>
      <c r="E63">
        <v>50</v>
      </c>
      <c r="F63">
        <v>23</v>
      </c>
      <c r="G63">
        <v>27</v>
      </c>
      <c r="H63" t="s">
        <v>3493</v>
      </c>
      <c r="I63" t="s">
        <v>3490</v>
      </c>
      <c r="J63" t="s">
        <v>2908</v>
      </c>
    </row>
    <row r="64" spans="1:10" x14ac:dyDescent="0.25">
      <c r="A64" t="s">
        <v>143</v>
      </c>
      <c r="B64" t="s">
        <v>105</v>
      </c>
      <c r="C64">
        <v>4</v>
      </c>
      <c r="D64" t="s">
        <v>3158</v>
      </c>
      <c r="E64">
        <v>79</v>
      </c>
      <c r="F64">
        <v>18</v>
      </c>
      <c r="G64">
        <v>61</v>
      </c>
      <c r="H64" t="s">
        <v>3494</v>
      </c>
      <c r="I64" t="s">
        <v>3490</v>
      </c>
      <c r="J64" t="s">
        <v>2908</v>
      </c>
    </row>
    <row r="65" spans="1:10" x14ac:dyDescent="0.25">
      <c r="A65" t="s">
        <v>143</v>
      </c>
      <c r="B65" t="s">
        <v>105</v>
      </c>
      <c r="C65">
        <v>4</v>
      </c>
      <c r="D65" t="s">
        <v>3160</v>
      </c>
      <c r="E65">
        <v>76</v>
      </c>
      <c r="F65">
        <v>28</v>
      </c>
      <c r="G65">
        <v>48</v>
      </c>
      <c r="H65" t="s">
        <v>3494</v>
      </c>
      <c r="I65" t="s">
        <v>3490</v>
      </c>
      <c r="J65" t="s">
        <v>2908</v>
      </c>
    </row>
    <row r="66" spans="1:10" x14ac:dyDescent="0.25">
      <c r="A66" t="s">
        <v>143</v>
      </c>
      <c r="B66" t="s">
        <v>105</v>
      </c>
      <c r="C66">
        <v>4</v>
      </c>
      <c r="D66" t="s">
        <v>3162</v>
      </c>
      <c r="E66">
        <v>41</v>
      </c>
      <c r="F66">
        <v>16</v>
      </c>
      <c r="G66">
        <v>25</v>
      </c>
      <c r="H66" t="s">
        <v>3491</v>
      </c>
      <c r="I66" t="s">
        <v>3492</v>
      </c>
      <c r="J66" t="s">
        <v>2908</v>
      </c>
    </row>
    <row r="67" spans="1:10" x14ac:dyDescent="0.25">
      <c r="A67" t="s">
        <v>151</v>
      </c>
      <c r="B67" t="s">
        <v>159</v>
      </c>
      <c r="C67">
        <v>4</v>
      </c>
      <c r="D67" t="s">
        <v>3094</v>
      </c>
      <c r="E67">
        <v>55</v>
      </c>
      <c r="F67">
        <v>20</v>
      </c>
      <c r="G67">
        <v>35</v>
      </c>
      <c r="H67" t="s">
        <v>3493</v>
      </c>
      <c r="I67" t="s">
        <v>3490</v>
      </c>
      <c r="J67" t="s">
        <v>2902</v>
      </c>
    </row>
    <row r="68" spans="1:10" x14ac:dyDescent="0.25">
      <c r="A68" t="s">
        <v>151</v>
      </c>
      <c r="B68" t="s">
        <v>159</v>
      </c>
      <c r="C68">
        <v>4</v>
      </c>
      <c r="D68" t="s">
        <v>3096</v>
      </c>
      <c r="E68">
        <v>56</v>
      </c>
      <c r="F68">
        <v>29</v>
      </c>
      <c r="G68">
        <v>27</v>
      </c>
      <c r="H68" t="s">
        <v>3493</v>
      </c>
      <c r="I68" t="s">
        <v>3490</v>
      </c>
      <c r="J68" t="s">
        <v>2902</v>
      </c>
    </row>
    <row r="69" spans="1:10" x14ac:dyDescent="0.25">
      <c r="A69" t="s">
        <v>151</v>
      </c>
      <c r="B69" t="s">
        <v>159</v>
      </c>
      <c r="C69">
        <v>4</v>
      </c>
      <c r="D69" t="s">
        <v>3098</v>
      </c>
      <c r="E69">
        <v>48</v>
      </c>
      <c r="F69">
        <v>12</v>
      </c>
      <c r="G69">
        <v>36</v>
      </c>
      <c r="H69" t="s">
        <v>3491</v>
      </c>
      <c r="I69" t="s">
        <v>3492</v>
      </c>
      <c r="J69" t="s">
        <v>2902</v>
      </c>
    </row>
    <row r="70" spans="1:10" x14ac:dyDescent="0.25">
      <c r="A70" t="s">
        <v>151</v>
      </c>
      <c r="B70" t="s">
        <v>159</v>
      </c>
      <c r="C70">
        <v>4</v>
      </c>
      <c r="D70" t="s">
        <v>3100</v>
      </c>
      <c r="E70">
        <v>83</v>
      </c>
      <c r="F70">
        <v>29</v>
      </c>
      <c r="G70">
        <v>54</v>
      </c>
      <c r="H70" t="s">
        <v>196</v>
      </c>
      <c r="I70" t="s">
        <v>3490</v>
      </c>
      <c r="J70" t="s">
        <v>2902</v>
      </c>
    </row>
    <row r="71" spans="1:10" x14ac:dyDescent="0.25">
      <c r="A71" t="s">
        <v>151</v>
      </c>
      <c r="B71" t="s">
        <v>159</v>
      </c>
      <c r="C71">
        <v>4</v>
      </c>
      <c r="D71" t="s">
        <v>3102</v>
      </c>
      <c r="E71">
        <v>98</v>
      </c>
      <c r="F71">
        <v>30</v>
      </c>
      <c r="G71">
        <v>68</v>
      </c>
      <c r="H71" t="s">
        <v>3495</v>
      </c>
      <c r="I71" t="s">
        <v>3490</v>
      </c>
      <c r="J71" t="s">
        <v>2902</v>
      </c>
    </row>
    <row r="72" spans="1:10" x14ac:dyDescent="0.25">
      <c r="A72" t="s">
        <v>161</v>
      </c>
      <c r="B72" t="s">
        <v>75</v>
      </c>
      <c r="C72">
        <v>8</v>
      </c>
      <c r="D72" t="s">
        <v>3054</v>
      </c>
      <c r="E72">
        <v>39</v>
      </c>
      <c r="F72">
        <v>17</v>
      </c>
      <c r="G72">
        <v>22</v>
      </c>
      <c r="H72" t="s">
        <v>3491</v>
      </c>
      <c r="I72" t="s">
        <v>3492</v>
      </c>
      <c r="J72" t="s">
        <v>2961</v>
      </c>
    </row>
    <row r="73" spans="1:10" x14ac:dyDescent="0.25">
      <c r="A73" t="s">
        <v>161</v>
      </c>
      <c r="B73" t="s">
        <v>75</v>
      </c>
      <c r="C73">
        <v>8</v>
      </c>
      <c r="D73" t="s">
        <v>3056</v>
      </c>
      <c r="E73">
        <v>89</v>
      </c>
      <c r="F73">
        <v>25</v>
      </c>
      <c r="G73">
        <v>64</v>
      </c>
      <c r="H73" t="s">
        <v>196</v>
      </c>
      <c r="I73" t="s">
        <v>3490</v>
      </c>
      <c r="J73" t="s">
        <v>2961</v>
      </c>
    </row>
    <row r="74" spans="1:10" x14ac:dyDescent="0.25">
      <c r="A74" t="s">
        <v>161</v>
      </c>
      <c r="B74" t="s">
        <v>75</v>
      </c>
      <c r="C74">
        <v>8</v>
      </c>
      <c r="D74" t="s">
        <v>3058</v>
      </c>
      <c r="E74">
        <v>72</v>
      </c>
      <c r="F74">
        <v>18</v>
      </c>
      <c r="G74">
        <v>54</v>
      </c>
      <c r="H74" t="s">
        <v>3494</v>
      </c>
      <c r="I74" t="s">
        <v>3490</v>
      </c>
      <c r="J74" t="s">
        <v>2961</v>
      </c>
    </row>
    <row r="75" spans="1:10" x14ac:dyDescent="0.25">
      <c r="A75" t="s">
        <v>161</v>
      </c>
      <c r="B75" t="s">
        <v>75</v>
      </c>
      <c r="C75">
        <v>8</v>
      </c>
      <c r="D75" t="s">
        <v>3060</v>
      </c>
      <c r="E75">
        <v>77</v>
      </c>
      <c r="F75">
        <v>15</v>
      </c>
      <c r="G75">
        <v>62</v>
      </c>
      <c r="H75" t="s">
        <v>3494</v>
      </c>
      <c r="I75" t="s">
        <v>3490</v>
      </c>
      <c r="J75" t="s">
        <v>2961</v>
      </c>
    </row>
    <row r="76" spans="1:10" x14ac:dyDescent="0.25">
      <c r="A76" t="s">
        <v>161</v>
      </c>
      <c r="B76" t="s">
        <v>75</v>
      </c>
      <c r="C76">
        <v>8</v>
      </c>
      <c r="D76" t="s">
        <v>3062</v>
      </c>
      <c r="E76">
        <v>61</v>
      </c>
      <c r="F76">
        <v>10</v>
      </c>
      <c r="G76">
        <v>51</v>
      </c>
      <c r="H76" t="s">
        <v>3489</v>
      </c>
      <c r="I76" t="s">
        <v>3490</v>
      </c>
      <c r="J76" t="s">
        <v>2961</v>
      </c>
    </row>
    <row r="77" spans="1:10" x14ac:dyDescent="0.25">
      <c r="A77" t="s">
        <v>169</v>
      </c>
      <c r="B77" t="s">
        <v>30</v>
      </c>
      <c r="C77">
        <v>4</v>
      </c>
      <c r="D77" t="s">
        <v>3334</v>
      </c>
      <c r="E77">
        <v>86</v>
      </c>
      <c r="F77">
        <v>16</v>
      </c>
      <c r="G77">
        <v>70</v>
      </c>
      <c r="H77" t="s">
        <v>196</v>
      </c>
      <c r="I77" t="s">
        <v>3490</v>
      </c>
      <c r="J77" t="s">
        <v>2895</v>
      </c>
    </row>
    <row r="78" spans="1:10" x14ac:dyDescent="0.25">
      <c r="A78" t="s">
        <v>169</v>
      </c>
      <c r="B78" t="s">
        <v>30</v>
      </c>
      <c r="C78">
        <v>4</v>
      </c>
      <c r="D78" t="s">
        <v>3336</v>
      </c>
      <c r="E78">
        <v>64</v>
      </c>
      <c r="F78">
        <v>23</v>
      </c>
      <c r="G78">
        <v>41</v>
      </c>
      <c r="H78" t="s">
        <v>3489</v>
      </c>
      <c r="I78" t="s">
        <v>3490</v>
      </c>
      <c r="J78" t="s">
        <v>2895</v>
      </c>
    </row>
    <row r="79" spans="1:10" x14ac:dyDescent="0.25">
      <c r="A79" t="s">
        <v>169</v>
      </c>
      <c r="B79" t="s">
        <v>30</v>
      </c>
      <c r="C79">
        <v>4</v>
      </c>
      <c r="D79" t="s">
        <v>3338</v>
      </c>
      <c r="E79">
        <v>38</v>
      </c>
      <c r="F79">
        <v>13</v>
      </c>
      <c r="G79">
        <v>25</v>
      </c>
      <c r="H79" t="s">
        <v>3491</v>
      </c>
      <c r="I79" t="s">
        <v>3492</v>
      </c>
      <c r="J79" t="s">
        <v>2895</v>
      </c>
    </row>
    <row r="80" spans="1:10" x14ac:dyDescent="0.25">
      <c r="A80" t="s">
        <v>169</v>
      </c>
      <c r="B80" t="s">
        <v>30</v>
      </c>
      <c r="C80">
        <v>4</v>
      </c>
      <c r="D80" t="s">
        <v>3340</v>
      </c>
      <c r="E80">
        <v>83</v>
      </c>
      <c r="F80">
        <v>26</v>
      </c>
      <c r="G80">
        <v>57</v>
      </c>
      <c r="H80" t="s">
        <v>196</v>
      </c>
      <c r="I80" t="s">
        <v>3490</v>
      </c>
      <c r="J80" t="s">
        <v>2895</v>
      </c>
    </row>
    <row r="81" spans="1:10" x14ac:dyDescent="0.25">
      <c r="A81" t="s">
        <v>169</v>
      </c>
      <c r="B81" t="s">
        <v>30</v>
      </c>
      <c r="C81">
        <v>4</v>
      </c>
      <c r="D81" t="s">
        <v>3342</v>
      </c>
      <c r="E81">
        <v>73</v>
      </c>
      <c r="F81">
        <v>17</v>
      </c>
      <c r="G81">
        <v>56</v>
      </c>
      <c r="H81" t="s">
        <v>3494</v>
      </c>
      <c r="I81" t="s">
        <v>3490</v>
      </c>
      <c r="J81" t="s">
        <v>2895</v>
      </c>
    </row>
    <row r="82" spans="1:10" x14ac:dyDescent="0.25">
      <c r="A82" t="s">
        <v>179</v>
      </c>
      <c r="B82" t="s">
        <v>159</v>
      </c>
      <c r="C82">
        <v>4</v>
      </c>
      <c r="D82" t="s">
        <v>3094</v>
      </c>
      <c r="E82">
        <v>38</v>
      </c>
      <c r="F82">
        <v>18</v>
      </c>
      <c r="G82">
        <v>20</v>
      </c>
      <c r="H82" t="s">
        <v>3491</v>
      </c>
      <c r="I82" t="s">
        <v>3492</v>
      </c>
      <c r="J82" t="s">
        <v>2902</v>
      </c>
    </row>
    <row r="83" spans="1:10" x14ac:dyDescent="0.25">
      <c r="A83" t="s">
        <v>179</v>
      </c>
      <c r="B83" t="s">
        <v>159</v>
      </c>
      <c r="C83">
        <v>4</v>
      </c>
      <c r="D83" t="s">
        <v>3096</v>
      </c>
      <c r="E83">
        <v>87</v>
      </c>
      <c r="F83">
        <v>23</v>
      </c>
      <c r="G83">
        <v>64</v>
      </c>
      <c r="H83" t="s">
        <v>196</v>
      </c>
      <c r="I83" t="s">
        <v>3490</v>
      </c>
      <c r="J83" t="s">
        <v>2902</v>
      </c>
    </row>
    <row r="84" spans="1:10" x14ac:dyDescent="0.25">
      <c r="A84" t="s">
        <v>179</v>
      </c>
      <c r="B84" t="s">
        <v>159</v>
      </c>
      <c r="C84">
        <v>4</v>
      </c>
      <c r="D84" t="s">
        <v>3098</v>
      </c>
      <c r="E84">
        <v>63</v>
      </c>
      <c r="F84">
        <v>21</v>
      </c>
      <c r="G84">
        <v>42</v>
      </c>
      <c r="H84" t="s">
        <v>3489</v>
      </c>
      <c r="I84" t="s">
        <v>3490</v>
      </c>
      <c r="J84" t="s">
        <v>2902</v>
      </c>
    </row>
    <row r="85" spans="1:10" x14ac:dyDescent="0.25">
      <c r="A85" t="s">
        <v>179</v>
      </c>
      <c r="B85" t="s">
        <v>159</v>
      </c>
      <c r="C85">
        <v>4</v>
      </c>
      <c r="D85" t="s">
        <v>3100</v>
      </c>
      <c r="E85">
        <v>79</v>
      </c>
      <c r="F85">
        <v>24</v>
      </c>
      <c r="G85">
        <v>55</v>
      </c>
      <c r="H85" t="s">
        <v>3494</v>
      </c>
      <c r="I85" t="s">
        <v>3490</v>
      </c>
      <c r="J85" t="s">
        <v>2902</v>
      </c>
    </row>
    <row r="86" spans="1:10" x14ac:dyDescent="0.25">
      <c r="A86" t="s">
        <v>179</v>
      </c>
      <c r="B86" t="s">
        <v>159</v>
      </c>
      <c r="C86">
        <v>4</v>
      </c>
      <c r="D86" t="s">
        <v>3102</v>
      </c>
      <c r="E86">
        <v>36</v>
      </c>
      <c r="F86">
        <v>15</v>
      </c>
      <c r="G86">
        <v>21</v>
      </c>
      <c r="H86" t="s">
        <v>3491</v>
      </c>
      <c r="I86" t="s">
        <v>3492</v>
      </c>
      <c r="J86" t="s">
        <v>2902</v>
      </c>
    </row>
    <row r="87" spans="1:10" x14ac:dyDescent="0.25">
      <c r="A87" t="s">
        <v>186</v>
      </c>
      <c r="B87" t="s">
        <v>159</v>
      </c>
      <c r="C87">
        <v>8</v>
      </c>
      <c r="D87" t="s">
        <v>3114</v>
      </c>
      <c r="E87">
        <v>73</v>
      </c>
      <c r="F87">
        <v>13</v>
      </c>
      <c r="G87">
        <v>60</v>
      </c>
      <c r="H87" t="s">
        <v>3494</v>
      </c>
      <c r="I87" t="s">
        <v>3490</v>
      </c>
      <c r="J87" t="s">
        <v>2902</v>
      </c>
    </row>
    <row r="88" spans="1:10" x14ac:dyDescent="0.25">
      <c r="A88" t="s">
        <v>186</v>
      </c>
      <c r="B88" t="s">
        <v>159</v>
      </c>
      <c r="C88">
        <v>8</v>
      </c>
      <c r="D88" t="s">
        <v>3116</v>
      </c>
      <c r="E88">
        <v>49</v>
      </c>
      <c r="F88">
        <v>28</v>
      </c>
      <c r="G88">
        <v>21</v>
      </c>
      <c r="H88" t="s">
        <v>3491</v>
      </c>
      <c r="I88" t="s">
        <v>3492</v>
      </c>
      <c r="J88" t="s">
        <v>2902</v>
      </c>
    </row>
    <row r="89" spans="1:10" x14ac:dyDescent="0.25">
      <c r="A89" t="s">
        <v>186</v>
      </c>
      <c r="B89" t="s">
        <v>159</v>
      </c>
      <c r="C89">
        <v>8</v>
      </c>
      <c r="D89" t="s">
        <v>3118</v>
      </c>
      <c r="E89">
        <v>50</v>
      </c>
      <c r="F89">
        <v>18</v>
      </c>
      <c r="G89">
        <v>32</v>
      </c>
      <c r="H89" t="s">
        <v>3493</v>
      </c>
      <c r="I89" t="s">
        <v>3490</v>
      </c>
      <c r="J89" t="s">
        <v>2902</v>
      </c>
    </row>
    <row r="90" spans="1:10" x14ac:dyDescent="0.25">
      <c r="A90" t="s">
        <v>186</v>
      </c>
      <c r="B90" t="s">
        <v>159</v>
      </c>
      <c r="C90">
        <v>8</v>
      </c>
      <c r="D90" t="s">
        <v>3120</v>
      </c>
      <c r="E90">
        <v>45</v>
      </c>
      <c r="F90">
        <v>15</v>
      </c>
      <c r="G90">
        <v>30</v>
      </c>
      <c r="H90" t="s">
        <v>3491</v>
      </c>
      <c r="I90" t="s">
        <v>3492</v>
      </c>
      <c r="J90" t="s">
        <v>2902</v>
      </c>
    </row>
    <row r="91" spans="1:10" x14ac:dyDescent="0.25">
      <c r="A91" t="s">
        <v>186</v>
      </c>
      <c r="B91" t="s">
        <v>159</v>
      </c>
      <c r="C91">
        <v>8</v>
      </c>
      <c r="D91" t="s">
        <v>3122</v>
      </c>
      <c r="E91">
        <v>84</v>
      </c>
      <c r="F91">
        <v>17</v>
      </c>
      <c r="G91">
        <v>67</v>
      </c>
      <c r="H91" t="s">
        <v>196</v>
      </c>
      <c r="I91" t="s">
        <v>3490</v>
      </c>
      <c r="J91" t="s">
        <v>2902</v>
      </c>
    </row>
    <row r="92" spans="1:10" x14ac:dyDescent="0.25">
      <c r="A92" t="s">
        <v>194</v>
      </c>
      <c r="B92" t="s">
        <v>105</v>
      </c>
      <c r="C92">
        <v>8</v>
      </c>
      <c r="D92" t="s">
        <v>3174</v>
      </c>
      <c r="E92">
        <v>77</v>
      </c>
      <c r="F92">
        <v>11</v>
      </c>
      <c r="G92">
        <v>66</v>
      </c>
      <c r="H92" t="s">
        <v>3494</v>
      </c>
      <c r="I92" t="s">
        <v>3490</v>
      </c>
      <c r="J92" t="s">
        <v>2908</v>
      </c>
    </row>
    <row r="93" spans="1:10" x14ac:dyDescent="0.25">
      <c r="A93" t="s">
        <v>194</v>
      </c>
      <c r="B93" t="s">
        <v>105</v>
      </c>
      <c r="C93">
        <v>8</v>
      </c>
      <c r="D93" t="s">
        <v>3176</v>
      </c>
      <c r="E93">
        <v>47</v>
      </c>
      <c r="F93">
        <v>15</v>
      </c>
      <c r="G93">
        <v>32</v>
      </c>
      <c r="H93" t="s">
        <v>3491</v>
      </c>
      <c r="I93" t="s">
        <v>3492</v>
      </c>
      <c r="J93" t="s">
        <v>2908</v>
      </c>
    </row>
    <row r="94" spans="1:10" x14ac:dyDescent="0.25">
      <c r="A94" t="s">
        <v>194</v>
      </c>
      <c r="B94" t="s">
        <v>105</v>
      </c>
      <c r="C94">
        <v>8</v>
      </c>
      <c r="D94" t="s">
        <v>3178</v>
      </c>
      <c r="E94">
        <v>48</v>
      </c>
      <c r="F94">
        <v>16</v>
      </c>
      <c r="G94">
        <v>32</v>
      </c>
      <c r="H94" t="s">
        <v>3491</v>
      </c>
      <c r="I94" t="s">
        <v>3492</v>
      </c>
      <c r="J94" t="s">
        <v>2908</v>
      </c>
    </row>
    <row r="95" spans="1:10" x14ac:dyDescent="0.25">
      <c r="A95" t="s">
        <v>194</v>
      </c>
      <c r="B95" t="s">
        <v>105</v>
      </c>
      <c r="C95">
        <v>8</v>
      </c>
      <c r="D95" t="s">
        <v>3180</v>
      </c>
      <c r="E95">
        <v>52</v>
      </c>
      <c r="F95">
        <v>14</v>
      </c>
      <c r="G95">
        <v>38</v>
      </c>
      <c r="H95" t="s">
        <v>3493</v>
      </c>
      <c r="I95" t="s">
        <v>3490</v>
      </c>
      <c r="J95" t="s">
        <v>2908</v>
      </c>
    </row>
    <row r="96" spans="1:10" x14ac:dyDescent="0.25">
      <c r="A96" t="s">
        <v>194</v>
      </c>
      <c r="B96" t="s">
        <v>105</v>
      </c>
      <c r="C96">
        <v>8</v>
      </c>
      <c r="D96" t="s">
        <v>3182</v>
      </c>
      <c r="E96">
        <v>47</v>
      </c>
      <c r="F96">
        <v>24</v>
      </c>
      <c r="G96">
        <v>23</v>
      </c>
      <c r="H96" t="s">
        <v>3491</v>
      </c>
      <c r="I96" t="s">
        <v>3492</v>
      </c>
      <c r="J96" t="s">
        <v>2908</v>
      </c>
    </row>
    <row r="97" spans="1:10" x14ac:dyDescent="0.25">
      <c r="A97" t="s">
        <v>205</v>
      </c>
      <c r="B97" t="s">
        <v>212</v>
      </c>
      <c r="C97">
        <v>8</v>
      </c>
      <c r="D97" t="s">
        <v>3474</v>
      </c>
      <c r="E97">
        <v>58</v>
      </c>
      <c r="F97">
        <v>24</v>
      </c>
      <c r="G97">
        <v>34</v>
      </c>
      <c r="H97" t="s">
        <v>3493</v>
      </c>
      <c r="I97" t="s">
        <v>3490</v>
      </c>
      <c r="J97" t="s">
        <v>3001</v>
      </c>
    </row>
    <row r="98" spans="1:10" x14ac:dyDescent="0.25">
      <c r="A98" t="s">
        <v>205</v>
      </c>
      <c r="B98" t="s">
        <v>212</v>
      </c>
      <c r="C98">
        <v>8</v>
      </c>
      <c r="D98" t="s">
        <v>3476</v>
      </c>
      <c r="E98">
        <v>57</v>
      </c>
      <c r="F98">
        <v>29</v>
      </c>
      <c r="G98">
        <v>28</v>
      </c>
      <c r="H98" t="s">
        <v>3493</v>
      </c>
      <c r="I98" t="s">
        <v>3490</v>
      </c>
      <c r="J98" t="s">
        <v>3001</v>
      </c>
    </row>
    <row r="99" spans="1:10" x14ac:dyDescent="0.25">
      <c r="A99" t="s">
        <v>205</v>
      </c>
      <c r="B99" t="s">
        <v>212</v>
      </c>
      <c r="C99">
        <v>8</v>
      </c>
      <c r="D99" t="s">
        <v>3478</v>
      </c>
      <c r="E99">
        <v>38</v>
      </c>
      <c r="F99">
        <v>11</v>
      </c>
      <c r="G99">
        <v>27</v>
      </c>
      <c r="H99" t="s">
        <v>3491</v>
      </c>
      <c r="I99" t="s">
        <v>3492</v>
      </c>
      <c r="J99" t="s">
        <v>3001</v>
      </c>
    </row>
    <row r="100" spans="1:10" x14ac:dyDescent="0.25">
      <c r="A100" t="s">
        <v>205</v>
      </c>
      <c r="B100" t="s">
        <v>212</v>
      </c>
      <c r="C100">
        <v>8</v>
      </c>
      <c r="D100" t="s">
        <v>3480</v>
      </c>
      <c r="E100">
        <v>59</v>
      </c>
      <c r="F100">
        <v>16</v>
      </c>
      <c r="G100">
        <v>43</v>
      </c>
      <c r="H100" t="s">
        <v>3493</v>
      </c>
      <c r="I100" t="s">
        <v>3490</v>
      </c>
      <c r="J100" t="s">
        <v>3001</v>
      </c>
    </row>
    <row r="101" spans="1:10" x14ac:dyDescent="0.25">
      <c r="A101" t="s">
        <v>205</v>
      </c>
      <c r="B101" t="s">
        <v>212</v>
      </c>
      <c r="C101">
        <v>8</v>
      </c>
      <c r="D101" t="s">
        <v>3482</v>
      </c>
      <c r="E101">
        <v>98</v>
      </c>
      <c r="F101">
        <v>30</v>
      </c>
      <c r="G101">
        <v>68</v>
      </c>
      <c r="H101" t="s">
        <v>3495</v>
      </c>
      <c r="I101" t="s">
        <v>3490</v>
      </c>
      <c r="J101" t="s">
        <v>3001</v>
      </c>
    </row>
    <row r="102" spans="1:10" x14ac:dyDescent="0.25">
      <c r="A102" t="s">
        <v>214</v>
      </c>
      <c r="B102" t="s">
        <v>30</v>
      </c>
      <c r="C102">
        <v>8</v>
      </c>
      <c r="D102" t="s">
        <v>3354</v>
      </c>
      <c r="E102">
        <v>82</v>
      </c>
      <c r="F102">
        <v>19</v>
      </c>
      <c r="G102">
        <v>63</v>
      </c>
      <c r="H102" t="s">
        <v>196</v>
      </c>
      <c r="I102" t="s">
        <v>3490</v>
      </c>
      <c r="J102" t="s">
        <v>2895</v>
      </c>
    </row>
    <row r="103" spans="1:10" x14ac:dyDescent="0.25">
      <c r="A103" t="s">
        <v>214</v>
      </c>
      <c r="B103" t="s">
        <v>30</v>
      </c>
      <c r="C103">
        <v>8</v>
      </c>
      <c r="D103" t="s">
        <v>3356</v>
      </c>
      <c r="E103">
        <v>52</v>
      </c>
      <c r="F103">
        <v>23</v>
      </c>
      <c r="G103">
        <v>29</v>
      </c>
      <c r="H103" t="s">
        <v>3493</v>
      </c>
      <c r="I103" t="s">
        <v>3490</v>
      </c>
      <c r="J103" t="s">
        <v>2895</v>
      </c>
    </row>
    <row r="104" spans="1:10" x14ac:dyDescent="0.25">
      <c r="A104" t="s">
        <v>214</v>
      </c>
      <c r="B104" t="s">
        <v>30</v>
      </c>
      <c r="C104">
        <v>8</v>
      </c>
      <c r="D104" t="s">
        <v>3358</v>
      </c>
      <c r="E104">
        <v>42</v>
      </c>
      <c r="F104">
        <v>12</v>
      </c>
      <c r="G104">
        <v>30</v>
      </c>
      <c r="H104" t="s">
        <v>3491</v>
      </c>
      <c r="I104" t="s">
        <v>3492</v>
      </c>
      <c r="J104" t="s">
        <v>2895</v>
      </c>
    </row>
    <row r="105" spans="1:10" x14ac:dyDescent="0.25">
      <c r="A105" t="s">
        <v>214</v>
      </c>
      <c r="B105" t="s">
        <v>30</v>
      </c>
      <c r="C105">
        <v>8</v>
      </c>
      <c r="D105" t="s">
        <v>3360</v>
      </c>
      <c r="E105">
        <v>69</v>
      </c>
      <c r="F105">
        <v>25</v>
      </c>
      <c r="G105">
        <v>44</v>
      </c>
      <c r="H105" t="s">
        <v>3489</v>
      </c>
      <c r="I105" t="s">
        <v>3490</v>
      </c>
      <c r="J105" t="s">
        <v>2895</v>
      </c>
    </row>
    <row r="106" spans="1:10" x14ac:dyDescent="0.25">
      <c r="A106" t="s">
        <v>214</v>
      </c>
      <c r="B106" t="s">
        <v>30</v>
      </c>
      <c r="C106">
        <v>8</v>
      </c>
      <c r="D106" t="s">
        <v>3362</v>
      </c>
      <c r="E106">
        <v>40</v>
      </c>
      <c r="F106">
        <v>10</v>
      </c>
      <c r="G106">
        <v>30</v>
      </c>
      <c r="H106" t="s">
        <v>3491</v>
      </c>
      <c r="I106" t="s">
        <v>3492</v>
      </c>
      <c r="J106" t="s">
        <v>2895</v>
      </c>
    </row>
    <row r="107" spans="1:10" x14ac:dyDescent="0.25">
      <c r="A107" t="s">
        <v>220</v>
      </c>
      <c r="B107" t="s">
        <v>105</v>
      </c>
      <c r="C107">
        <v>8</v>
      </c>
      <c r="D107" t="s">
        <v>3174</v>
      </c>
      <c r="E107">
        <v>43</v>
      </c>
      <c r="F107">
        <v>21</v>
      </c>
      <c r="G107">
        <v>22</v>
      </c>
      <c r="H107" t="s">
        <v>3491</v>
      </c>
      <c r="I107" t="s">
        <v>3492</v>
      </c>
      <c r="J107" t="s">
        <v>2908</v>
      </c>
    </row>
    <row r="108" spans="1:10" x14ac:dyDescent="0.25">
      <c r="A108" t="s">
        <v>220</v>
      </c>
      <c r="B108" t="s">
        <v>105</v>
      </c>
      <c r="C108">
        <v>8</v>
      </c>
      <c r="D108" t="s">
        <v>3176</v>
      </c>
      <c r="E108">
        <v>58</v>
      </c>
      <c r="F108">
        <v>27</v>
      </c>
      <c r="G108">
        <v>31</v>
      </c>
      <c r="H108" t="s">
        <v>3493</v>
      </c>
      <c r="I108" t="s">
        <v>3490</v>
      </c>
      <c r="J108" t="s">
        <v>2908</v>
      </c>
    </row>
    <row r="109" spans="1:10" x14ac:dyDescent="0.25">
      <c r="A109" t="s">
        <v>220</v>
      </c>
      <c r="B109" t="s">
        <v>105</v>
      </c>
      <c r="C109">
        <v>8</v>
      </c>
      <c r="D109" t="s">
        <v>3178</v>
      </c>
      <c r="E109">
        <v>49</v>
      </c>
      <c r="F109">
        <v>23</v>
      </c>
      <c r="G109">
        <v>26</v>
      </c>
      <c r="H109" t="s">
        <v>3491</v>
      </c>
      <c r="I109" t="s">
        <v>3492</v>
      </c>
      <c r="J109" t="s">
        <v>2908</v>
      </c>
    </row>
    <row r="110" spans="1:10" x14ac:dyDescent="0.25">
      <c r="A110" t="s">
        <v>220</v>
      </c>
      <c r="B110" t="s">
        <v>105</v>
      </c>
      <c r="C110">
        <v>8</v>
      </c>
      <c r="D110" t="s">
        <v>3180</v>
      </c>
      <c r="E110">
        <v>80</v>
      </c>
      <c r="F110">
        <v>12</v>
      </c>
      <c r="G110">
        <v>68</v>
      </c>
      <c r="H110" t="s">
        <v>196</v>
      </c>
      <c r="I110" t="s">
        <v>3490</v>
      </c>
      <c r="J110" t="s">
        <v>2908</v>
      </c>
    </row>
    <row r="111" spans="1:10" x14ac:dyDescent="0.25">
      <c r="A111" t="s">
        <v>220</v>
      </c>
      <c r="B111" t="s">
        <v>105</v>
      </c>
      <c r="C111">
        <v>8</v>
      </c>
      <c r="D111" t="s">
        <v>3182</v>
      </c>
      <c r="E111">
        <v>48</v>
      </c>
      <c r="F111">
        <v>15</v>
      </c>
      <c r="G111">
        <v>33</v>
      </c>
      <c r="H111" t="s">
        <v>3491</v>
      </c>
      <c r="I111" t="s">
        <v>3492</v>
      </c>
      <c r="J111" t="s">
        <v>2908</v>
      </c>
    </row>
    <row r="112" spans="1:10" x14ac:dyDescent="0.25">
      <c r="A112" t="s">
        <v>228</v>
      </c>
      <c r="B112" t="s">
        <v>159</v>
      </c>
      <c r="C112">
        <v>4</v>
      </c>
      <c r="D112" t="s">
        <v>3094</v>
      </c>
      <c r="E112">
        <v>41</v>
      </c>
      <c r="F112">
        <v>12</v>
      </c>
      <c r="G112">
        <v>29</v>
      </c>
      <c r="H112" t="s">
        <v>3491</v>
      </c>
      <c r="I112" t="s">
        <v>3492</v>
      </c>
      <c r="J112" t="s">
        <v>2902</v>
      </c>
    </row>
    <row r="113" spans="1:10" x14ac:dyDescent="0.25">
      <c r="A113" t="s">
        <v>228</v>
      </c>
      <c r="B113" t="s">
        <v>159</v>
      </c>
      <c r="C113">
        <v>4</v>
      </c>
      <c r="D113" t="s">
        <v>3096</v>
      </c>
      <c r="E113">
        <v>49</v>
      </c>
      <c r="F113">
        <v>23</v>
      </c>
      <c r="G113">
        <v>26</v>
      </c>
      <c r="H113" t="s">
        <v>3491</v>
      </c>
      <c r="I113" t="s">
        <v>3492</v>
      </c>
      <c r="J113" t="s">
        <v>2902</v>
      </c>
    </row>
    <row r="114" spans="1:10" x14ac:dyDescent="0.25">
      <c r="A114" t="s">
        <v>228</v>
      </c>
      <c r="B114" t="s">
        <v>159</v>
      </c>
      <c r="C114">
        <v>4</v>
      </c>
      <c r="D114" t="s">
        <v>3098</v>
      </c>
      <c r="E114">
        <v>57</v>
      </c>
      <c r="F114">
        <v>23</v>
      </c>
      <c r="G114">
        <v>34</v>
      </c>
      <c r="H114" t="s">
        <v>3493</v>
      </c>
      <c r="I114" t="s">
        <v>3490</v>
      </c>
      <c r="J114" t="s">
        <v>2902</v>
      </c>
    </row>
    <row r="115" spans="1:10" x14ac:dyDescent="0.25">
      <c r="A115" t="s">
        <v>228</v>
      </c>
      <c r="B115" t="s">
        <v>159</v>
      </c>
      <c r="C115">
        <v>4</v>
      </c>
      <c r="D115" t="s">
        <v>3100</v>
      </c>
      <c r="E115">
        <v>52</v>
      </c>
      <c r="F115">
        <v>15</v>
      </c>
      <c r="G115">
        <v>37</v>
      </c>
      <c r="H115" t="s">
        <v>3493</v>
      </c>
      <c r="I115" t="s">
        <v>3490</v>
      </c>
      <c r="J115" t="s">
        <v>2902</v>
      </c>
    </row>
    <row r="116" spans="1:10" x14ac:dyDescent="0.25">
      <c r="A116" t="s">
        <v>228</v>
      </c>
      <c r="B116" t="s">
        <v>159</v>
      </c>
      <c r="C116">
        <v>4</v>
      </c>
      <c r="D116" t="s">
        <v>3102</v>
      </c>
      <c r="E116">
        <v>91</v>
      </c>
      <c r="F116">
        <v>26</v>
      </c>
      <c r="G116">
        <v>65</v>
      </c>
      <c r="H116" t="s">
        <v>3495</v>
      </c>
      <c r="I116" t="s">
        <v>3490</v>
      </c>
      <c r="J116" t="s">
        <v>2902</v>
      </c>
    </row>
    <row r="117" spans="1:10" x14ac:dyDescent="0.25">
      <c r="A117" t="s">
        <v>235</v>
      </c>
      <c r="B117" t="s">
        <v>159</v>
      </c>
      <c r="C117">
        <v>4</v>
      </c>
      <c r="D117" t="s">
        <v>3094</v>
      </c>
      <c r="E117">
        <v>90</v>
      </c>
      <c r="F117">
        <v>27</v>
      </c>
      <c r="G117">
        <v>63</v>
      </c>
      <c r="H117" t="s">
        <v>3495</v>
      </c>
      <c r="I117" t="s">
        <v>3490</v>
      </c>
      <c r="J117" t="s">
        <v>2902</v>
      </c>
    </row>
    <row r="118" spans="1:10" x14ac:dyDescent="0.25">
      <c r="A118" t="s">
        <v>235</v>
      </c>
      <c r="B118" t="s">
        <v>159</v>
      </c>
      <c r="C118">
        <v>4</v>
      </c>
      <c r="D118" t="s">
        <v>3096</v>
      </c>
      <c r="E118">
        <v>83</v>
      </c>
      <c r="F118">
        <v>26</v>
      </c>
      <c r="G118">
        <v>57</v>
      </c>
      <c r="H118" t="s">
        <v>196</v>
      </c>
      <c r="I118" t="s">
        <v>3490</v>
      </c>
      <c r="J118" t="s">
        <v>2902</v>
      </c>
    </row>
    <row r="119" spans="1:10" x14ac:dyDescent="0.25">
      <c r="A119" t="s">
        <v>235</v>
      </c>
      <c r="B119" t="s">
        <v>159</v>
      </c>
      <c r="C119">
        <v>4</v>
      </c>
      <c r="D119" t="s">
        <v>3098</v>
      </c>
      <c r="E119">
        <v>69</v>
      </c>
      <c r="F119">
        <v>28</v>
      </c>
      <c r="G119">
        <v>41</v>
      </c>
      <c r="H119" t="s">
        <v>3489</v>
      </c>
      <c r="I119" t="s">
        <v>3490</v>
      </c>
      <c r="J119" t="s">
        <v>2902</v>
      </c>
    </row>
    <row r="120" spans="1:10" x14ac:dyDescent="0.25">
      <c r="A120" t="s">
        <v>235</v>
      </c>
      <c r="B120" t="s">
        <v>159</v>
      </c>
      <c r="C120">
        <v>4</v>
      </c>
      <c r="D120" t="s">
        <v>3100</v>
      </c>
      <c r="E120">
        <v>54</v>
      </c>
      <c r="F120">
        <v>24</v>
      </c>
      <c r="G120">
        <v>30</v>
      </c>
      <c r="H120" t="s">
        <v>3493</v>
      </c>
      <c r="I120" t="s">
        <v>3490</v>
      </c>
      <c r="J120" t="s">
        <v>2902</v>
      </c>
    </row>
    <row r="121" spans="1:10" x14ac:dyDescent="0.25">
      <c r="A121" t="s">
        <v>235</v>
      </c>
      <c r="B121" t="s">
        <v>159</v>
      </c>
      <c r="C121">
        <v>4</v>
      </c>
      <c r="D121" t="s">
        <v>3102</v>
      </c>
      <c r="E121">
        <v>83</v>
      </c>
      <c r="F121">
        <v>29</v>
      </c>
      <c r="G121">
        <v>54</v>
      </c>
      <c r="H121" t="s">
        <v>196</v>
      </c>
      <c r="I121" t="s">
        <v>3490</v>
      </c>
      <c r="J121" t="s">
        <v>2902</v>
      </c>
    </row>
    <row r="122" spans="1:10" x14ac:dyDescent="0.25">
      <c r="A122" t="s">
        <v>243</v>
      </c>
      <c r="B122" t="s">
        <v>212</v>
      </c>
      <c r="C122">
        <v>8</v>
      </c>
      <c r="D122" t="s">
        <v>3474</v>
      </c>
      <c r="E122">
        <v>61</v>
      </c>
      <c r="F122">
        <v>28</v>
      </c>
      <c r="G122">
        <v>33</v>
      </c>
      <c r="H122" t="s">
        <v>3489</v>
      </c>
      <c r="I122" t="s">
        <v>3490</v>
      </c>
      <c r="J122" t="s">
        <v>3001</v>
      </c>
    </row>
    <row r="123" spans="1:10" x14ac:dyDescent="0.25">
      <c r="A123" t="s">
        <v>243</v>
      </c>
      <c r="B123" t="s">
        <v>212</v>
      </c>
      <c r="C123">
        <v>8</v>
      </c>
      <c r="D123" t="s">
        <v>3476</v>
      </c>
      <c r="E123">
        <v>71</v>
      </c>
      <c r="F123">
        <v>24</v>
      </c>
      <c r="G123">
        <v>47</v>
      </c>
      <c r="H123" t="s">
        <v>3494</v>
      </c>
      <c r="I123" t="s">
        <v>3490</v>
      </c>
      <c r="J123" t="s">
        <v>3001</v>
      </c>
    </row>
    <row r="124" spans="1:10" x14ac:dyDescent="0.25">
      <c r="A124" t="s">
        <v>243</v>
      </c>
      <c r="B124" t="s">
        <v>212</v>
      </c>
      <c r="C124">
        <v>8</v>
      </c>
      <c r="D124" t="s">
        <v>3478</v>
      </c>
      <c r="E124">
        <v>74</v>
      </c>
      <c r="F124">
        <v>15</v>
      </c>
      <c r="G124">
        <v>59</v>
      </c>
      <c r="H124" t="s">
        <v>3494</v>
      </c>
      <c r="I124" t="s">
        <v>3490</v>
      </c>
      <c r="J124" t="s">
        <v>3001</v>
      </c>
    </row>
    <row r="125" spans="1:10" x14ac:dyDescent="0.25">
      <c r="A125" t="s">
        <v>243</v>
      </c>
      <c r="B125" t="s">
        <v>212</v>
      </c>
      <c r="C125">
        <v>8</v>
      </c>
      <c r="D125" t="s">
        <v>3480</v>
      </c>
      <c r="E125">
        <v>61</v>
      </c>
      <c r="F125">
        <v>24</v>
      </c>
      <c r="G125">
        <v>37</v>
      </c>
      <c r="H125" t="s">
        <v>3489</v>
      </c>
      <c r="I125" t="s">
        <v>3490</v>
      </c>
      <c r="J125" t="s">
        <v>3001</v>
      </c>
    </row>
    <row r="126" spans="1:10" x14ac:dyDescent="0.25">
      <c r="A126" t="s">
        <v>243</v>
      </c>
      <c r="B126" t="s">
        <v>212</v>
      </c>
      <c r="C126">
        <v>8</v>
      </c>
      <c r="D126" t="s">
        <v>3482</v>
      </c>
      <c r="E126">
        <v>56</v>
      </c>
      <c r="F126">
        <v>20</v>
      </c>
      <c r="G126">
        <v>36</v>
      </c>
      <c r="H126" t="s">
        <v>3493</v>
      </c>
      <c r="I126" t="s">
        <v>3490</v>
      </c>
      <c r="J126" t="s">
        <v>3001</v>
      </c>
    </row>
    <row r="127" spans="1:10" x14ac:dyDescent="0.25">
      <c r="A127" t="s">
        <v>250</v>
      </c>
      <c r="B127" t="s">
        <v>95</v>
      </c>
      <c r="C127">
        <v>8</v>
      </c>
      <c r="D127" t="s">
        <v>3234</v>
      </c>
      <c r="E127">
        <v>62</v>
      </c>
      <c r="F127">
        <v>29</v>
      </c>
      <c r="G127">
        <v>33</v>
      </c>
      <c r="H127" t="s">
        <v>3489</v>
      </c>
      <c r="I127" t="s">
        <v>3490</v>
      </c>
      <c r="J127" t="s">
        <v>2889</v>
      </c>
    </row>
    <row r="128" spans="1:10" x14ac:dyDescent="0.25">
      <c r="A128" t="s">
        <v>250</v>
      </c>
      <c r="B128" t="s">
        <v>95</v>
      </c>
      <c r="C128">
        <v>8</v>
      </c>
      <c r="D128" t="s">
        <v>3236</v>
      </c>
      <c r="E128">
        <v>42</v>
      </c>
      <c r="F128">
        <v>10</v>
      </c>
      <c r="G128">
        <v>32</v>
      </c>
      <c r="H128" t="s">
        <v>3491</v>
      </c>
      <c r="I128" t="s">
        <v>3492</v>
      </c>
      <c r="J128" t="s">
        <v>2889</v>
      </c>
    </row>
    <row r="129" spans="1:10" x14ac:dyDescent="0.25">
      <c r="A129" t="s">
        <v>250</v>
      </c>
      <c r="B129" t="s">
        <v>95</v>
      </c>
      <c r="C129">
        <v>8</v>
      </c>
      <c r="D129" t="s">
        <v>3238</v>
      </c>
      <c r="E129">
        <v>60</v>
      </c>
      <c r="F129">
        <v>22</v>
      </c>
      <c r="G129">
        <v>38</v>
      </c>
      <c r="H129" t="s">
        <v>3489</v>
      </c>
      <c r="I129" t="s">
        <v>3490</v>
      </c>
      <c r="J129" t="s">
        <v>2889</v>
      </c>
    </row>
    <row r="130" spans="1:10" x14ac:dyDescent="0.25">
      <c r="A130" t="s">
        <v>250</v>
      </c>
      <c r="B130" t="s">
        <v>95</v>
      </c>
      <c r="C130">
        <v>8</v>
      </c>
      <c r="D130" t="s">
        <v>3240</v>
      </c>
      <c r="E130">
        <v>91</v>
      </c>
      <c r="F130">
        <v>22</v>
      </c>
      <c r="G130">
        <v>69</v>
      </c>
      <c r="H130" t="s">
        <v>3495</v>
      </c>
      <c r="I130" t="s">
        <v>3490</v>
      </c>
      <c r="J130" t="s">
        <v>2889</v>
      </c>
    </row>
    <row r="131" spans="1:10" x14ac:dyDescent="0.25">
      <c r="A131" t="s">
        <v>250</v>
      </c>
      <c r="B131" t="s">
        <v>95</v>
      </c>
      <c r="C131">
        <v>8</v>
      </c>
      <c r="D131" t="s">
        <v>3242</v>
      </c>
      <c r="E131">
        <v>76</v>
      </c>
      <c r="F131">
        <v>27</v>
      </c>
      <c r="G131">
        <v>49</v>
      </c>
      <c r="H131" t="s">
        <v>3494</v>
      </c>
      <c r="I131" t="s">
        <v>3490</v>
      </c>
      <c r="J131" t="s">
        <v>2889</v>
      </c>
    </row>
    <row r="132" spans="1:10" x14ac:dyDescent="0.25">
      <c r="A132" t="s">
        <v>258</v>
      </c>
      <c r="B132" t="s">
        <v>159</v>
      </c>
      <c r="C132">
        <v>4</v>
      </c>
      <c r="D132" t="s">
        <v>3094</v>
      </c>
      <c r="E132">
        <v>69</v>
      </c>
      <c r="F132">
        <v>12</v>
      </c>
      <c r="G132">
        <v>57</v>
      </c>
      <c r="H132" t="s">
        <v>3489</v>
      </c>
      <c r="I132" t="s">
        <v>3490</v>
      </c>
      <c r="J132" t="s">
        <v>2902</v>
      </c>
    </row>
    <row r="133" spans="1:10" x14ac:dyDescent="0.25">
      <c r="A133" t="s">
        <v>258</v>
      </c>
      <c r="B133" t="s">
        <v>159</v>
      </c>
      <c r="C133">
        <v>4</v>
      </c>
      <c r="D133" t="s">
        <v>3096</v>
      </c>
      <c r="E133">
        <v>83</v>
      </c>
      <c r="F133">
        <v>13</v>
      </c>
      <c r="G133">
        <v>70</v>
      </c>
      <c r="H133" t="s">
        <v>196</v>
      </c>
      <c r="I133" t="s">
        <v>3490</v>
      </c>
      <c r="J133" t="s">
        <v>2902</v>
      </c>
    </row>
    <row r="134" spans="1:10" x14ac:dyDescent="0.25">
      <c r="A134" t="s">
        <v>258</v>
      </c>
      <c r="B134" t="s">
        <v>159</v>
      </c>
      <c r="C134">
        <v>4</v>
      </c>
      <c r="D134" t="s">
        <v>3098</v>
      </c>
      <c r="E134">
        <v>37</v>
      </c>
      <c r="F134">
        <v>14</v>
      </c>
      <c r="G134">
        <v>23</v>
      </c>
      <c r="H134" t="s">
        <v>3491</v>
      </c>
      <c r="I134" t="s">
        <v>3492</v>
      </c>
      <c r="J134" t="s">
        <v>2902</v>
      </c>
    </row>
    <row r="135" spans="1:10" x14ac:dyDescent="0.25">
      <c r="A135" t="s">
        <v>258</v>
      </c>
      <c r="B135" t="s">
        <v>159</v>
      </c>
      <c r="C135">
        <v>4</v>
      </c>
      <c r="D135" t="s">
        <v>3100</v>
      </c>
      <c r="E135">
        <v>84</v>
      </c>
      <c r="F135">
        <v>17</v>
      </c>
      <c r="G135">
        <v>67</v>
      </c>
      <c r="H135" t="s">
        <v>196</v>
      </c>
      <c r="I135" t="s">
        <v>3490</v>
      </c>
      <c r="J135" t="s">
        <v>2902</v>
      </c>
    </row>
    <row r="136" spans="1:10" x14ac:dyDescent="0.25">
      <c r="A136" t="s">
        <v>258</v>
      </c>
      <c r="B136" t="s">
        <v>159</v>
      </c>
      <c r="C136">
        <v>4</v>
      </c>
      <c r="D136" t="s">
        <v>3102</v>
      </c>
      <c r="E136">
        <v>54</v>
      </c>
      <c r="F136">
        <v>27</v>
      </c>
      <c r="G136">
        <v>27</v>
      </c>
      <c r="H136" t="s">
        <v>3493</v>
      </c>
      <c r="I136" t="s">
        <v>3490</v>
      </c>
      <c r="J136" t="s">
        <v>2902</v>
      </c>
    </row>
    <row r="137" spans="1:10" x14ac:dyDescent="0.25">
      <c r="A137" t="s">
        <v>267</v>
      </c>
      <c r="B137" t="s">
        <v>75</v>
      </c>
      <c r="C137">
        <v>8</v>
      </c>
      <c r="D137" t="s">
        <v>3054</v>
      </c>
      <c r="E137">
        <v>77</v>
      </c>
      <c r="F137">
        <v>27</v>
      </c>
      <c r="G137">
        <v>50</v>
      </c>
      <c r="H137" t="s">
        <v>3494</v>
      </c>
      <c r="I137" t="s">
        <v>3490</v>
      </c>
      <c r="J137" t="s">
        <v>2961</v>
      </c>
    </row>
    <row r="138" spans="1:10" x14ac:dyDescent="0.25">
      <c r="A138" t="s">
        <v>267</v>
      </c>
      <c r="B138" t="s">
        <v>75</v>
      </c>
      <c r="C138">
        <v>8</v>
      </c>
      <c r="D138" t="s">
        <v>3056</v>
      </c>
      <c r="E138">
        <v>83</v>
      </c>
      <c r="F138">
        <v>22</v>
      </c>
      <c r="G138">
        <v>61</v>
      </c>
      <c r="H138" t="s">
        <v>196</v>
      </c>
      <c r="I138" t="s">
        <v>3490</v>
      </c>
      <c r="J138" t="s">
        <v>2961</v>
      </c>
    </row>
    <row r="139" spans="1:10" x14ac:dyDescent="0.25">
      <c r="A139" t="s">
        <v>267</v>
      </c>
      <c r="B139" t="s">
        <v>75</v>
      </c>
      <c r="C139">
        <v>8</v>
      </c>
      <c r="D139" t="s">
        <v>3058</v>
      </c>
      <c r="E139">
        <v>93</v>
      </c>
      <c r="F139">
        <v>28</v>
      </c>
      <c r="G139">
        <v>65</v>
      </c>
      <c r="H139" t="s">
        <v>3495</v>
      </c>
      <c r="I139" t="s">
        <v>3490</v>
      </c>
      <c r="J139" t="s">
        <v>2961</v>
      </c>
    </row>
    <row r="140" spans="1:10" x14ac:dyDescent="0.25">
      <c r="A140" t="s">
        <v>267</v>
      </c>
      <c r="B140" t="s">
        <v>75</v>
      </c>
      <c r="C140">
        <v>8</v>
      </c>
      <c r="D140" t="s">
        <v>3060</v>
      </c>
      <c r="E140">
        <v>37</v>
      </c>
      <c r="F140">
        <v>14</v>
      </c>
      <c r="G140">
        <v>23</v>
      </c>
      <c r="H140" t="s">
        <v>3491</v>
      </c>
      <c r="I140" t="s">
        <v>3492</v>
      </c>
      <c r="J140" t="s">
        <v>2961</v>
      </c>
    </row>
    <row r="141" spans="1:10" x14ac:dyDescent="0.25">
      <c r="A141" t="s">
        <v>267</v>
      </c>
      <c r="B141" t="s">
        <v>75</v>
      </c>
      <c r="C141">
        <v>8</v>
      </c>
      <c r="D141" t="s">
        <v>3062</v>
      </c>
      <c r="E141">
        <v>57</v>
      </c>
      <c r="F141">
        <v>26</v>
      </c>
      <c r="G141">
        <v>31</v>
      </c>
      <c r="H141" t="s">
        <v>3493</v>
      </c>
      <c r="I141" t="s">
        <v>3490</v>
      </c>
      <c r="J141" t="s">
        <v>2961</v>
      </c>
    </row>
    <row r="142" spans="1:10" x14ac:dyDescent="0.25">
      <c r="A142" t="s">
        <v>275</v>
      </c>
      <c r="B142" t="s">
        <v>105</v>
      </c>
      <c r="C142">
        <v>8</v>
      </c>
      <c r="D142" t="s">
        <v>3174</v>
      </c>
      <c r="E142">
        <v>61</v>
      </c>
      <c r="F142">
        <v>27</v>
      </c>
      <c r="G142">
        <v>34</v>
      </c>
      <c r="H142" t="s">
        <v>3489</v>
      </c>
      <c r="I142" t="s">
        <v>3490</v>
      </c>
      <c r="J142" t="s">
        <v>2908</v>
      </c>
    </row>
    <row r="143" spans="1:10" x14ac:dyDescent="0.25">
      <c r="A143" t="s">
        <v>275</v>
      </c>
      <c r="B143" t="s">
        <v>105</v>
      </c>
      <c r="C143">
        <v>8</v>
      </c>
      <c r="D143" t="s">
        <v>3176</v>
      </c>
      <c r="E143">
        <v>49</v>
      </c>
      <c r="F143">
        <v>14</v>
      </c>
      <c r="G143">
        <v>35</v>
      </c>
      <c r="H143" t="s">
        <v>3491</v>
      </c>
      <c r="I143" t="s">
        <v>3492</v>
      </c>
      <c r="J143" t="s">
        <v>2908</v>
      </c>
    </row>
    <row r="144" spans="1:10" x14ac:dyDescent="0.25">
      <c r="A144" t="s">
        <v>275</v>
      </c>
      <c r="B144" t="s">
        <v>105</v>
      </c>
      <c r="C144">
        <v>8</v>
      </c>
      <c r="D144" t="s">
        <v>3178</v>
      </c>
      <c r="E144">
        <v>63</v>
      </c>
      <c r="F144">
        <v>11</v>
      </c>
      <c r="G144">
        <v>52</v>
      </c>
      <c r="H144" t="s">
        <v>3489</v>
      </c>
      <c r="I144" t="s">
        <v>3490</v>
      </c>
      <c r="J144" t="s">
        <v>2908</v>
      </c>
    </row>
    <row r="145" spans="1:10" x14ac:dyDescent="0.25">
      <c r="A145" t="s">
        <v>275</v>
      </c>
      <c r="B145" t="s">
        <v>105</v>
      </c>
      <c r="C145">
        <v>8</v>
      </c>
      <c r="D145" t="s">
        <v>3180</v>
      </c>
      <c r="E145">
        <v>83</v>
      </c>
      <c r="F145">
        <v>29</v>
      </c>
      <c r="G145">
        <v>54</v>
      </c>
      <c r="H145" t="s">
        <v>196</v>
      </c>
      <c r="I145" t="s">
        <v>3490</v>
      </c>
      <c r="J145" t="s">
        <v>2908</v>
      </c>
    </row>
    <row r="146" spans="1:10" x14ac:dyDescent="0.25">
      <c r="A146" t="s">
        <v>275</v>
      </c>
      <c r="B146" t="s">
        <v>105</v>
      </c>
      <c r="C146">
        <v>8</v>
      </c>
      <c r="D146" t="s">
        <v>3182</v>
      </c>
      <c r="E146">
        <v>47</v>
      </c>
      <c r="F146">
        <v>12</v>
      </c>
      <c r="G146">
        <v>35</v>
      </c>
      <c r="H146" t="s">
        <v>3491</v>
      </c>
      <c r="I146" t="s">
        <v>3492</v>
      </c>
      <c r="J146" t="s">
        <v>2908</v>
      </c>
    </row>
    <row r="147" spans="1:10" x14ac:dyDescent="0.25">
      <c r="A147" t="s">
        <v>281</v>
      </c>
      <c r="B147" t="s">
        <v>159</v>
      </c>
      <c r="C147">
        <v>8</v>
      </c>
      <c r="D147" t="s">
        <v>3114</v>
      </c>
      <c r="E147">
        <v>82</v>
      </c>
      <c r="F147">
        <v>27</v>
      </c>
      <c r="G147">
        <v>55</v>
      </c>
      <c r="H147" t="s">
        <v>196</v>
      </c>
      <c r="I147" t="s">
        <v>3490</v>
      </c>
      <c r="J147" t="s">
        <v>2902</v>
      </c>
    </row>
    <row r="148" spans="1:10" x14ac:dyDescent="0.25">
      <c r="A148" t="s">
        <v>281</v>
      </c>
      <c r="B148" t="s">
        <v>159</v>
      </c>
      <c r="C148">
        <v>8</v>
      </c>
      <c r="D148" t="s">
        <v>3116</v>
      </c>
      <c r="E148">
        <v>53</v>
      </c>
      <c r="F148">
        <v>12</v>
      </c>
      <c r="G148">
        <v>41</v>
      </c>
      <c r="H148" t="s">
        <v>3493</v>
      </c>
      <c r="I148" t="s">
        <v>3490</v>
      </c>
      <c r="J148" t="s">
        <v>2902</v>
      </c>
    </row>
    <row r="149" spans="1:10" x14ac:dyDescent="0.25">
      <c r="A149" t="s">
        <v>281</v>
      </c>
      <c r="B149" t="s">
        <v>159</v>
      </c>
      <c r="C149">
        <v>8</v>
      </c>
      <c r="D149" t="s">
        <v>3118</v>
      </c>
      <c r="E149">
        <v>80</v>
      </c>
      <c r="F149">
        <v>26</v>
      </c>
      <c r="G149">
        <v>54</v>
      </c>
      <c r="H149" t="s">
        <v>196</v>
      </c>
      <c r="I149" t="s">
        <v>3490</v>
      </c>
      <c r="J149" t="s">
        <v>2902</v>
      </c>
    </row>
    <row r="150" spans="1:10" x14ac:dyDescent="0.25">
      <c r="A150" t="s">
        <v>281</v>
      </c>
      <c r="B150" t="s">
        <v>159</v>
      </c>
      <c r="C150">
        <v>8</v>
      </c>
      <c r="D150" t="s">
        <v>3120</v>
      </c>
      <c r="E150">
        <v>48</v>
      </c>
      <c r="F150">
        <v>12</v>
      </c>
      <c r="G150">
        <v>36</v>
      </c>
      <c r="H150" t="s">
        <v>3491</v>
      </c>
      <c r="I150" t="s">
        <v>3492</v>
      </c>
      <c r="J150" t="s">
        <v>2902</v>
      </c>
    </row>
    <row r="151" spans="1:10" x14ac:dyDescent="0.25">
      <c r="A151" t="s">
        <v>281</v>
      </c>
      <c r="B151" t="s">
        <v>159</v>
      </c>
      <c r="C151">
        <v>8</v>
      </c>
      <c r="D151" t="s">
        <v>3122</v>
      </c>
      <c r="E151">
        <v>59</v>
      </c>
      <c r="F151">
        <v>18</v>
      </c>
      <c r="G151">
        <v>41</v>
      </c>
      <c r="H151" t="s">
        <v>3493</v>
      </c>
      <c r="I151" t="s">
        <v>3490</v>
      </c>
      <c r="J151" t="s">
        <v>2902</v>
      </c>
    </row>
    <row r="152" spans="1:10" x14ac:dyDescent="0.25">
      <c r="A152" t="s">
        <v>289</v>
      </c>
      <c r="B152" t="s">
        <v>95</v>
      </c>
      <c r="C152">
        <v>4</v>
      </c>
      <c r="D152" t="s">
        <v>3214</v>
      </c>
      <c r="E152">
        <v>55</v>
      </c>
      <c r="F152">
        <v>27</v>
      </c>
      <c r="G152">
        <v>28</v>
      </c>
      <c r="H152" t="s">
        <v>3493</v>
      </c>
      <c r="I152" t="s">
        <v>3490</v>
      </c>
      <c r="J152" t="s">
        <v>2889</v>
      </c>
    </row>
    <row r="153" spans="1:10" x14ac:dyDescent="0.25">
      <c r="A153" t="s">
        <v>289</v>
      </c>
      <c r="B153" t="s">
        <v>95</v>
      </c>
      <c r="C153">
        <v>4</v>
      </c>
      <c r="D153" t="s">
        <v>3216</v>
      </c>
      <c r="E153">
        <v>37</v>
      </c>
      <c r="F153">
        <v>15</v>
      </c>
      <c r="G153">
        <v>22</v>
      </c>
      <c r="H153" t="s">
        <v>3491</v>
      </c>
      <c r="I153" t="s">
        <v>3492</v>
      </c>
      <c r="J153" t="s">
        <v>2889</v>
      </c>
    </row>
    <row r="154" spans="1:10" x14ac:dyDescent="0.25">
      <c r="A154" t="s">
        <v>289</v>
      </c>
      <c r="B154" t="s">
        <v>95</v>
      </c>
      <c r="C154">
        <v>4</v>
      </c>
      <c r="D154" t="s">
        <v>3218</v>
      </c>
      <c r="E154">
        <v>74</v>
      </c>
      <c r="F154">
        <v>23</v>
      </c>
      <c r="G154">
        <v>51</v>
      </c>
      <c r="H154" t="s">
        <v>3494</v>
      </c>
      <c r="I154" t="s">
        <v>3490</v>
      </c>
      <c r="J154" t="s">
        <v>2889</v>
      </c>
    </row>
    <row r="155" spans="1:10" x14ac:dyDescent="0.25">
      <c r="A155" t="s">
        <v>289</v>
      </c>
      <c r="B155" t="s">
        <v>95</v>
      </c>
      <c r="C155">
        <v>4</v>
      </c>
      <c r="D155" t="s">
        <v>3220</v>
      </c>
      <c r="E155">
        <v>44</v>
      </c>
      <c r="F155">
        <v>16</v>
      </c>
      <c r="G155">
        <v>28</v>
      </c>
      <c r="H155" t="s">
        <v>3491</v>
      </c>
      <c r="I155" t="s">
        <v>3492</v>
      </c>
      <c r="J155" t="s">
        <v>2889</v>
      </c>
    </row>
    <row r="156" spans="1:10" x14ac:dyDescent="0.25">
      <c r="A156" t="s">
        <v>289</v>
      </c>
      <c r="B156" t="s">
        <v>95</v>
      </c>
      <c r="C156">
        <v>4</v>
      </c>
      <c r="D156" t="s">
        <v>3222</v>
      </c>
      <c r="E156">
        <v>81</v>
      </c>
      <c r="F156">
        <v>17</v>
      </c>
      <c r="G156">
        <v>64</v>
      </c>
      <c r="H156" t="s">
        <v>196</v>
      </c>
      <c r="I156" t="s">
        <v>3490</v>
      </c>
      <c r="J156" t="s">
        <v>2889</v>
      </c>
    </row>
    <row r="157" spans="1:10" x14ac:dyDescent="0.25">
      <c r="A157" t="s">
        <v>297</v>
      </c>
      <c r="B157" t="s">
        <v>30</v>
      </c>
      <c r="C157">
        <v>4</v>
      </c>
      <c r="D157" t="s">
        <v>3334</v>
      </c>
      <c r="E157">
        <v>55</v>
      </c>
      <c r="F157">
        <v>30</v>
      </c>
      <c r="G157">
        <v>25</v>
      </c>
      <c r="H157" t="s">
        <v>3493</v>
      </c>
      <c r="I157" t="s">
        <v>3490</v>
      </c>
      <c r="J157" t="s">
        <v>2895</v>
      </c>
    </row>
    <row r="158" spans="1:10" x14ac:dyDescent="0.25">
      <c r="A158" t="s">
        <v>297</v>
      </c>
      <c r="B158" t="s">
        <v>30</v>
      </c>
      <c r="C158">
        <v>4</v>
      </c>
      <c r="D158" t="s">
        <v>3336</v>
      </c>
      <c r="E158">
        <v>55</v>
      </c>
      <c r="F158">
        <v>26</v>
      </c>
      <c r="G158">
        <v>29</v>
      </c>
      <c r="H158" t="s">
        <v>3493</v>
      </c>
      <c r="I158" t="s">
        <v>3490</v>
      </c>
      <c r="J158" t="s">
        <v>2895</v>
      </c>
    </row>
    <row r="159" spans="1:10" x14ac:dyDescent="0.25">
      <c r="A159" t="s">
        <v>297</v>
      </c>
      <c r="B159" t="s">
        <v>30</v>
      </c>
      <c r="C159">
        <v>4</v>
      </c>
      <c r="D159" t="s">
        <v>3338</v>
      </c>
      <c r="E159">
        <v>77</v>
      </c>
      <c r="F159">
        <v>29</v>
      </c>
      <c r="G159">
        <v>48</v>
      </c>
      <c r="H159" t="s">
        <v>3494</v>
      </c>
      <c r="I159" t="s">
        <v>3490</v>
      </c>
      <c r="J159" t="s">
        <v>2895</v>
      </c>
    </row>
    <row r="160" spans="1:10" x14ac:dyDescent="0.25">
      <c r="A160" t="s">
        <v>297</v>
      </c>
      <c r="B160" t="s">
        <v>30</v>
      </c>
      <c r="C160">
        <v>4</v>
      </c>
      <c r="D160" t="s">
        <v>3340</v>
      </c>
      <c r="E160">
        <v>59</v>
      </c>
      <c r="F160">
        <v>12</v>
      </c>
      <c r="G160">
        <v>47</v>
      </c>
      <c r="H160" t="s">
        <v>3493</v>
      </c>
      <c r="I160" t="s">
        <v>3490</v>
      </c>
      <c r="J160" t="s">
        <v>2895</v>
      </c>
    </row>
    <row r="161" spans="1:10" x14ac:dyDescent="0.25">
      <c r="A161" t="s">
        <v>297</v>
      </c>
      <c r="B161" t="s">
        <v>30</v>
      </c>
      <c r="C161">
        <v>4</v>
      </c>
      <c r="D161" t="s">
        <v>3342</v>
      </c>
      <c r="E161">
        <v>84</v>
      </c>
      <c r="F161">
        <v>30</v>
      </c>
      <c r="G161">
        <v>54</v>
      </c>
      <c r="H161" t="s">
        <v>196</v>
      </c>
      <c r="I161" t="s">
        <v>3490</v>
      </c>
      <c r="J161" t="s">
        <v>2895</v>
      </c>
    </row>
    <row r="162" spans="1:10" x14ac:dyDescent="0.25">
      <c r="A162" t="s">
        <v>304</v>
      </c>
      <c r="B162" t="s">
        <v>159</v>
      </c>
      <c r="C162">
        <v>4</v>
      </c>
      <c r="D162" t="s">
        <v>3094</v>
      </c>
      <c r="E162">
        <v>79</v>
      </c>
      <c r="F162">
        <v>12</v>
      </c>
      <c r="G162">
        <v>67</v>
      </c>
      <c r="H162" t="s">
        <v>3494</v>
      </c>
      <c r="I162" t="s">
        <v>3490</v>
      </c>
      <c r="J162" t="s">
        <v>2902</v>
      </c>
    </row>
    <row r="163" spans="1:10" x14ac:dyDescent="0.25">
      <c r="A163" t="s">
        <v>304</v>
      </c>
      <c r="B163" t="s">
        <v>159</v>
      </c>
      <c r="C163">
        <v>4</v>
      </c>
      <c r="D163" t="s">
        <v>3096</v>
      </c>
      <c r="E163">
        <v>69</v>
      </c>
      <c r="F163">
        <v>20</v>
      </c>
      <c r="G163">
        <v>49</v>
      </c>
      <c r="H163" t="s">
        <v>3489</v>
      </c>
      <c r="I163" t="s">
        <v>3490</v>
      </c>
      <c r="J163" t="s">
        <v>2902</v>
      </c>
    </row>
    <row r="164" spans="1:10" x14ac:dyDescent="0.25">
      <c r="A164" t="s">
        <v>304</v>
      </c>
      <c r="B164" t="s">
        <v>159</v>
      </c>
      <c r="C164">
        <v>4</v>
      </c>
      <c r="D164" t="s">
        <v>3098</v>
      </c>
      <c r="E164">
        <v>78</v>
      </c>
      <c r="F164">
        <v>15</v>
      </c>
      <c r="G164">
        <v>63</v>
      </c>
      <c r="H164" t="s">
        <v>3494</v>
      </c>
      <c r="I164" t="s">
        <v>3490</v>
      </c>
      <c r="J164" t="s">
        <v>2902</v>
      </c>
    </row>
    <row r="165" spans="1:10" x14ac:dyDescent="0.25">
      <c r="A165" t="s">
        <v>304</v>
      </c>
      <c r="B165" t="s">
        <v>159</v>
      </c>
      <c r="C165">
        <v>4</v>
      </c>
      <c r="D165" t="s">
        <v>3100</v>
      </c>
      <c r="E165">
        <v>59</v>
      </c>
      <c r="F165">
        <v>18</v>
      </c>
      <c r="G165">
        <v>41</v>
      </c>
      <c r="H165" t="s">
        <v>3493</v>
      </c>
      <c r="I165" t="s">
        <v>3490</v>
      </c>
      <c r="J165" t="s">
        <v>2902</v>
      </c>
    </row>
    <row r="166" spans="1:10" x14ac:dyDescent="0.25">
      <c r="A166" t="s">
        <v>304</v>
      </c>
      <c r="B166" t="s">
        <v>159</v>
      </c>
      <c r="C166">
        <v>4</v>
      </c>
      <c r="D166" t="s">
        <v>3102</v>
      </c>
      <c r="E166">
        <v>32</v>
      </c>
      <c r="F166">
        <v>10</v>
      </c>
      <c r="G166">
        <v>22</v>
      </c>
      <c r="H166" t="s">
        <v>3491</v>
      </c>
      <c r="I166" t="s">
        <v>3492</v>
      </c>
      <c r="J166" t="s">
        <v>2902</v>
      </c>
    </row>
    <row r="167" spans="1:10" x14ac:dyDescent="0.25">
      <c r="A167" t="s">
        <v>312</v>
      </c>
      <c r="B167" t="s">
        <v>75</v>
      </c>
      <c r="C167">
        <v>4</v>
      </c>
      <c r="D167" t="s">
        <v>3034</v>
      </c>
      <c r="E167">
        <v>79</v>
      </c>
      <c r="F167">
        <v>10</v>
      </c>
      <c r="G167">
        <v>69</v>
      </c>
      <c r="H167" t="s">
        <v>3494</v>
      </c>
      <c r="I167" t="s">
        <v>3490</v>
      </c>
      <c r="J167" t="s">
        <v>2961</v>
      </c>
    </row>
    <row r="168" spans="1:10" x14ac:dyDescent="0.25">
      <c r="A168" t="s">
        <v>312</v>
      </c>
      <c r="B168" t="s">
        <v>75</v>
      </c>
      <c r="C168">
        <v>4</v>
      </c>
      <c r="D168" t="s">
        <v>3036</v>
      </c>
      <c r="E168">
        <v>79</v>
      </c>
      <c r="F168">
        <v>10</v>
      </c>
      <c r="G168">
        <v>69</v>
      </c>
      <c r="H168" t="s">
        <v>3494</v>
      </c>
      <c r="I168" t="s">
        <v>3490</v>
      </c>
      <c r="J168" t="s">
        <v>2961</v>
      </c>
    </row>
    <row r="169" spans="1:10" x14ac:dyDescent="0.25">
      <c r="A169" t="s">
        <v>312</v>
      </c>
      <c r="B169" t="s">
        <v>75</v>
      </c>
      <c r="C169">
        <v>4</v>
      </c>
      <c r="D169" t="s">
        <v>3038</v>
      </c>
      <c r="E169">
        <v>76</v>
      </c>
      <c r="F169">
        <v>10</v>
      </c>
      <c r="G169">
        <v>66</v>
      </c>
      <c r="H169" t="s">
        <v>3494</v>
      </c>
      <c r="I169" t="s">
        <v>3490</v>
      </c>
      <c r="J169" t="s">
        <v>2961</v>
      </c>
    </row>
    <row r="170" spans="1:10" x14ac:dyDescent="0.25">
      <c r="A170" t="s">
        <v>312</v>
      </c>
      <c r="B170" t="s">
        <v>75</v>
      </c>
      <c r="C170">
        <v>4</v>
      </c>
      <c r="D170" t="s">
        <v>3040</v>
      </c>
      <c r="E170">
        <v>35</v>
      </c>
      <c r="F170">
        <v>10</v>
      </c>
      <c r="G170">
        <v>25</v>
      </c>
      <c r="H170" t="s">
        <v>3491</v>
      </c>
      <c r="I170" t="s">
        <v>3492</v>
      </c>
      <c r="J170" t="s">
        <v>2961</v>
      </c>
    </row>
    <row r="171" spans="1:10" x14ac:dyDescent="0.25">
      <c r="A171" t="s">
        <v>312</v>
      </c>
      <c r="B171" t="s">
        <v>75</v>
      </c>
      <c r="C171">
        <v>4</v>
      </c>
      <c r="D171" t="s">
        <v>3042</v>
      </c>
      <c r="E171">
        <v>50</v>
      </c>
      <c r="F171">
        <v>20</v>
      </c>
      <c r="G171">
        <v>30</v>
      </c>
      <c r="H171" t="s">
        <v>3493</v>
      </c>
      <c r="I171" t="s">
        <v>3490</v>
      </c>
      <c r="J171" t="s">
        <v>2961</v>
      </c>
    </row>
    <row r="172" spans="1:10" x14ac:dyDescent="0.25">
      <c r="A172" t="s">
        <v>318</v>
      </c>
      <c r="B172" t="s">
        <v>63</v>
      </c>
      <c r="C172">
        <v>6</v>
      </c>
      <c r="D172" t="s">
        <v>3414</v>
      </c>
      <c r="E172">
        <v>87</v>
      </c>
      <c r="F172">
        <v>30</v>
      </c>
      <c r="G172">
        <v>57</v>
      </c>
      <c r="H172" t="s">
        <v>196</v>
      </c>
      <c r="I172" t="s">
        <v>3490</v>
      </c>
      <c r="J172" t="s">
        <v>2932</v>
      </c>
    </row>
    <row r="173" spans="1:10" x14ac:dyDescent="0.25">
      <c r="A173" t="s">
        <v>318</v>
      </c>
      <c r="B173" t="s">
        <v>63</v>
      </c>
      <c r="C173">
        <v>6</v>
      </c>
      <c r="D173" t="s">
        <v>3416</v>
      </c>
      <c r="E173">
        <v>37</v>
      </c>
      <c r="F173">
        <v>12</v>
      </c>
      <c r="G173">
        <v>25</v>
      </c>
      <c r="H173" t="s">
        <v>3491</v>
      </c>
      <c r="I173" t="s">
        <v>3492</v>
      </c>
      <c r="J173" t="s">
        <v>2932</v>
      </c>
    </row>
    <row r="174" spans="1:10" x14ac:dyDescent="0.25">
      <c r="A174" t="s">
        <v>318</v>
      </c>
      <c r="B174" t="s">
        <v>63</v>
      </c>
      <c r="C174">
        <v>6</v>
      </c>
      <c r="D174" t="s">
        <v>3418</v>
      </c>
      <c r="E174">
        <v>66</v>
      </c>
      <c r="F174">
        <v>16</v>
      </c>
      <c r="G174">
        <v>50</v>
      </c>
      <c r="H174" t="s">
        <v>3489</v>
      </c>
      <c r="I174" t="s">
        <v>3490</v>
      </c>
      <c r="J174" t="s">
        <v>2932</v>
      </c>
    </row>
    <row r="175" spans="1:10" x14ac:dyDescent="0.25">
      <c r="A175" t="s">
        <v>318</v>
      </c>
      <c r="B175" t="s">
        <v>63</v>
      </c>
      <c r="C175">
        <v>6</v>
      </c>
      <c r="D175" t="s">
        <v>3420</v>
      </c>
      <c r="E175">
        <v>61</v>
      </c>
      <c r="F175">
        <v>13</v>
      </c>
      <c r="G175">
        <v>48</v>
      </c>
      <c r="H175" t="s">
        <v>3489</v>
      </c>
      <c r="I175" t="s">
        <v>3490</v>
      </c>
      <c r="J175" t="s">
        <v>2932</v>
      </c>
    </row>
    <row r="176" spans="1:10" x14ac:dyDescent="0.25">
      <c r="A176" t="s">
        <v>318</v>
      </c>
      <c r="B176" t="s">
        <v>63</v>
      </c>
      <c r="C176">
        <v>6</v>
      </c>
      <c r="D176" t="s">
        <v>3422</v>
      </c>
      <c r="E176">
        <v>88</v>
      </c>
      <c r="F176">
        <v>27</v>
      </c>
      <c r="G176">
        <v>61</v>
      </c>
      <c r="H176" t="s">
        <v>196</v>
      </c>
      <c r="I176" t="s">
        <v>3490</v>
      </c>
      <c r="J176" t="s">
        <v>2932</v>
      </c>
    </row>
    <row r="177" spans="1:10" x14ac:dyDescent="0.25">
      <c r="A177" t="s">
        <v>325</v>
      </c>
      <c r="B177" t="s">
        <v>30</v>
      </c>
      <c r="C177">
        <v>6</v>
      </c>
      <c r="D177" t="s">
        <v>3354</v>
      </c>
      <c r="E177">
        <v>44</v>
      </c>
      <c r="F177">
        <v>21</v>
      </c>
      <c r="G177">
        <v>23</v>
      </c>
      <c r="H177" t="s">
        <v>3491</v>
      </c>
      <c r="I177" t="s">
        <v>3492</v>
      </c>
      <c r="J177" t="s">
        <v>2895</v>
      </c>
    </row>
    <row r="178" spans="1:10" x14ac:dyDescent="0.25">
      <c r="A178" t="s">
        <v>325</v>
      </c>
      <c r="B178" t="s">
        <v>30</v>
      </c>
      <c r="C178">
        <v>6</v>
      </c>
      <c r="D178" t="s">
        <v>3356</v>
      </c>
      <c r="E178">
        <v>97</v>
      </c>
      <c r="F178">
        <v>30</v>
      </c>
      <c r="G178">
        <v>67</v>
      </c>
      <c r="H178" t="s">
        <v>3495</v>
      </c>
      <c r="I178" t="s">
        <v>3490</v>
      </c>
      <c r="J178" t="s">
        <v>2895</v>
      </c>
    </row>
    <row r="179" spans="1:10" x14ac:dyDescent="0.25">
      <c r="A179" t="s">
        <v>325</v>
      </c>
      <c r="B179" t="s">
        <v>30</v>
      </c>
      <c r="C179">
        <v>6</v>
      </c>
      <c r="D179" t="s">
        <v>3358</v>
      </c>
      <c r="E179">
        <v>50</v>
      </c>
      <c r="F179">
        <v>29</v>
      </c>
      <c r="G179">
        <v>21</v>
      </c>
      <c r="H179" t="s">
        <v>3493</v>
      </c>
      <c r="I179" t="s">
        <v>3490</v>
      </c>
      <c r="J179" t="s">
        <v>2895</v>
      </c>
    </row>
    <row r="180" spans="1:10" x14ac:dyDescent="0.25">
      <c r="A180" t="s">
        <v>325</v>
      </c>
      <c r="B180" t="s">
        <v>30</v>
      </c>
      <c r="C180">
        <v>6</v>
      </c>
      <c r="D180" t="s">
        <v>3360</v>
      </c>
      <c r="E180">
        <v>56</v>
      </c>
      <c r="F180">
        <v>14</v>
      </c>
      <c r="G180">
        <v>42</v>
      </c>
      <c r="H180" t="s">
        <v>3493</v>
      </c>
      <c r="I180" t="s">
        <v>3490</v>
      </c>
      <c r="J180" t="s">
        <v>2895</v>
      </c>
    </row>
    <row r="181" spans="1:10" x14ac:dyDescent="0.25">
      <c r="A181" t="s">
        <v>325</v>
      </c>
      <c r="B181" t="s">
        <v>30</v>
      </c>
      <c r="C181">
        <v>6</v>
      </c>
      <c r="D181" t="s">
        <v>3362</v>
      </c>
      <c r="E181">
        <v>64</v>
      </c>
      <c r="F181">
        <v>20</v>
      </c>
      <c r="G181">
        <v>44</v>
      </c>
      <c r="H181" t="s">
        <v>3489</v>
      </c>
      <c r="I181" t="s">
        <v>3490</v>
      </c>
      <c r="J181" t="s">
        <v>2895</v>
      </c>
    </row>
    <row r="182" spans="1:10" x14ac:dyDescent="0.25">
      <c r="A182" t="s">
        <v>333</v>
      </c>
      <c r="B182" t="s">
        <v>159</v>
      </c>
      <c r="C182">
        <v>8</v>
      </c>
      <c r="D182" t="s">
        <v>3114</v>
      </c>
      <c r="E182">
        <v>83</v>
      </c>
      <c r="F182">
        <v>13</v>
      </c>
      <c r="G182">
        <v>70</v>
      </c>
      <c r="H182" t="s">
        <v>196</v>
      </c>
      <c r="I182" t="s">
        <v>3490</v>
      </c>
      <c r="J182" t="s">
        <v>2902</v>
      </c>
    </row>
    <row r="183" spans="1:10" x14ac:dyDescent="0.25">
      <c r="A183" t="s">
        <v>333</v>
      </c>
      <c r="B183" t="s">
        <v>159</v>
      </c>
      <c r="C183">
        <v>8</v>
      </c>
      <c r="D183" t="s">
        <v>3116</v>
      </c>
      <c r="E183">
        <v>87</v>
      </c>
      <c r="F183">
        <v>26</v>
      </c>
      <c r="G183">
        <v>61</v>
      </c>
      <c r="H183" t="s">
        <v>196</v>
      </c>
      <c r="I183" t="s">
        <v>3490</v>
      </c>
      <c r="J183" t="s">
        <v>2902</v>
      </c>
    </row>
    <row r="184" spans="1:10" x14ac:dyDescent="0.25">
      <c r="A184" t="s">
        <v>333</v>
      </c>
      <c r="B184" t="s">
        <v>159</v>
      </c>
      <c r="C184">
        <v>8</v>
      </c>
      <c r="D184" t="s">
        <v>3118</v>
      </c>
      <c r="E184">
        <v>87</v>
      </c>
      <c r="F184">
        <v>19</v>
      </c>
      <c r="G184">
        <v>68</v>
      </c>
      <c r="H184" t="s">
        <v>196</v>
      </c>
      <c r="I184" t="s">
        <v>3490</v>
      </c>
      <c r="J184" t="s">
        <v>2902</v>
      </c>
    </row>
    <row r="185" spans="1:10" x14ac:dyDescent="0.25">
      <c r="A185" t="s">
        <v>333</v>
      </c>
      <c r="B185" t="s">
        <v>159</v>
      </c>
      <c r="C185">
        <v>8</v>
      </c>
      <c r="D185" t="s">
        <v>3120</v>
      </c>
      <c r="E185">
        <v>55</v>
      </c>
      <c r="F185">
        <v>19</v>
      </c>
      <c r="G185">
        <v>36</v>
      </c>
      <c r="H185" t="s">
        <v>3493</v>
      </c>
      <c r="I185" t="s">
        <v>3490</v>
      </c>
      <c r="J185" t="s">
        <v>2902</v>
      </c>
    </row>
    <row r="186" spans="1:10" x14ac:dyDescent="0.25">
      <c r="A186" t="s">
        <v>333</v>
      </c>
      <c r="B186" t="s">
        <v>159</v>
      </c>
      <c r="C186">
        <v>8</v>
      </c>
      <c r="D186" t="s">
        <v>3122</v>
      </c>
      <c r="E186">
        <v>40</v>
      </c>
      <c r="F186">
        <v>15</v>
      </c>
      <c r="G186">
        <v>25</v>
      </c>
      <c r="H186" t="s">
        <v>3491</v>
      </c>
      <c r="I186" t="s">
        <v>3492</v>
      </c>
      <c r="J186" t="s">
        <v>2902</v>
      </c>
    </row>
    <row r="187" spans="1:10" x14ac:dyDescent="0.25">
      <c r="A187" t="s">
        <v>341</v>
      </c>
      <c r="B187" t="s">
        <v>95</v>
      </c>
      <c r="C187">
        <v>4</v>
      </c>
      <c r="D187" t="s">
        <v>3214</v>
      </c>
      <c r="E187">
        <v>56</v>
      </c>
      <c r="F187">
        <v>27</v>
      </c>
      <c r="G187">
        <v>29</v>
      </c>
      <c r="H187" t="s">
        <v>3493</v>
      </c>
      <c r="I187" t="s">
        <v>3490</v>
      </c>
      <c r="J187" t="s">
        <v>2889</v>
      </c>
    </row>
    <row r="188" spans="1:10" x14ac:dyDescent="0.25">
      <c r="A188" t="s">
        <v>341</v>
      </c>
      <c r="B188" t="s">
        <v>95</v>
      </c>
      <c r="C188">
        <v>4</v>
      </c>
      <c r="D188" t="s">
        <v>3216</v>
      </c>
      <c r="E188">
        <v>91</v>
      </c>
      <c r="F188">
        <v>29</v>
      </c>
      <c r="G188">
        <v>62</v>
      </c>
      <c r="H188" t="s">
        <v>3495</v>
      </c>
      <c r="I188" t="s">
        <v>3490</v>
      </c>
      <c r="J188" t="s">
        <v>2889</v>
      </c>
    </row>
    <row r="189" spans="1:10" x14ac:dyDescent="0.25">
      <c r="A189" t="s">
        <v>341</v>
      </c>
      <c r="B189" t="s">
        <v>95</v>
      </c>
      <c r="C189">
        <v>4</v>
      </c>
      <c r="D189" t="s">
        <v>3218</v>
      </c>
      <c r="E189">
        <v>82</v>
      </c>
      <c r="F189">
        <v>28</v>
      </c>
      <c r="G189">
        <v>54</v>
      </c>
      <c r="H189" t="s">
        <v>196</v>
      </c>
      <c r="I189" t="s">
        <v>3490</v>
      </c>
      <c r="J189" t="s">
        <v>2889</v>
      </c>
    </row>
    <row r="190" spans="1:10" x14ac:dyDescent="0.25">
      <c r="A190" t="s">
        <v>341</v>
      </c>
      <c r="B190" t="s">
        <v>95</v>
      </c>
      <c r="C190">
        <v>4</v>
      </c>
      <c r="D190" t="s">
        <v>3220</v>
      </c>
      <c r="E190">
        <v>63</v>
      </c>
      <c r="F190">
        <v>25</v>
      </c>
      <c r="G190">
        <v>38</v>
      </c>
      <c r="H190" t="s">
        <v>3489</v>
      </c>
      <c r="I190" t="s">
        <v>3490</v>
      </c>
      <c r="J190" t="s">
        <v>2889</v>
      </c>
    </row>
    <row r="191" spans="1:10" x14ac:dyDescent="0.25">
      <c r="A191" t="s">
        <v>341</v>
      </c>
      <c r="B191" t="s">
        <v>95</v>
      </c>
      <c r="C191">
        <v>4</v>
      </c>
      <c r="D191" t="s">
        <v>3222</v>
      </c>
      <c r="E191">
        <v>78</v>
      </c>
      <c r="F191">
        <v>25</v>
      </c>
      <c r="G191">
        <v>53</v>
      </c>
      <c r="H191" t="s">
        <v>3494</v>
      </c>
      <c r="I191" t="s">
        <v>3490</v>
      </c>
      <c r="J191" t="s">
        <v>2889</v>
      </c>
    </row>
    <row r="192" spans="1:10" x14ac:dyDescent="0.25">
      <c r="A192" t="s">
        <v>349</v>
      </c>
      <c r="B192" t="s">
        <v>159</v>
      </c>
      <c r="C192">
        <v>8</v>
      </c>
      <c r="D192" t="s">
        <v>3114</v>
      </c>
      <c r="E192">
        <v>41</v>
      </c>
      <c r="F192">
        <v>12</v>
      </c>
      <c r="G192">
        <v>29</v>
      </c>
      <c r="H192" t="s">
        <v>3491</v>
      </c>
      <c r="I192" t="s">
        <v>3492</v>
      </c>
      <c r="J192" t="s">
        <v>2902</v>
      </c>
    </row>
    <row r="193" spans="1:10" x14ac:dyDescent="0.25">
      <c r="A193" t="s">
        <v>349</v>
      </c>
      <c r="B193" t="s">
        <v>159</v>
      </c>
      <c r="C193">
        <v>8</v>
      </c>
      <c r="D193" t="s">
        <v>3116</v>
      </c>
      <c r="E193">
        <v>83</v>
      </c>
      <c r="F193">
        <v>15</v>
      </c>
      <c r="G193">
        <v>68</v>
      </c>
      <c r="H193" t="s">
        <v>196</v>
      </c>
      <c r="I193" t="s">
        <v>3490</v>
      </c>
      <c r="J193" t="s">
        <v>2902</v>
      </c>
    </row>
    <row r="194" spans="1:10" x14ac:dyDescent="0.25">
      <c r="A194" t="s">
        <v>349</v>
      </c>
      <c r="B194" t="s">
        <v>159</v>
      </c>
      <c r="C194">
        <v>8</v>
      </c>
      <c r="D194" t="s">
        <v>3118</v>
      </c>
      <c r="E194">
        <v>71</v>
      </c>
      <c r="F194">
        <v>19</v>
      </c>
      <c r="G194">
        <v>52</v>
      </c>
      <c r="H194" t="s">
        <v>3494</v>
      </c>
      <c r="I194" t="s">
        <v>3490</v>
      </c>
      <c r="J194" t="s">
        <v>2902</v>
      </c>
    </row>
    <row r="195" spans="1:10" x14ac:dyDescent="0.25">
      <c r="A195" t="s">
        <v>349</v>
      </c>
      <c r="B195" t="s">
        <v>159</v>
      </c>
      <c r="C195">
        <v>8</v>
      </c>
      <c r="D195" t="s">
        <v>3120</v>
      </c>
      <c r="E195">
        <v>99</v>
      </c>
      <c r="F195">
        <v>29</v>
      </c>
      <c r="G195">
        <v>70</v>
      </c>
      <c r="H195" t="s">
        <v>3495</v>
      </c>
      <c r="I195" t="s">
        <v>3490</v>
      </c>
      <c r="J195" t="s">
        <v>2902</v>
      </c>
    </row>
    <row r="196" spans="1:10" x14ac:dyDescent="0.25">
      <c r="A196" t="s">
        <v>349</v>
      </c>
      <c r="B196" t="s">
        <v>159</v>
      </c>
      <c r="C196">
        <v>8</v>
      </c>
      <c r="D196" t="s">
        <v>3122</v>
      </c>
      <c r="E196">
        <v>51</v>
      </c>
      <c r="F196">
        <v>11</v>
      </c>
      <c r="G196">
        <v>40</v>
      </c>
      <c r="H196" t="s">
        <v>3493</v>
      </c>
      <c r="I196" t="s">
        <v>3490</v>
      </c>
      <c r="J196" t="s">
        <v>2902</v>
      </c>
    </row>
    <row r="197" spans="1:10" x14ac:dyDescent="0.25">
      <c r="A197" t="s">
        <v>356</v>
      </c>
      <c r="B197" t="s">
        <v>159</v>
      </c>
      <c r="C197">
        <v>6</v>
      </c>
      <c r="D197" t="s">
        <v>3114</v>
      </c>
      <c r="E197">
        <v>72</v>
      </c>
      <c r="F197">
        <v>22</v>
      </c>
      <c r="G197">
        <v>50</v>
      </c>
      <c r="H197" t="s">
        <v>3494</v>
      </c>
      <c r="I197" t="s">
        <v>3490</v>
      </c>
      <c r="J197" t="s">
        <v>2902</v>
      </c>
    </row>
    <row r="198" spans="1:10" x14ac:dyDescent="0.25">
      <c r="A198" t="s">
        <v>356</v>
      </c>
      <c r="B198" t="s">
        <v>159</v>
      </c>
      <c r="C198">
        <v>6</v>
      </c>
      <c r="D198" t="s">
        <v>3116</v>
      </c>
      <c r="E198">
        <v>63</v>
      </c>
      <c r="F198">
        <v>11</v>
      </c>
      <c r="G198">
        <v>52</v>
      </c>
      <c r="H198" t="s">
        <v>3489</v>
      </c>
      <c r="I198" t="s">
        <v>3490</v>
      </c>
      <c r="J198" t="s">
        <v>2902</v>
      </c>
    </row>
    <row r="199" spans="1:10" x14ac:dyDescent="0.25">
      <c r="A199" t="s">
        <v>356</v>
      </c>
      <c r="B199" t="s">
        <v>159</v>
      </c>
      <c r="C199">
        <v>6</v>
      </c>
      <c r="D199" t="s">
        <v>3118</v>
      </c>
      <c r="E199">
        <v>72</v>
      </c>
      <c r="F199">
        <v>23</v>
      </c>
      <c r="G199">
        <v>49</v>
      </c>
      <c r="H199" t="s">
        <v>3494</v>
      </c>
      <c r="I199" t="s">
        <v>3490</v>
      </c>
      <c r="J199" t="s">
        <v>2902</v>
      </c>
    </row>
    <row r="200" spans="1:10" x14ac:dyDescent="0.25">
      <c r="A200" t="s">
        <v>356</v>
      </c>
      <c r="B200" t="s">
        <v>159</v>
      </c>
      <c r="C200">
        <v>6</v>
      </c>
      <c r="D200" t="s">
        <v>3120</v>
      </c>
      <c r="E200">
        <v>32</v>
      </c>
      <c r="F200">
        <v>10</v>
      </c>
      <c r="G200">
        <v>22</v>
      </c>
      <c r="H200" t="s">
        <v>3491</v>
      </c>
      <c r="I200" t="s">
        <v>3492</v>
      </c>
      <c r="J200" t="s">
        <v>2902</v>
      </c>
    </row>
    <row r="201" spans="1:10" x14ac:dyDescent="0.25">
      <c r="A201" t="s">
        <v>356</v>
      </c>
      <c r="B201" t="s">
        <v>159</v>
      </c>
      <c r="C201">
        <v>6</v>
      </c>
      <c r="D201" t="s">
        <v>3122</v>
      </c>
      <c r="E201">
        <v>52</v>
      </c>
      <c r="F201">
        <v>29</v>
      </c>
      <c r="G201">
        <v>23</v>
      </c>
      <c r="H201" t="s">
        <v>3493</v>
      </c>
      <c r="I201" t="s">
        <v>3490</v>
      </c>
      <c r="J201" t="s">
        <v>2902</v>
      </c>
    </row>
    <row r="202" spans="1:10" x14ac:dyDescent="0.25">
      <c r="A202" t="s">
        <v>363</v>
      </c>
      <c r="B202" t="s">
        <v>122</v>
      </c>
      <c r="C202">
        <v>6</v>
      </c>
      <c r="D202" t="s">
        <v>3294</v>
      </c>
      <c r="E202">
        <v>72</v>
      </c>
      <c r="F202">
        <v>10</v>
      </c>
      <c r="G202">
        <v>62</v>
      </c>
      <c r="H202" t="s">
        <v>3494</v>
      </c>
      <c r="I202" t="s">
        <v>3490</v>
      </c>
      <c r="J202" t="s">
        <v>2919</v>
      </c>
    </row>
    <row r="203" spans="1:10" x14ac:dyDescent="0.25">
      <c r="A203" t="s">
        <v>363</v>
      </c>
      <c r="B203" t="s">
        <v>122</v>
      </c>
      <c r="C203">
        <v>6</v>
      </c>
      <c r="D203" t="s">
        <v>3296</v>
      </c>
      <c r="E203">
        <v>53</v>
      </c>
      <c r="F203">
        <v>18</v>
      </c>
      <c r="G203">
        <v>35</v>
      </c>
      <c r="H203" t="s">
        <v>3493</v>
      </c>
      <c r="I203" t="s">
        <v>3490</v>
      </c>
      <c r="J203" t="s">
        <v>2919</v>
      </c>
    </row>
    <row r="204" spans="1:10" x14ac:dyDescent="0.25">
      <c r="A204" t="s">
        <v>363</v>
      </c>
      <c r="B204" t="s">
        <v>122</v>
      </c>
      <c r="C204">
        <v>6</v>
      </c>
      <c r="D204" t="s">
        <v>3298</v>
      </c>
      <c r="E204">
        <v>64</v>
      </c>
      <c r="F204">
        <v>22</v>
      </c>
      <c r="G204">
        <v>42</v>
      </c>
      <c r="H204" t="s">
        <v>3489</v>
      </c>
      <c r="I204" t="s">
        <v>3490</v>
      </c>
      <c r="J204" t="s">
        <v>2919</v>
      </c>
    </row>
    <row r="205" spans="1:10" x14ac:dyDescent="0.25">
      <c r="A205" t="s">
        <v>363</v>
      </c>
      <c r="B205" t="s">
        <v>122</v>
      </c>
      <c r="C205">
        <v>6</v>
      </c>
      <c r="D205" t="s">
        <v>3300</v>
      </c>
      <c r="E205">
        <v>71</v>
      </c>
      <c r="F205">
        <v>30</v>
      </c>
      <c r="G205">
        <v>41</v>
      </c>
      <c r="H205" t="s">
        <v>3494</v>
      </c>
      <c r="I205" t="s">
        <v>3490</v>
      </c>
      <c r="J205" t="s">
        <v>2919</v>
      </c>
    </row>
    <row r="206" spans="1:10" x14ac:dyDescent="0.25">
      <c r="A206" t="s">
        <v>363</v>
      </c>
      <c r="B206" t="s">
        <v>122</v>
      </c>
      <c r="C206">
        <v>6</v>
      </c>
      <c r="D206" t="s">
        <v>3302</v>
      </c>
      <c r="E206">
        <v>55</v>
      </c>
      <c r="F206">
        <v>12</v>
      </c>
      <c r="G206">
        <v>43</v>
      </c>
      <c r="H206" t="s">
        <v>3493</v>
      </c>
      <c r="I206" t="s">
        <v>3490</v>
      </c>
      <c r="J206" t="s">
        <v>2919</v>
      </c>
    </row>
    <row r="207" spans="1:10" x14ac:dyDescent="0.25">
      <c r="A207" t="s">
        <v>372</v>
      </c>
      <c r="B207" t="s">
        <v>63</v>
      </c>
      <c r="C207">
        <v>4</v>
      </c>
      <c r="D207" t="s">
        <v>3394</v>
      </c>
      <c r="E207">
        <v>63</v>
      </c>
      <c r="F207">
        <v>26</v>
      </c>
      <c r="G207">
        <v>37</v>
      </c>
      <c r="H207" t="s">
        <v>3489</v>
      </c>
      <c r="I207" t="s">
        <v>3490</v>
      </c>
      <c r="J207" t="s">
        <v>2932</v>
      </c>
    </row>
    <row r="208" spans="1:10" x14ac:dyDescent="0.25">
      <c r="A208" t="s">
        <v>372</v>
      </c>
      <c r="B208" t="s">
        <v>63</v>
      </c>
      <c r="C208">
        <v>4</v>
      </c>
      <c r="D208" t="s">
        <v>3396</v>
      </c>
      <c r="E208">
        <v>55</v>
      </c>
      <c r="F208">
        <v>26</v>
      </c>
      <c r="G208">
        <v>29</v>
      </c>
      <c r="H208" t="s">
        <v>3493</v>
      </c>
      <c r="I208" t="s">
        <v>3490</v>
      </c>
      <c r="J208" t="s">
        <v>2932</v>
      </c>
    </row>
    <row r="209" spans="1:10" x14ac:dyDescent="0.25">
      <c r="A209" t="s">
        <v>372</v>
      </c>
      <c r="B209" t="s">
        <v>63</v>
      </c>
      <c r="C209">
        <v>4</v>
      </c>
      <c r="D209" t="s">
        <v>3398</v>
      </c>
      <c r="E209">
        <v>66</v>
      </c>
      <c r="F209">
        <v>22</v>
      </c>
      <c r="G209">
        <v>44</v>
      </c>
      <c r="H209" t="s">
        <v>3489</v>
      </c>
      <c r="I209" t="s">
        <v>3490</v>
      </c>
      <c r="J209" t="s">
        <v>2932</v>
      </c>
    </row>
    <row r="210" spans="1:10" x14ac:dyDescent="0.25">
      <c r="A210" t="s">
        <v>372</v>
      </c>
      <c r="B210" t="s">
        <v>63</v>
      </c>
      <c r="C210">
        <v>4</v>
      </c>
      <c r="D210" t="s">
        <v>3400</v>
      </c>
      <c r="E210">
        <v>55</v>
      </c>
      <c r="F210">
        <v>28</v>
      </c>
      <c r="G210">
        <v>27</v>
      </c>
      <c r="H210" t="s">
        <v>3493</v>
      </c>
      <c r="I210" t="s">
        <v>3490</v>
      </c>
      <c r="J210" t="s">
        <v>2932</v>
      </c>
    </row>
    <row r="211" spans="1:10" x14ac:dyDescent="0.25">
      <c r="A211" t="s">
        <v>372</v>
      </c>
      <c r="B211" t="s">
        <v>63</v>
      </c>
      <c r="C211">
        <v>4</v>
      </c>
      <c r="D211" t="s">
        <v>3402</v>
      </c>
      <c r="E211">
        <v>63</v>
      </c>
      <c r="F211">
        <v>17</v>
      </c>
      <c r="G211">
        <v>46</v>
      </c>
      <c r="H211" t="s">
        <v>3489</v>
      </c>
      <c r="I211" t="s">
        <v>3490</v>
      </c>
      <c r="J211" t="s">
        <v>2932</v>
      </c>
    </row>
    <row r="212" spans="1:10" x14ac:dyDescent="0.25">
      <c r="A212" t="s">
        <v>377</v>
      </c>
      <c r="B212" t="s">
        <v>30</v>
      </c>
      <c r="C212">
        <v>4</v>
      </c>
      <c r="D212" t="s">
        <v>3334</v>
      </c>
      <c r="E212">
        <v>51</v>
      </c>
      <c r="F212">
        <v>14</v>
      </c>
      <c r="G212">
        <v>37</v>
      </c>
      <c r="H212" t="s">
        <v>3493</v>
      </c>
      <c r="I212" t="s">
        <v>3490</v>
      </c>
      <c r="J212" t="s">
        <v>2895</v>
      </c>
    </row>
    <row r="213" spans="1:10" x14ac:dyDescent="0.25">
      <c r="A213" t="s">
        <v>377</v>
      </c>
      <c r="B213" t="s">
        <v>30</v>
      </c>
      <c r="C213">
        <v>4</v>
      </c>
      <c r="D213" t="s">
        <v>3336</v>
      </c>
      <c r="E213">
        <v>60</v>
      </c>
      <c r="F213">
        <v>26</v>
      </c>
      <c r="G213">
        <v>34</v>
      </c>
      <c r="H213" t="s">
        <v>3489</v>
      </c>
      <c r="I213" t="s">
        <v>3490</v>
      </c>
      <c r="J213" t="s">
        <v>2895</v>
      </c>
    </row>
    <row r="214" spans="1:10" x14ac:dyDescent="0.25">
      <c r="A214" t="s">
        <v>377</v>
      </c>
      <c r="B214" t="s">
        <v>30</v>
      </c>
      <c r="C214">
        <v>4</v>
      </c>
      <c r="D214" t="s">
        <v>3338</v>
      </c>
      <c r="E214">
        <v>63</v>
      </c>
      <c r="F214">
        <v>20</v>
      </c>
      <c r="G214">
        <v>43</v>
      </c>
      <c r="H214" t="s">
        <v>3489</v>
      </c>
      <c r="I214" t="s">
        <v>3490</v>
      </c>
      <c r="J214" t="s">
        <v>2895</v>
      </c>
    </row>
    <row r="215" spans="1:10" x14ac:dyDescent="0.25">
      <c r="A215" t="s">
        <v>377</v>
      </c>
      <c r="B215" t="s">
        <v>30</v>
      </c>
      <c r="C215">
        <v>4</v>
      </c>
      <c r="D215" t="s">
        <v>3340</v>
      </c>
      <c r="E215">
        <v>54</v>
      </c>
      <c r="F215">
        <v>11</v>
      </c>
      <c r="G215">
        <v>43</v>
      </c>
      <c r="H215" t="s">
        <v>3493</v>
      </c>
      <c r="I215" t="s">
        <v>3490</v>
      </c>
      <c r="J215" t="s">
        <v>2895</v>
      </c>
    </row>
    <row r="216" spans="1:10" x14ac:dyDescent="0.25">
      <c r="A216" t="s">
        <v>377</v>
      </c>
      <c r="B216" t="s">
        <v>30</v>
      </c>
      <c r="C216">
        <v>4</v>
      </c>
      <c r="D216" t="s">
        <v>3342</v>
      </c>
      <c r="E216">
        <v>49</v>
      </c>
      <c r="F216">
        <v>19</v>
      </c>
      <c r="G216">
        <v>30</v>
      </c>
      <c r="H216" t="s">
        <v>3491</v>
      </c>
      <c r="I216" t="s">
        <v>3492</v>
      </c>
      <c r="J216" t="s">
        <v>2895</v>
      </c>
    </row>
    <row r="217" spans="1:10" x14ac:dyDescent="0.25">
      <c r="A217" t="s">
        <v>385</v>
      </c>
      <c r="B217" t="s">
        <v>212</v>
      </c>
      <c r="C217">
        <v>4</v>
      </c>
      <c r="D217" t="s">
        <v>3454</v>
      </c>
      <c r="E217">
        <v>72</v>
      </c>
      <c r="F217">
        <v>28</v>
      </c>
      <c r="G217">
        <v>44</v>
      </c>
      <c r="H217" t="s">
        <v>3494</v>
      </c>
      <c r="I217" t="s">
        <v>3490</v>
      </c>
      <c r="J217" t="s">
        <v>3001</v>
      </c>
    </row>
    <row r="218" spans="1:10" x14ac:dyDescent="0.25">
      <c r="A218" t="s">
        <v>385</v>
      </c>
      <c r="B218" t="s">
        <v>212</v>
      </c>
      <c r="C218">
        <v>4</v>
      </c>
      <c r="D218" t="s">
        <v>3456</v>
      </c>
      <c r="E218">
        <v>66</v>
      </c>
      <c r="F218">
        <v>11</v>
      </c>
      <c r="G218">
        <v>55</v>
      </c>
      <c r="H218" t="s">
        <v>3489</v>
      </c>
      <c r="I218" t="s">
        <v>3490</v>
      </c>
      <c r="J218" t="s">
        <v>3001</v>
      </c>
    </row>
    <row r="219" spans="1:10" x14ac:dyDescent="0.25">
      <c r="A219" t="s">
        <v>385</v>
      </c>
      <c r="B219" t="s">
        <v>212</v>
      </c>
      <c r="C219">
        <v>4</v>
      </c>
      <c r="D219" t="s">
        <v>3458</v>
      </c>
      <c r="E219">
        <v>71</v>
      </c>
      <c r="F219">
        <v>11</v>
      </c>
      <c r="G219">
        <v>60</v>
      </c>
      <c r="H219" t="s">
        <v>3494</v>
      </c>
      <c r="I219" t="s">
        <v>3490</v>
      </c>
      <c r="J219" t="s">
        <v>3001</v>
      </c>
    </row>
    <row r="220" spans="1:10" x14ac:dyDescent="0.25">
      <c r="A220" t="s">
        <v>385</v>
      </c>
      <c r="B220" t="s">
        <v>212</v>
      </c>
      <c r="C220">
        <v>4</v>
      </c>
      <c r="D220" t="s">
        <v>3460</v>
      </c>
      <c r="E220">
        <v>48</v>
      </c>
      <c r="F220">
        <v>25</v>
      </c>
      <c r="G220">
        <v>23</v>
      </c>
      <c r="H220" t="s">
        <v>3491</v>
      </c>
      <c r="I220" t="s">
        <v>3492</v>
      </c>
      <c r="J220" t="s">
        <v>3001</v>
      </c>
    </row>
    <row r="221" spans="1:10" x14ac:dyDescent="0.25">
      <c r="A221" t="s">
        <v>385</v>
      </c>
      <c r="B221" t="s">
        <v>212</v>
      </c>
      <c r="C221">
        <v>4</v>
      </c>
      <c r="D221" t="s">
        <v>3462</v>
      </c>
      <c r="E221">
        <v>56</v>
      </c>
      <c r="F221">
        <v>23</v>
      </c>
      <c r="G221">
        <v>33</v>
      </c>
      <c r="H221" t="s">
        <v>3493</v>
      </c>
      <c r="I221" t="s">
        <v>3490</v>
      </c>
      <c r="J221" t="s">
        <v>3001</v>
      </c>
    </row>
    <row r="222" spans="1:10" x14ac:dyDescent="0.25">
      <c r="A222" t="s">
        <v>392</v>
      </c>
      <c r="B222" t="s">
        <v>212</v>
      </c>
      <c r="C222">
        <v>8</v>
      </c>
      <c r="D222" t="s">
        <v>3474</v>
      </c>
      <c r="E222">
        <v>63</v>
      </c>
      <c r="F222">
        <v>17</v>
      </c>
      <c r="G222">
        <v>46</v>
      </c>
      <c r="H222" t="s">
        <v>3489</v>
      </c>
      <c r="I222" t="s">
        <v>3490</v>
      </c>
      <c r="J222" t="s">
        <v>3001</v>
      </c>
    </row>
    <row r="223" spans="1:10" x14ac:dyDescent="0.25">
      <c r="A223" t="s">
        <v>392</v>
      </c>
      <c r="B223" t="s">
        <v>212</v>
      </c>
      <c r="C223">
        <v>8</v>
      </c>
      <c r="D223" t="s">
        <v>3476</v>
      </c>
      <c r="E223">
        <v>88</v>
      </c>
      <c r="F223">
        <v>29</v>
      </c>
      <c r="G223">
        <v>59</v>
      </c>
      <c r="H223" t="s">
        <v>196</v>
      </c>
      <c r="I223" t="s">
        <v>3490</v>
      </c>
      <c r="J223" t="s">
        <v>3001</v>
      </c>
    </row>
    <row r="224" spans="1:10" x14ac:dyDescent="0.25">
      <c r="A224" t="s">
        <v>392</v>
      </c>
      <c r="B224" t="s">
        <v>212</v>
      </c>
      <c r="C224">
        <v>8</v>
      </c>
      <c r="D224" t="s">
        <v>3478</v>
      </c>
      <c r="E224">
        <v>76</v>
      </c>
      <c r="F224">
        <v>27</v>
      </c>
      <c r="G224">
        <v>49</v>
      </c>
      <c r="H224" t="s">
        <v>3494</v>
      </c>
      <c r="I224" t="s">
        <v>3490</v>
      </c>
      <c r="J224" t="s">
        <v>3001</v>
      </c>
    </row>
    <row r="225" spans="1:10" x14ac:dyDescent="0.25">
      <c r="A225" t="s">
        <v>392</v>
      </c>
      <c r="B225" t="s">
        <v>212</v>
      </c>
      <c r="C225">
        <v>8</v>
      </c>
      <c r="D225" t="s">
        <v>3480</v>
      </c>
      <c r="E225">
        <v>71</v>
      </c>
      <c r="F225">
        <v>29</v>
      </c>
      <c r="G225">
        <v>42</v>
      </c>
      <c r="H225" t="s">
        <v>3494</v>
      </c>
      <c r="I225" t="s">
        <v>3490</v>
      </c>
      <c r="J225" t="s">
        <v>3001</v>
      </c>
    </row>
    <row r="226" spans="1:10" x14ac:dyDescent="0.25">
      <c r="A226" t="s">
        <v>392</v>
      </c>
      <c r="B226" t="s">
        <v>212</v>
      </c>
      <c r="C226">
        <v>8</v>
      </c>
      <c r="D226" t="s">
        <v>3482</v>
      </c>
      <c r="E226">
        <v>79</v>
      </c>
      <c r="F226">
        <v>10</v>
      </c>
      <c r="G226">
        <v>69</v>
      </c>
      <c r="H226" t="s">
        <v>3494</v>
      </c>
      <c r="I226" t="s">
        <v>3490</v>
      </c>
      <c r="J226" t="s">
        <v>3001</v>
      </c>
    </row>
    <row r="227" spans="1:10" x14ac:dyDescent="0.25">
      <c r="A227" t="s">
        <v>399</v>
      </c>
      <c r="B227" t="s">
        <v>30</v>
      </c>
      <c r="C227">
        <v>4</v>
      </c>
      <c r="D227" t="s">
        <v>3334</v>
      </c>
      <c r="E227">
        <v>98</v>
      </c>
      <c r="F227">
        <v>29</v>
      </c>
      <c r="G227">
        <v>69</v>
      </c>
      <c r="H227" t="s">
        <v>3495</v>
      </c>
      <c r="I227" t="s">
        <v>3490</v>
      </c>
      <c r="J227" t="s">
        <v>2895</v>
      </c>
    </row>
    <row r="228" spans="1:10" x14ac:dyDescent="0.25">
      <c r="A228" t="s">
        <v>399</v>
      </c>
      <c r="B228" t="s">
        <v>30</v>
      </c>
      <c r="C228">
        <v>4</v>
      </c>
      <c r="D228" t="s">
        <v>3336</v>
      </c>
      <c r="E228">
        <v>83</v>
      </c>
      <c r="F228">
        <v>30</v>
      </c>
      <c r="G228">
        <v>53</v>
      </c>
      <c r="H228" t="s">
        <v>196</v>
      </c>
      <c r="I228" t="s">
        <v>3490</v>
      </c>
      <c r="J228" t="s">
        <v>2895</v>
      </c>
    </row>
    <row r="229" spans="1:10" x14ac:dyDescent="0.25">
      <c r="A229" t="s">
        <v>399</v>
      </c>
      <c r="B229" t="s">
        <v>30</v>
      </c>
      <c r="C229">
        <v>4</v>
      </c>
      <c r="D229" t="s">
        <v>3338</v>
      </c>
      <c r="E229">
        <v>43</v>
      </c>
      <c r="F229">
        <v>15</v>
      </c>
      <c r="G229">
        <v>28</v>
      </c>
      <c r="H229" t="s">
        <v>3491</v>
      </c>
      <c r="I229" t="s">
        <v>3492</v>
      </c>
      <c r="J229" t="s">
        <v>2895</v>
      </c>
    </row>
    <row r="230" spans="1:10" x14ac:dyDescent="0.25">
      <c r="A230" t="s">
        <v>399</v>
      </c>
      <c r="B230" t="s">
        <v>30</v>
      </c>
      <c r="C230">
        <v>4</v>
      </c>
      <c r="D230" t="s">
        <v>3340</v>
      </c>
      <c r="E230">
        <v>35</v>
      </c>
      <c r="F230">
        <v>12</v>
      </c>
      <c r="G230">
        <v>23</v>
      </c>
      <c r="H230" t="s">
        <v>3491</v>
      </c>
      <c r="I230" t="s">
        <v>3492</v>
      </c>
      <c r="J230" t="s">
        <v>2895</v>
      </c>
    </row>
    <row r="231" spans="1:10" x14ac:dyDescent="0.25">
      <c r="A231" t="s">
        <v>399</v>
      </c>
      <c r="B231" t="s">
        <v>30</v>
      </c>
      <c r="C231">
        <v>4</v>
      </c>
      <c r="D231" t="s">
        <v>3342</v>
      </c>
      <c r="E231">
        <v>41</v>
      </c>
      <c r="F231">
        <v>18</v>
      </c>
      <c r="G231">
        <v>23</v>
      </c>
      <c r="H231" t="s">
        <v>3491</v>
      </c>
      <c r="I231" t="s">
        <v>3492</v>
      </c>
      <c r="J231" t="s">
        <v>2895</v>
      </c>
    </row>
    <row r="232" spans="1:10" x14ac:dyDescent="0.25">
      <c r="A232" t="s">
        <v>407</v>
      </c>
      <c r="B232" t="s">
        <v>105</v>
      </c>
      <c r="C232">
        <v>6</v>
      </c>
      <c r="D232" t="s">
        <v>3174</v>
      </c>
      <c r="E232">
        <v>58</v>
      </c>
      <c r="F232">
        <v>13</v>
      </c>
      <c r="G232">
        <v>45</v>
      </c>
      <c r="H232" t="s">
        <v>3493</v>
      </c>
      <c r="I232" t="s">
        <v>3490</v>
      </c>
      <c r="J232" t="s">
        <v>2908</v>
      </c>
    </row>
    <row r="233" spans="1:10" x14ac:dyDescent="0.25">
      <c r="A233" t="s">
        <v>407</v>
      </c>
      <c r="B233" t="s">
        <v>105</v>
      </c>
      <c r="C233">
        <v>6</v>
      </c>
      <c r="D233" t="s">
        <v>3176</v>
      </c>
      <c r="E233">
        <v>71</v>
      </c>
      <c r="F233">
        <v>18</v>
      </c>
      <c r="G233">
        <v>53</v>
      </c>
      <c r="H233" t="s">
        <v>3494</v>
      </c>
      <c r="I233" t="s">
        <v>3490</v>
      </c>
      <c r="J233" t="s">
        <v>2908</v>
      </c>
    </row>
    <row r="234" spans="1:10" x14ac:dyDescent="0.25">
      <c r="A234" t="s">
        <v>407</v>
      </c>
      <c r="B234" t="s">
        <v>105</v>
      </c>
      <c r="C234">
        <v>6</v>
      </c>
      <c r="D234" t="s">
        <v>3178</v>
      </c>
      <c r="E234">
        <v>68</v>
      </c>
      <c r="F234">
        <v>13</v>
      </c>
      <c r="G234">
        <v>55</v>
      </c>
      <c r="H234" t="s">
        <v>3489</v>
      </c>
      <c r="I234" t="s">
        <v>3490</v>
      </c>
      <c r="J234" t="s">
        <v>2908</v>
      </c>
    </row>
    <row r="235" spans="1:10" x14ac:dyDescent="0.25">
      <c r="A235" t="s">
        <v>407</v>
      </c>
      <c r="B235" t="s">
        <v>105</v>
      </c>
      <c r="C235">
        <v>6</v>
      </c>
      <c r="D235" t="s">
        <v>3180</v>
      </c>
      <c r="E235">
        <v>93</v>
      </c>
      <c r="F235">
        <v>26</v>
      </c>
      <c r="G235">
        <v>67</v>
      </c>
      <c r="H235" t="s">
        <v>3495</v>
      </c>
      <c r="I235" t="s">
        <v>3490</v>
      </c>
      <c r="J235" t="s">
        <v>2908</v>
      </c>
    </row>
    <row r="236" spans="1:10" x14ac:dyDescent="0.25">
      <c r="A236" t="s">
        <v>407</v>
      </c>
      <c r="B236" t="s">
        <v>105</v>
      </c>
      <c r="C236">
        <v>6</v>
      </c>
      <c r="D236" t="s">
        <v>3182</v>
      </c>
      <c r="E236">
        <v>46</v>
      </c>
      <c r="F236">
        <v>10</v>
      </c>
      <c r="G236">
        <v>36</v>
      </c>
      <c r="H236" t="s">
        <v>3491</v>
      </c>
      <c r="I236" t="s">
        <v>3492</v>
      </c>
      <c r="J236" t="s">
        <v>2908</v>
      </c>
    </row>
    <row r="237" spans="1:10" x14ac:dyDescent="0.25">
      <c r="A237" t="s">
        <v>415</v>
      </c>
      <c r="B237" t="s">
        <v>63</v>
      </c>
      <c r="C237">
        <v>8</v>
      </c>
      <c r="D237" t="s">
        <v>3414</v>
      </c>
      <c r="E237">
        <v>96</v>
      </c>
      <c r="F237">
        <v>30</v>
      </c>
      <c r="G237">
        <v>66</v>
      </c>
      <c r="H237" t="s">
        <v>3495</v>
      </c>
      <c r="I237" t="s">
        <v>3490</v>
      </c>
      <c r="J237" t="s">
        <v>2932</v>
      </c>
    </row>
    <row r="238" spans="1:10" x14ac:dyDescent="0.25">
      <c r="A238" t="s">
        <v>415</v>
      </c>
      <c r="B238" t="s">
        <v>63</v>
      </c>
      <c r="C238">
        <v>8</v>
      </c>
      <c r="D238" t="s">
        <v>3416</v>
      </c>
      <c r="E238">
        <v>79</v>
      </c>
      <c r="F238">
        <v>18</v>
      </c>
      <c r="G238">
        <v>61</v>
      </c>
      <c r="H238" t="s">
        <v>3494</v>
      </c>
      <c r="I238" t="s">
        <v>3490</v>
      </c>
      <c r="J238" t="s">
        <v>2932</v>
      </c>
    </row>
    <row r="239" spans="1:10" x14ac:dyDescent="0.25">
      <c r="A239" t="s">
        <v>415</v>
      </c>
      <c r="B239" t="s">
        <v>63</v>
      </c>
      <c r="C239">
        <v>8</v>
      </c>
      <c r="D239" t="s">
        <v>3418</v>
      </c>
      <c r="E239">
        <v>70</v>
      </c>
      <c r="F239">
        <v>15</v>
      </c>
      <c r="G239">
        <v>55</v>
      </c>
      <c r="H239" t="s">
        <v>3494</v>
      </c>
      <c r="I239" t="s">
        <v>3490</v>
      </c>
      <c r="J239" t="s">
        <v>2932</v>
      </c>
    </row>
    <row r="240" spans="1:10" x14ac:dyDescent="0.25">
      <c r="A240" t="s">
        <v>415</v>
      </c>
      <c r="B240" t="s">
        <v>63</v>
      </c>
      <c r="C240">
        <v>8</v>
      </c>
      <c r="D240" t="s">
        <v>3420</v>
      </c>
      <c r="E240">
        <v>76</v>
      </c>
      <c r="F240">
        <v>25</v>
      </c>
      <c r="G240">
        <v>51</v>
      </c>
      <c r="H240" t="s">
        <v>3494</v>
      </c>
      <c r="I240" t="s">
        <v>3490</v>
      </c>
      <c r="J240" t="s">
        <v>2932</v>
      </c>
    </row>
    <row r="241" spans="1:10" x14ac:dyDescent="0.25">
      <c r="A241" t="s">
        <v>415</v>
      </c>
      <c r="B241" t="s">
        <v>63</v>
      </c>
      <c r="C241">
        <v>8</v>
      </c>
      <c r="D241" t="s">
        <v>3422</v>
      </c>
      <c r="E241">
        <v>70</v>
      </c>
      <c r="F241">
        <v>17</v>
      </c>
      <c r="G241">
        <v>53</v>
      </c>
      <c r="H241" t="s">
        <v>3494</v>
      </c>
      <c r="I241" t="s">
        <v>3490</v>
      </c>
      <c r="J241" t="s">
        <v>2932</v>
      </c>
    </row>
    <row r="242" spans="1:10" x14ac:dyDescent="0.25">
      <c r="A242" t="s">
        <v>423</v>
      </c>
      <c r="B242" t="s">
        <v>30</v>
      </c>
      <c r="C242">
        <v>8</v>
      </c>
      <c r="D242" t="s">
        <v>3354</v>
      </c>
      <c r="E242">
        <v>60</v>
      </c>
      <c r="F242">
        <v>16</v>
      </c>
      <c r="G242">
        <v>44</v>
      </c>
      <c r="H242" t="s">
        <v>3489</v>
      </c>
      <c r="I242" t="s">
        <v>3490</v>
      </c>
      <c r="J242" t="s">
        <v>2895</v>
      </c>
    </row>
    <row r="243" spans="1:10" x14ac:dyDescent="0.25">
      <c r="A243" t="s">
        <v>423</v>
      </c>
      <c r="B243" t="s">
        <v>30</v>
      </c>
      <c r="C243">
        <v>8</v>
      </c>
      <c r="D243" t="s">
        <v>3356</v>
      </c>
      <c r="E243">
        <v>69</v>
      </c>
      <c r="F243">
        <v>16</v>
      </c>
      <c r="G243">
        <v>53</v>
      </c>
      <c r="H243" t="s">
        <v>3489</v>
      </c>
      <c r="I243" t="s">
        <v>3490</v>
      </c>
      <c r="J243" t="s">
        <v>2895</v>
      </c>
    </row>
    <row r="244" spans="1:10" x14ac:dyDescent="0.25">
      <c r="A244" t="s">
        <v>423</v>
      </c>
      <c r="B244" t="s">
        <v>30</v>
      </c>
      <c r="C244">
        <v>8</v>
      </c>
      <c r="D244" t="s">
        <v>3358</v>
      </c>
      <c r="E244">
        <v>54</v>
      </c>
      <c r="F244">
        <v>30</v>
      </c>
      <c r="G244">
        <v>24</v>
      </c>
      <c r="H244" t="s">
        <v>3493</v>
      </c>
      <c r="I244" t="s">
        <v>3490</v>
      </c>
      <c r="J244" t="s">
        <v>2895</v>
      </c>
    </row>
    <row r="245" spans="1:10" x14ac:dyDescent="0.25">
      <c r="A245" t="s">
        <v>423</v>
      </c>
      <c r="B245" t="s">
        <v>30</v>
      </c>
      <c r="C245">
        <v>8</v>
      </c>
      <c r="D245" t="s">
        <v>3360</v>
      </c>
      <c r="E245">
        <v>59</v>
      </c>
      <c r="F245">
        <v>22</v>
      </c>
      <c r="G245">
        <v>37</v>
      </c>
      <c r="H245" t="s">
        <v>3493</v>
      </c>
      <c r="I245" t="s">
        <v>3490</v>
      </c>
      <c r="J245" t="s">
        <v>2895</v>
      </c>
    </row>
    <row r="246" spans="1:10" x14ac:dyDescent="0.25">
      <c r="A246" t="s">
        <v>423</v>
      </c>
      <c r="B246" t="s">
        <v>30</v>
      </c>
      <c r="C246">
        <v>8</v>
      </c>
      <c r="D246" t="s">
        <v>3362</v>
      </c>
      <c r="E246">
        <v>46</v>
      </c>
      <c r="F246">
        <v>17</v>
      </c>
      <c r="G246">
        <v>29</v>
      </c>
      <c r="H246" t="s">
        <v>3491</v>
      </c>
      <c r="I246" t="s">
        <v>3492</v>
      </c>
      <c r="J246" t="s">
        <v>2895</v>
      </c>
    </row>
    <row r="247" spans="1:10" x14ac:dyDescent="0.25">
      <c r="A247" t="s">
        <v>429</v>
      </c>
      <c r="B247" t="s">
        <v>212</v>
      </c>
      <c r="C247">
        <v>8</v>
      </c>
      <c r="D247" t="s">
        <v>3474</v>
      </c>
      <c r="E247">
        <v>41</v>
      </c>
      <c r="F247">
        <v>12</v>
      </c>
      <c r="G247">
        <v>29</v>
      </c>
      <c r="H247" t="s">
        <v>3491</v>
      </c>
      <c r="I247" t="s">
        <v>3492</v>
      </c>
      <c r="J247" t="s">
        <v>3001</v>
      </c>
    </row>
    <row r="248" spans="1:10" x14ac:dyDescent="0.25">
      <c r="A248" t="s">
        <v>429</v>
      </c>
      <c r="B248" t="s">
        <v>212</v>
      </c>
      <c r="C248">
        <v>8</v>
      </c>
      <c r="D248" t="s">
        <v>3476</v>
      </c>
      <c r="E248">
        <v>81</v>
      </c>
      <c r="F248">
        <v>22</v>
      </c>
      <c r="G248">
        <v>59</v>
      </c>
      <c r="H248" t="s">
        <v>196</v>
      </c>
      <c r="I248" t="s">
        <v>3490</v>
      </c>
      <c r="J248" t="s">
        <v>3001</v>
      </c>
    </row>
    <row r="249" spans="1:10" x14ac:dyDescent="0.25">
      <c r="A249" t="s">
        <v>429</v>
      </c>
      <c r="B249" t="s">
        <v>212</v>
      </c>
      <c r="C249">
        <v>8</v>
      </c>
      <c r="D249" t="s">
        <v>3478</v>
      </c>
      <c r="E249">
        <v>85</v>
      </c>
      <c r="F249">
        <v>19</v>
      </c>
      <c r="G249">
        <v>66</v>
      </c>
      <c r="H249" t="s">
        <v>196</v>
      </c>
      <c r="I249" t="s">
        <v>3490</v>
      </c>
      <c r="J249" t="s">
        <v>3001</v>
      </c>
    </row>
    <row r="250" spans="1:10" x14ac:dyDescent="0.25">
      <c r="A250" t="s">
        <v>429</v>
      </c>
      <c r="B250" t="s">
        <v>212</v>
      </c>
      <c r="C250">
        <v>8</v>
      </c>
      <c r="D250" t="s">
        <v>3480</v>
      </c>
      <c r="E250">
        <v>68</v>
      </c>
      <c r="F250">
        <v>15</v>
      </c>
      <c r="G250">
        <v>53</v>
      </c>
      <c r="H250" t="s">
        <v>3489</v>
      </c>
      <c r="I250" t="s">
        <v>3490</v>
      </c>
      <c r="J250" t="s">
        <v>3001</v>
      </c>
    </row>
    <row r="251" spans="1:10" x14ac:dyDescent="0.25">
      <c r="A251" t="s">
        <v>429</v>
      </c>
      <c r="B251" t="s">
        <v>212</v>
      </c>
      <c r="C251">
        <v>8</v>
      </c>
      <c r="D251" t="s">
        <v>3482</v>
      </c>
      <c r="E251">
        <v>89</v>
      </c>
      <c r="F251">
        <v>28</v>
      </c>
      <c r="G251">
        <v>61</v>
      </c>
      <c r="H251" t="s">
        <v>196</v>
      </c>
      <c r="I251" t="s">
        <v>3490</v>
      </c>
      <c r="J251" t="s">
        <v>3001</v>
      </c>
    </row>
    <row r="252" spans="1:10" x14ac:dyDescent="0.25">
      <c r="A252" t="s">
        <v>436</v>
      </c>
      <c r="B252" t="s">
        <v>212</v>
      </c>
      <c r="C252">
        <v>8</v>
      </c>
      <c r="D252" t="s">
        <v>3474</v>
      </c>
      <c r="E252">
        <v>65</v>
      </c>
      <c r="F252">
        <v>19</v>
      </c>
      <c r="G252">
        <v>46</v>
      </c>
      <c r="H252" t="s">
        <v>3489</v>
      </c>
      <c r="I252" t="s">
        <v>3490</v>
      </c>
      <c r="J252" t="s">
        <v>3001</v>
      </c>
    </row>
    <row r="253" spans="1:10" x14ac:dyDescent="0.25">
      <c r="A253" t="s">
        <v>436</v>
      </c>
      <c r="B253" t="s">
        <v>212</v>
      </c>
      <c r="C253">
        <v>8</v>
      </c>
      <c r="D253" t="s">
        <v>3476</v>
      </c>
      <c r="E253">
        <v>49</v>
      </c>
      <c r="F253">
        <v>19</v>
      </c>
      <c r="G253">
        <v>30</v>
      </c>
      <c r="H253" t="s">
        <v>3491</v>
      </c>
      <c r="I253" t="s">
        <v>3492</v>
      </c>
      <c r="J253" t="s">
        <v>3001</v>
      </c>
    </row>
    <row r="254" spans="1:10" x14ac:dyDescent="0.25">
      <c r="A254" t="s">
        <v>436</v>
      </c>
      <c r="B254" t="s">
        <v>212</v>
      </c>
      <c r="C254">
        <v>8</v>
      </c>
      <c r="D254" t="s">
        <v>3478</v>
      </c>
      <c r="E254">
        <v>45</v>
      </c>
      <c r="F254">
        <v>10</v>
      </c>
      <c r="G254">
        <v>35</v>
      </c>
      <c r="H254" t="s">
        <v>3491</v>
      </c>
      <c r="I254" t="s">
        <v>3492</v>
      </c>
      <c r="J254" t="s">
        <v>3001</v>
      </c>
    </row>
    <row r="255" spans="1:10" x14ac:dyDescent="0.25">
      <c r="A255" t="s">
        <v>436</v>
      </c>
      <c r="B255" t="s">
        <v>212</v>
      </c>
      <c r="C255">
        <v>8</v>
      </c>
      <c r="D255" t="s">
        <v>3480</v>
      </c>
      <c r="E255">
        <v>91</v>
      </c>
      <c r="F255">
        <v>23</v>
      </c>
      <c r="G255">
        <v>68</v>
      </c>
      <c r="H255" t="s">
        <v>3495</v>
      </c>
      <c r="I255" t="s">
        <v>3490</v>
      </c>
      <c r="J255" t="s">
        <v>3001</v>
      </c>
    </row>
    <row r="256" spans="1:10" x14ac:dyDescent="0.25">
      <c r="A256" t="s">
        <v>436</v>
      </c>
      <c r="B256" t="s">
        <v>212</v>
      </c>
      <c r="C256">
        <v>8</v>
      </c>
      <c r="D256" t="s">
        <v>3482</v>
      </c>
      <c r="E256">
        <v>57</v>
      </c>
      <c r="F256">
        <v>14</v>
      </c>
      <c r="G256">
        <v>43</v>
      </c>
      <c r="H256" t="s">
        <v>3493</v>
      </c>
      <c r="I256" t="s">
        <v>3490</v>
      </c>
      <c r="J256" t="s">
        <v>3001</v>
      </c>
    </row>
    <row r="257" spans="1:10" x14ac:dyDescent="0.25">
      <c r="A257" t="s">
        <v>443</v>
      </c>
      <c r="B257" t="s">
        <v>212</v>
      </c>
      <c r="C257">
        <v>8</v>
      </c>
      <c r="D257" t="s">
        <v>3474</v>
      </c>
      <c r="E257">
        <v>73</v>
      </c>
      <c r="F257">
        <v>26</v>
      </c>
      <c r="G257">
        <v>47</v>
      </c>
      <c r="H257" t="s">
        <v>3494</v>
      </c>
      <c r="I257" t="s">
        <v>3490</v>
      </c>
      <c r="J257" t="s">
        <v>3001</v>
      </c>
    </row>
    <row r="258" spans="1:10" x14ac:dyDescent="0.25">
      <c r="A258" t="s">
        <v>443</v>
      </c>
      <c r="B258" t="s">
        <v>212</v>
      </c>
      <c r="C258">
        <v>8</v>
      </c>
      <c r="D258" t="s">
        <v>3476</v>
      </c>
      <c r="E258">
        <v>42</v>
      </c>
      <c r="F258">
        <v>16</v>
      </c>
      <c r="G258">
        <v>26</v>
      </c>
      <c r="H258" t="s">
        <v>3491</v>
      </c>
      <c r="I258" t="s">
        <v>3492</v>
      </c>
      <c r="J258" t="s">
        <v>3001</v>
      </c>
    </row>
    <row r="259" spans="1:10" x14ac:dyDescent="0.25">
      <c r="A259" t="s">
        <v>443</v>
      </c>
      <c r="B259" t="s">
        <v>212</v>
      </c>
      <c r="C259">
        <v>8</v>
      </c>
      <c r="D259" t="s">
        <v>3478</v>
      </c>
      <c r="E259">
        <v>88</v>
      </c>
      <c r="F259">
        <v>19</v>
      </c>
      <c r="G259">
        <v>69</v>
      </c>
      <c r="H259" t="s">
        <v>196</v>
      </c>
      <c r="I259" t="s">
        <v>3490</v>
      </c>
      <c r="J259" t="s">
        <v>3001</v>
      </c>
    </row>
    <row r="260" spans="1:10" x14ac:dyDescent="0.25">
      <c r="A260" t="s">
        <v>443</v>
      </c>
      <c r="B260" t="s">
        <v>212</v>
      </c>
      <c r="C260">
        <v>8</v>
      </c>
      <c r="D260" t="s">
        <v>3480</v>
      </c>
      <c r="E260">
        <v>43</v>
      </c>
      <c r="F260">
        <v>18</v>
      </c>
      <c r="G260">
        <v>25</v>
      </c>
      <c r="H260" t="s">
        <v>3491</v>
      </c>
      <c r="I260" t="s">
        <v>3492</v>
      </c>
      <c r="J260" t="s">
        <v>3001</v>
      </c>
    </row>
    <row r="261" spans="1:10" x14ac:dyDescent="0.25">
      <c r="A261" t="s">
        <v>443</v>
      </c>
      <c r="B261" t="s">
        <v>212</v>
      </c>
      <c r="C261">
        <v>8</v>
      </c>
      <c r="D261" t="s">
        <v>3482</v>
      </c>
      <c r="E261">
        <v>46</v>
      </c>
      <c r="F261">
        <v>24</v>
      </c>
      <c r="G261">
        <v>22</v>
      </c>
      <c r="H261" t="s">
        <v>3491</v>
      </c>
      <c r="I261" t="s">
        <v>3492</v>
      </c>
      <c r="J261" t="s">
        <v>3001</v>
      </c>
    </row>
    <row r="262" spans="1:10" x14ac:dyDescent="0.25">
      <c r="A262" t="s">
        <v>450</v>
      </c>
      <c r="B262" t="s">
        <v>212</v>
      </c>
      <c r="C262">
        <v>4</v>
      </c>
      <c r="D262" t="s">
        <v>3454</v>
      </c>
      <c r="E262">
        <v>60</v>
      </c>
      <c r="F262">
        <v>22</v>
      </c>
      <c r="G262">
        <v>38</v>
      </c>
      <c r="H262" t="s">
        <v>3489</v>
      </c>
      <c r="I262" t="s">
        <v>3490</v>
      </c>
      <c r="J262" t="s">
        <v>3001</v>
      </c>
    </row>
    <row r="263" spans="1:10" x14ac:dyDescent="0.25">
      <c r="A263" t="s">
        <v>450</v>
      </c>
      <c r="B263" t="s">
        <v>212</v>
      </c>
      <c r="C263">
        <v>4</v>
      </c>
      <c r="D263" t="s">
        <v>3456</v>
      </c>
      <c r="E263">
        <v>74</v>
      </c>
      <c r="F263">
        <v>30</v>
      </c>
      <c r="G263">
        <v>44</v>
      </c>
      <c r="H263" t="s">
        <v>3494</v>
      </c>
      <c r="I263" t="s">
        <v>3490</v>
      </c>
      <c r="J263" t="s">
        <v>3001</v>
      </c>
    </row>
    <row r="264" spans="1:10" x14ac:dyDescent="0.25">
      <c r="A264" t="s">
        <v>450</v>
      </c>
      <c r="B264" t="s">
        <v>212</v>
      </c>
      <c r="C264">
        <v>4</v>
      </c>
      <c r="D264" t="s">
        <v>3458</v>
      </c>
      <c r="E264">
        <v>57</v>
      </c>
      <c r="F264">
        <v>15</v>
      </c>
      <c r="G264">
        <v>42</v>
      </c>
      <c r="H264" t="s">
        <v>3493</v>
      </c>
      <c r="I264" t="s">
        <v>3490</v>
      </c>
      <c r="J264" t="s">
        <v>3001</v>
      </c>
    </row>
    <row r="265" spans="1:10" x14ac:dyDescent="0.25">
      <c r="A265" t="s">
        <v>450</v>
      </c>
      <c r="B265" t="s">
        <v>212</v>
      </c>
      <c r="C265">
        <v>4</v>
      </c>
      <c r="D265" t="s">
        <v>3460</v>
      </c>
      <c r="E265">
        <v>89</v>
      </c>
      <c r="F265">
        <v>21</v>
      </c>
      <c r="G265">
        <v>68</v>
      </c>
      <c r="H265" t="s">
        <v>196</v>
      </c>
      <c r="I265" t="s">
        <v>3490</v>
      </c>
      <c r="J265" t="s">
        <v>3001</v>
      </c>
    </row>
    <row r="266" spans="1:10" x14ac:dyDescent="0.25">
      <c r="A266" t="s">
        <v>450</v>
      </c>
      <c r="B266" t="s">
        <v>212</v>
      </c>
      <c r="C266">
        <v>4</v>
      </c>
      <c r="D266" t="s">
        <v>3462</v>
      </c>
      <c r="E266">
        <v>41</v>
      </c>
      <c r="F266">
        <v>19</v>
      </c>
      <c r="G266">
        <v>22</v>
      </c>
      <c r="H266" t="s">
        <v>3491</v>
      </c>
      <c r="I266" t="s">
        <v>3492</v>
      </c>
      <c r="J266" t="s">
        <v>3001</v>
      </c>
    </row>
    <row r="267" spans="1:10" x14ac:dyDescent="0.25">
      <c r="A267" t="s">
        <v>456</v>
      </c>
      <c r="B267" t="s">
        <v>75</v>
      </c>
      <c r="C267">
        <v>4</v>
      </c>
      <c r="D267" t="s">
        <v>3034</v>
      </c>
      <c r="E267">
        <v>60</v>
      </c>
      <c r="F267">
        <v>15</v>
      </c>
      <c r="G267">
        <v>45</v>
      </c>
      <c r="H267" t="s">
        <v>3489</v>
      </c>
      <c r="I267" t="s">
        <v>3490</v>
      </c>
      <c r="J267" t="s">
        <v>2961</v>
      </c>
    </row>
    <row r="268" spans="1:10" x14ac:dyDescent="0.25">
      <c r="A268" t="s">
        <v>456</v>
      </c>
      <c r="B268" t="s">
        <v>75</v>
      </c>
      <c r="C268">
        <v>4</v>
      </c>
      <c r="D268" t="s">
        <v>3036</v>
      </c>
      <c r="E268">
        <v>83</v>
      </c>
      <c r="F268">
        <v>17</v>
      </c>
      <c r="G268">
        <v>66</v>
      </c>
      <c r="H268" t="s">
        <v>196</v>
      </c>
      <c r="I268" t="s">
        <v>3490</v>
      </c>
      <c r="J268" t="s">
        <v>2961</v>
      </c>
    </row>
    <row r="269" spans="1:10" x14ac:dyDescent="0.25">
      <c r="A269" t="s">
        <v>456</v>
      </c>
      <c r="B269" t="s">
        <v>75</v>
      </c>
      <c r="C269">
        <v>4</v>
      </c>
      <c r="D269" t="s">
        <v>3038</v>
      </c>
      <c r="E269">
        <v>62</v>
      </c>
      <c r="F269">
        <v>21</v>
      </c>
      <c r="G269">
        <v>41</v>
      </c>
      <c r="H269" t="s">
        <v>3489</v>
      </c>
      <c r="I269" t="s">
        <v>3490</v>
      </c>
      <c r="J269" t="s">
        <v>2961</v>
      </c>
    </row>
    <row r="270" spans="1:10" x14ac:dyDescent="0.25">
      <c r="A270" t="s">
        <v>456</v>
      </c>
      <c r="B270" t="s">
        <v>75</v>
      </c>
      <c r="C270">
        <v>4</v>
      </c>
      <c r="D270" t="s">
        <v>3040</v>
      </c>
      <c r="E270">
        <v>90</v>
      </c>
      <c r="F270">
        <v>27</v>
      </c>
      <c r="G270">
        <v>63</v>
      </c>
      <c r="H270" t="s">
        <v>3495</v>
      </c>
      <c r="I270" t="s">
        <v>3490</v>
      </c>
      <c r="J270" t="s">
        <v>2961</v>
      </c>
    </row>
    <row r="271" spans="1:10" x14ac:dyDescent="0.25">
      <c r="A271" t="s">
        <v>456</v>
      </c>
      <c r="B271" t="s">
        <v>75</v>
      </c>
      <c r="C271">
        <v>4</v>
      </c>
      <c r="D271" t="s">
        <v>3042</v>
      </c>
      <c r="E271">
        <v>53</v>
      </c>
      <c r="F271">
        <v>15</v>
      </c>
      <c r="G271">
        <v>38</v>
      </c>
      <c r="H271" t="s">
        <v>3493</v>
      </c>
      <c r="I271" t="s">
        <v>3490</v>
      </c>
      <c r="J271" t="s">
        <v>2961</v>
      </c>
    </row>
    <row r="272" spans="1:10" x14ac:dyDescent="0.25">
      <c r="A272" t="s">
        <v>462</v>
      </c>
      <c r="B272" t="s">
        <v>122</v>
      </c>
      <c r="C272">
        <v>6</v>
      </c>
      <c r="D272" t="s">
        <v>3294</v>
      </c>
      <c r="E272">
        <v>82</v>
      </c>
      <c r="F272">
        <v>16</v>
      </c>
      <c r="G272">
        <v>66</v>
      </c>
      <c r="H272" t="s">
        <v>196</v>
      </c>
      <c r="I272" t="s">
        <v>3490</v>
      </c>
      <c r="J272" t="s">
        <v>2919</v>
      </c>
    </row>
    <row r="273" spans="1:10" x14ac:dyDescent="0.25">
      <c r="A273" t="s">
        <v>462</v>
      </c>
      <c r="B273" t="s">
        <v>122</v>
      </c>
      <c r="C273">
        <v>6</v>
      </c>
      <c r="D273" t="s">
        <v>3296</v>
      </c>
      <c r="E273">
        <v>72</v>
      </c>
      <c r="F273">
        <v>10</v>
      </c>
      <c r="G273">
        <v>62</v>
      </c>
      <c r="H273" t="s">
        <v>3494</v>
      </c>
      <c r="I273" t="s">
        <v>3490</v>
      </c>
      <c r="J273" t="s">
        <v>2919</v>
      </c>
    </row>
    <row r="274" spans="1:10" x14ac:dyDescent="0.25">
      <c r="A274" t="s">
        <v>462</v>
      </c>
      <c r="B274" t="s">
        <v>122</v>
      </c>
      <c r="C274">
        <v>6</v>
      </c>
      <c r="D274" t="s">
        <v>3298</v>
      </c>
      <c r="E274">
        <v>62</v>
      </c>
      <c r="F274">
        <v>12</v>
      </c>
      <c r="G274">
        <v>50</v>
      </c>
      <c r="H274" t="s">
        <v>3489</v>
      </c>
      <c r="I274" t="s">
        <v>3490</v>
      </c>
      <c r="J274" t="s">
        <v>2919</v>
      </c>
    </row>
    <row r="275" spans="1:10" x14ac:dyDescent="0.25">
      <c r="A275" t="s">
        <v>462</v>
      </c>
      <c r="B275" t="s">
        <v>122</v>
      </c>
      <c r="C275">
        <v>6</v>
      </c>
      <c r="D275" t="s">
        <v>3300</v>
      </c>
      <c r="E275">
        <v>61</v>
      </c>
      <c r="F275">
        <v>22</v>
      </c>
      <c r="G275">
        <v>39</v>
      </c>
      <c r="H275" t="s">
        <v>3489</v>
      </c>
      <c r="I275" t="s">
        <v>3490</v>
      </c>
      <c r="J275" t="s">
        <v>2919</v>
      </c>
    </row>
    <row r="276" spans="1:10" x14ac:dyDescent="0.25">
      <c r="A276" t="s">
        <v>462</v>
      </c>
      <c r="B276" t="s">
        <v>122</v>
      </c>
      <c r="C276">
        <v>6</v>
      </c>
      <c r="D276" t="s">
        <v>3302</v>
      </c>
      <c r="E276">
        <v>93</v>
      </c>
      <c r="F276">
        <v>23</v>
      </c>
      <c r="G276">
        <v>70</v>
      </c>
      <c r="H276" t="s">
        <v>3495</v>
      </c>
      <c r="I276" t="s">
        <v>3490</v>
      </c>
      <c r="J276" t="s">
        <v>2919</v>
      </c>
    </row>
    <row r="277" spans="1:10" x14ac:dyDescent="0.25">
      <c r="A277" t="s">
        <v>469</v>
      </c>
      <c r="B277" t="s">
        <v>63</v>
      </c>
      <c r="C277">
        <v>8</v>
      </c>
      <c r="D277" t="s">
        <v>3414</v>
      </c>
      <c r="E277">
        <v>56</v>
      </c>
      <c r="F277">
        <v>18</v>
      </c>
      <c r="G277">
        <v>38</v>
      </c>
      <c r="H277" t="s">
        <v>3493</v>
      </c>
      <c r="I277" t="s">
        <v>3490</v>
      </c>
      <c r="J277" t="s">
        <v>2932</v>
      </c>
    </row>
    <row r="278" spans="1:10" x14ac:dyDescent="0.25">
      <c r="A278" t="s">
        <v>469</v>
      </c>
      <c r="B278" t="s">
        <v>63</v>
      </c>
      <c r="C278">
        <v>8</v>
      </c>
      <c r="D278" t="s">
        <v>3416</v>
      </c>
      <c r="E278">
        <v>82</v>
      </c>
      <c r="F278">
        <v>26</v>
      </c>
      <c r="G278">
        <v>56</v>
      </c>
      <c r="H278" t="s">
        <v>196</v>
      </c>
      <c r="I278" t="s">
        <v>3490</v>
      </c>
      <c r="J278" t="s">
        <v>2932</v>
      </c>
    </row>
    <row r="279" spans="1:10" x14ac:dyDescent="0.25">
      <c r="A279" t="s">
        <v>469</v>
      </c>
      <c r="B279" t="s">
        <v>63</v>
      </c>
      <c r="C279">
        <v>8</v>
      </c>
      <c r="D279" t="s">
        <v>3418</v>
      </c>
      <c r="E279">
        <v>78</v>
      </c>
      <c r="F279">
        <v>26</v>
      </c>
      <c r="G279">
        <v>52</v>
      </c>
      <c r="H279" t="s">
        <v>3494</v>
      </c>
      <c r="I279" t="s">
        <v>3490</v>
      </c>
      <c r="J279" t="s">
        <v>2932</v>
      </c>
    </row>
    <row r="280" spans="1:10" x14ac:dyDescent="0.25">
      <c r="A280" t="s">
        <v>469</v>
      </c>
      <c r="B280" t="s">
        <v>63</v>
      </c>
      <c r="C280">
        <v>8</v>
      </c>
      <c r="D280" t="s">
        <v>3420</v>
      </c>
      <c r="E280">
        <v>79</v>
      </c>
      <c r="F280">
        <v>10</v>
      </c>
      <c r="G280">
        <v>69</v>
      </c>
      <c r="H280" t="s">
        <v>3494</v>
      </c>
      <c r="I280" t="s">
        <v>3490</v>
      </c>
      <c r="J280" t="s">
        <v>2932</v>
      </c>
    </row>
    <row r="281" spans="1:10" x14ac:dyDescent="0.25">
      <c r="A281" t="s">
        <v>469</v>
      </c>
      <c r="B281" t="s">
        <v>63</v>
      </c>
      <c r="C281">
        <v>8</v>
      </c>
      <c r="D281" t="s">
        <v>3422</v>
      </c>
      <c r="E281">
        <v>83</v>
      </c>
      <c r="F281">
        <v>17</v>
      </c>
      <c r="G281">
        <v>66</v>
      </c>
      <c r="H281" t="s">
        <v>196</v>
      </c>
      <c r="I281" t="s">
        <v>3490</v>
      </c>
      <c r="J281" t="s">
        <v>2932</v>
      </c>
    </row>
    <row r="282" spans="1:10" x14ac:dyDescent="0.25">
      <c r="A282" t="s">
        <v>477</v>
      </c>
      <c r="B282" t="s">
        <v>95</v>
      </c>
      <c r="C282">
        <v>4</v>
      </c>
      <c r="D282" t="s">
        <v>3214</v>
      </c>
      <c r="E282">
        <v>56</v>
      </c>
      <c r="F282">
        <v>13</v>
      </c>
      <c r="G282">
        <v>43</v>
      </c>
      <c r="H282" t="s">
        <v>3493</v>
      </c>
      <c r="I282" t="s">
        <v>3490</v>
      </c>
      <c r="J282" t="s">
        <v>2889</v>
      </c>
    </row>
    <row r="283" spans="1:10" x14ac:dyDescent="0.25">
      <c r="A283" t="s">
        <v>477</v>
      </c>
      <c r="B283" t="s">
        <v>95</v>
      </c>
      <c r="C283">
        <v>4</v>
      </c>
      <c r="D283" t="s">
        <v>3216</v>
      </c>
      <c r="E283">
        <v>72</v>
      </c>
      <c r="F283">
        <v>17</v>
      </c>
      <c r="G283">
        <v>55</v>
      </c>
      <c r="H283" t="s">
        <v>3494</v>
      </c>
      <c r="I283" t="s">
        <v>3490</v>
      </c>
      <c r="J283" t="s">
        <v>2889</v>
      </c>
    </row>
    <row r="284" spans="1:10" x14ac:dyDescent="0.25">
      <c r="A284" t="s">
        <v>477</v>
      </c>
      <c r="B284" t="s">
        <v>95</v>
      </c>
      <c r="C284">
        <v>4</v>
      </c>
      <c r="D284" t="s">
        <v>3218</v>
      </c>
      <c r="E284">
        <v>79</v>
      </c>
      <c r="F284">
        <v>26</v>
      </c>
      <c r="G284">
        <v>53</v>
      </c>
      <c r="H284" t="s">
        <v>3494</v>
      </c>
      <c r="I284" t="s">
        <v>3490</v>
      </c>
      <c r="J284" t="s">
        <v>2889</v>
      </c>
    </row>
    <row r="285" spans="1:10" x14ac:dyDescent="0.25">
      <c r="A285" t="s">
        <v>477</v>
      </c>
      <c r="B285" t="s">
        <v>95</v>
      </c>
      <c r="C285">
        <v>4</v>
      </c>
      <c r="D285" t="s">
        <v>3220</v>
      </c>
      <c r="E285">
        <v>52</v>
      </c>
      <c r="F285">
        <v>15</v>
      </c>
      <c r="G285">
        <v>37</v>
      </c>
      <c r="H285" t="s">
        <v>3493</v>
      </c>
      <c r="I285" t="s">
        <v>3490</v>
      </c>
      <c r="J285" t="s">
        <v>2889</v>
      </c>
    </row>
    <row r="286" spans="1:10" x14ac:dyDescent="0.25">
      <c r="A286" t="s">
        <v>477</v>
      </c>
      <c r="B286" t="s">
        <v>95</v>
      </c>
      <c r="C286">
        <v>4</v>
      </c>
      <c r="D286" t="s">
        <v>3222</v>
      </c>
      <c r="E286">
        <v>86</v>
      </c>
      <c r="F286">
        <v>20</v>
      </c>
      <c r="G286">
        <v>66</v>
      </c>
      <c r="H286" t="s">
        <v>196</v>
      </c>
      <c r="I286" t="s">
        <v>3490</v>
      </c>
      <c r="J286" t="s">
        <v>2889</v>
      </c>
    </row>
    <row r="287" spans="1:10" x14ac:dyDescent="0.25">
      <c r="A287" t="s">
        <v>484</v>
      </c>
      <c r="B287" t="s">
        <v>95</v>
      </c>
      <c r="C287">
        <v>8</v>
      </c>
      <c r="D287" t="s">
        <v>3234</v>
      </c>
      <c r="E287">
        <v>63</v>
      </c>
      <c r="F287">
        <v>14</v>
      </c>
      <c r="G287">
        <v>49</v>
      </c>
      <c r="H287" t="s">
        <v>3489</v>
      </c>
      <c r="I287" t="s">
        <v>3490</v>
      </c>
      <c r="J287" t="s">
        <v>2889</v>
      </c>
    </row>
    <row r="288" spans="1:10" x14ac:dyDescent="0.25">
      <c r="A288" t="s">
        <v>484</v>
      </c>
      <c r="B288" t="s">
        <v>95</v>
      </c>
      <c r="C288">
        <v>8</v>
      </c>
      <c r="D288" t="s">
        <v>3236</v>
      </c>
      <c r="E288">
        <v>93</v>
      </c>
      <c r="F288">
        <v>29</v>
      </c>
      <c r="G288">
        <v>64</v>
      </c>
      <c r="H288" t="s">
        <v>3495</v>
      </c>
      <c r="I288" t="s">
        <v>3490</v>
      </c>
      <c r="J288" t="s">
        <v>2889</v>
      </c>
    </row>
    <row r="289" spans="1:10" x14ac:dyDescent="0.25">
      <c r="A289" t="s">
        <v>484</v>
      </c>
      <c r="B289" t="s">
        <v>95</v>
      </c>
      <c r="C289">
        <v>8</v>
      </c>
      <c r="D289" t="s">
        <v>3238</v>
      </c>
      <c r="E289">
        <v>74</v>
      </c>
      <c r="F289">
        <v>11</v>
      </c>
      <c r="G289">
        <v>63</v>
      </c>
      <c r="H289" t="s">
        <v>3494</v>
      </c>
      <c r="I289" t="s">
        <v>3490</v>
      </c>
      <c r="J289" t="s">
        <v>2889</v>
      </c>
    </row>
    <row r="290" spans="1:10" x14ac:dyDescent="0.25">
      <c r="A290" t="s">
        <v>484</v>
      </c>
      <c r="B290" t="s">
        <v>95</v>
      </c>
      <c r="C290">
        <v>8</v>
      </c>
      <c r="D290" t="s">
        <v>3240</v>
      </c>
      <c r="E290">
        <v>42</v>
      </c>
      <c r="F290">
        <v>20</v>
      </c>
      <c r="G290">
        <v>22</v>
      </c>
      <c r="H290" t="s">
        <v>3491</v>
      </c>
      <c r="I290" t="s">
        <v>3492</v>
      </c>
      <c r="J290" t="s">
        <v>2889</v>
      </c>
    </row>
    <row r="291" spans="1:10" x14ac:dyDescent="0.25">
      <c r="A291" t="s">
        <v>484</v>
      </c>
      <c r="B291" t="s">
        <v>95</v>
      </c>
      <c r="C291">
        <v>8</v>
      </c>
      <c r="D291" t="s">
        <v>3242</v>
      </c>
      <c r="E291">
        <v>82</v>
      </c>
      <c r="F291">
        <v>19</v>
      </c>
      <c r="G291">
        <v>63</v>
      </c>
      <c r="H291" t="s">
        <v>196</v>
      </c>
      <c r="I291" t="s">
        <v>3490</v>
      </c>
      <c r="J291" t="s">
        <v>2889</v>
      </c>
    </row>
    <row r="292" spans="1:10" x14ac:dyDescent="0.25">
      <c r="A292" t="s">
        <v>490</v>
      </c>
      <c r="B292" t="s">
        <v>63</v>
      </c>
      <c r="C292">
        <v>8</v>
      </c>
      <c r="D292" t="s">
        <v>3414</v>
      </c>
      <c r="E292">
        <v>53</v>
      </c>
      <c r="F292">
        <v>30</v>
      </c>
      <c r="G292">
        <v>23</v>
      </c>
      <c r="H292" t="s">
        <v>3493</v>
      </c>
      <c r="I292" t="s">
        <v>3490</v>
      </c>
      <c r="J292" t="s">
        <v>2932</v>
      </c>
    </row>
    <row r="293" spans="1:10" x14ac:dyDescent="0.25">
      <c r="A293" t="s">
        <v>490</v>
      </c>
      <c r="B293" t="s">
        <v>63</v>
      </c>
      <c r="C293">
        <v>8</v>
      </c>
      <c r="D293" t="s">
        <v>3416</v>
      </c>
      <c r="E293">
        <v>54</v>
      </c>
      <c r="F293">
        <v>19</v>
      </c>
      <c r="G293">
        <v>35</v>
      </c>
      <c r="H293" t="s">
        <v>3493</v>
      </c>
      <c r="I293" t="s">
        <v>3490</v>
      </c>
      <c r="J293" t="s">
        <v>2932</v>
      </c>
    </row>
    <row r="294" spans="1:10" x14ac:dyDescent="0.25">
      <c r="A294" t="s">
        <v>490</v>
      </c>
      <c r="B294" t="s">
        <v>63</v>
      </c>
      <c r="C294">
        <v>8</v>
      </c>
      <c r="D294" t="s">
        <v>3418</v>
      </c>
      <c r="E294">
        <v>49</v>
      </c>
      <c r="F294">
        <v>16</v>
      </c>
      <c r="G294">
        <v>33</v>
      </c>
      <c r="H294" t="s">
        <v>3491</v>
      </c>
      <c r="I294" t="s">
        <v>3492</v>
      </c>
      <c r="J294" t="s">
        <v>2932</v>
      </c>
    </row>
    <row r="295" spans="1:10" x14ac:dyDescent="0.25">
      <c r="A295" t="s">
        <v>490</v>
      </c>
      <c r="B295" t="s">
        <v>63</v>
      </c>
      <c r="C295">
        <v>8</v>
      </c>
      <c r="D295" t="s">
        <v>3420</v>
      </c>
      <c r="E295">
        <v>84</v>
      </c>
      <c r="F295">
        <v>16</v>
      </c>
      <c r="G295">
        <v>68</v>
      </c>
      <c r="H295" t="s">
        <v>196</v>
      </c>
      <c r="I295" t="s">
        <v>3490</v>
      </c>
      <c r="J295" t="s">
        <v>2932</v>
      </c>
    </row>
    <row r="296" spans="1:10" x14ac:dyDescent="0.25">
      <c r="A296" t="s">
        <v>490</v>
      </c>
      <c r="B296" t="s">
        <v>63</v>
      </c>
      <c r="C296">
        <v>8</v>
      </c>
      <c r="D296" t="s">
        <v>3422</v>
      </c>
      <c r="E296">
        <v>53</v>
      </c>
      <c r="F296">
        <v>21</v>
      </c>
      <c r="G296">
        <v>32</v>
      </c>
      <c r="H296" t="s">
        <v>3493</v>
      </c>
      <c r="I296" t="s">
        <v>3490</v>
      </c>
      <c r="J296" t="s">
        <v>2932</v>
      </c>
    </row>
    <row r="297" spans="1:10" x14ac:dyDescent="0.25">
      <c r="A297" t="s">
        <v>496</v>
      </c>
      <c r="B297" t="s">
        <v>105</v>
      </c>
      <c r="C297">
        <v>8</v>
      </c>
      <c r="D297" t="s">
        <v>3174</v>
      </c>
      <c r="E297">
        <v>62</v>
      </c>
      <c r="F297">
        <v>26</v>
      </c>
      <c r="G297">
        <v>36</v>
      </c>
      <c r="H297" t="s">
        <v>3489</v>
      </c>
      <c r="I297" t="s">
        <v>3490</v>
      </c>
      <c r="J297" t="s">
        <v>2908</v>
      </c>
    </row>
    <row r="298" spans="1:10" x14ac:dyDescent="0.25">
      <c r="A298" t="s">
        <v>496</v>
      </c>
      <c r="B298" t="s">
        <v>105</v>
      </c>
      <c r="C298">
        <v>8</v>
      </c>
      <c r="D298" t="s">
        <v>3176</v>
      </c>
      <c r="E298">
        <v>68</v>
      </c>
      <c r="F298">
        <v>28</v>
      </c>
      <c r="G298">
        <v>40</v>
      </c>
      <c r="H298" t="s">
        <v>3489</v>
      </c>
      <c r="I298" t="s">
        <v>3490</v>
      </c>
      <c r="J298" t="s">
        <v>2908</v>
      </c>
    </row>
    <row r="299" spans="1:10" x14ac:dyDescent="0.25">
      <c r="A299" t="s">
        <v>496</v>
      </c>
      <c r="B299" t="s">
        <v>105</v>
      </c>
      <c r="C299">
        <v>8</v>
      </c>
      <c r="D299" t="s">
        <v>3178</v>
      </c>
      <c r="E299">
        <v>58</v>
      </c>
      <c r="F299">
        <v>13</v>
      </c>
      <c r="G299">
        <v>45</v>
      </c>
      <c r="H299" t="s">
        <v>3493</v>
      </c>
      <c r="I299" t="s">
        <v>3490</v>
      </c>
      <c r="J299" t="s">
        <v>2908</v>
      </c>
    </row>
    <row r="300" spans="1:10" x14ac:dyDescent="0.25">
      <c r="A300" t="s">
        <v>496</v>
      </c>
      <c r="B300" t="s">
        <v>105</v>
      </c>
      <c r="C300">
        <v>8</v>
      </c>
      <c r="D300" t="s">
        <v>3180</v>
      </c>
      <c r="E300">
        <v>46</v>
      </c>
      <c r="F300">
        <v>17</v>
      </c>
      <c r="G300">
        <v>29</v>
      </c>
      <c r="H300" t="s">
        <v>3491</v>
      </c>
      <c r="I300" t="s">
        <v>3492</v>
      </c>
      <c r="J300" t="s">
        <v>2908</v>
      </c>
    </row>
    <row r="301" spans="1:10" x14ac:dyDescent="0.25">
      <c r="A301" t="s">
        <v>496</v>
      </c>
      <c r="B301" t="s">
        <v>105</v>
      </c>
      <c r="C301">
        <v>8</v>
      </c>
      <c r="D301" t="s">
        <v>3182</v>
      </c>
      <c r="E301">
        <v>38</v>
      </c>
      <c r="F301">
        <v>13</v>
      </c>
      <c r="G301">
        <v>25</v>
      </c>
      <c r="H301" t="s">
        <v>3491</v>
      </c>
      <c r="I301" t="s">
        <v>3492</v>
      </c>
      <c r="J301" t="s">
        <v>2908</v>
      </c>
    </row>
    <row r="302" spans="1:10" x14ac:dyDescent="0.25">
      <c r="A302" t="s">
        <v>503</v>
      </c>
      <c r="B302" t="s">
        <v>75</v>
      </c>
      <c r="C302">
        <v>8</v>
      </c>
      <c r="D302" t="s">
        <v>3054</v>
      </c>
      <c r="E302">
        <v>78</v>
      </c>
      <c r="F302">
        <v>13</v>
      </c>
      <c r="G302">
        <v>65</v>
      </c>
      <c r="H302" t="s">
        <v>3494</v>
      </c>
      <c r="I302" t="s">
        <v>3490</v>
      </c>
      <c r="J302" t="s">
        <v>2961</v>
      </c>
    </row>
    <row r="303" spans="1:10" x14ac:dyDescent="0.25">
      <c r="A303" t="s">
        <v>503</v>
      </c>
      <c r="B303" t="s">
        <v>75</v>
      </c>
      <c r="C303">
        <v>8</v>
      </c>
      <c r="D303" t="s">
        <v>3056</v>
      </c>
      <c r="E303">
        <v>78</v>
      </c>
      <c r="F303">
        <v>29</v>
      </c>
      <c r="G303">
        <v>49</v>
      </c>
      <c r="H303" t="s">
        <v>3494</v>
      </c>
      <c r="I303" t="s">
        <v>3490</v>
      </c>
      <c r="J303" t="s">
        <v>2961</v>
      </c>
    </row>
    <row r="304" spans="1:10" x14ac:dyDescent="0.25">
      <c r="A304" t="s">
        <v>503</v>
      </c>
      <c r="B304" t="s">
        <v>75</v>
      </c>
      <c r="C304">
        <v>8</v>
      </c>
      <c r="D304" t="s">
        <v>3058</v>
      </c>
      <c r="E304">
        <v>75</v>
      </c>
      <c r="F304">
        <v>26</v>
      </c>
      <c r="G304">
        <v>49</v>
      </c>
      <c r="H304" t="s">
        <v>3494</v>
      </c>
      <c r="I304" t="s">
        <v>3490</v>
      </c>
      <c r="J304" t="s">
        <v>2961</v>
      </c>
    </row>
    <row r="305" spans="1:10" x14ac:dyDescent="0.25">
      <c r="A305" t="s">
        <v>503</v>
      </c>
      <c r="B305" t="s">
        <v>75</v>
      </c>
      <c r="C305">
        <v>8</v>
      </c>
      <c r="D305" t="s">
        <v>3060</v>
      </c>
      <c r="E305">
        <v>67</v>
      </c>
      <c r="F305">
        <v>13</v>
      </c>
      <c r="G305">
        <v>54</v>
      </c>
      <c r="H305" t="s">
        <v>3489</v>
      </c>
      <c r="I305" t="s">
        <v>3490</v>
      </c>
      <c r="J305" t="s">
        <v>2961</v>
      </c>
    </row>
    <row r="306" spans="1:10" x14ac:dyDescent="0.25">
      <c r="A306" t="s">
        <v>503</v>
      </c>
      <c r="B306" t="s">
        <v>75</v>
      </c>
      <c r="C306">
        <v>8</v>
      </c>
      <c r="D306" t="s">
        <v>3062</v>
      </c>
      <c r="E306">
        <v>69</v>
      </c>
      <c r="F306">
        <v>11</v>
      </c>
      <c r="G306">
        <v>58</v>
      </c>
      <c r="H306" t="s">
        <v>3489</v>
      </c>
      <c r="I306" t="s">
        <v>3490</v>
      </c>
      <c r="J306" t="s">
        <v>2961</v>
      </c>
    </row>
    <row r="307" spans="1:10" x14ac:dyDescent="0.25">
      <c r="A307" t="s">
        <v>509</v>
      </c>
      <c r="B307" t="s">
        <v>30</v>
      </c>
      <c r="C307">
        <v>8</v>
      </c>
      <c r="D307" t="s">
        <v>3354</v>
      </c>
      <c r="E307">
        <v>51</v>
      </c>
      <c r="F307">
        <v>16</v>
      </c>
      <c r="G307">
        <v>35</v>
      </c>
      <c r="H307" t="s">
        <v>3493</v>
      </c>
      <c r="I307" t="s">
        <v>3490</v>
      </c>
      <c r="J307" t="s">
        <v>2895</v>
      </c>
    </row>
    <row r="308" spans="1:10" x14ac:dyDescent="0.25">
      <c r="A308" t="s">
        <v>509</v>
      </c>
      <c r="B308" t="s">
        <v>30</v>
      </c>
      <c r="C308">
        <v>8</v>
      </c>
      <c r="D308" t="s">
        <v>3356</v>
      </c>
      <c r="E308">
        <v>53</v>
      </c>
      <c r="F308">
        <v>28</v>
      </c>
      <c r="G308">
        <v>25</v>
      </c>
      <c r="H308" t="s">
        <v>3493</v>
      </c>
      <c r="I308" t="s">
        <v>3490</v>
      </c>
      <c r="J308" t="s">
        <v>2895</v>
      </c>
    </row>
    <row r="309" spans="1:10" x14ac:dyDescent="0.25">
      <c r="A309" t="s">
        <v>509</v>
      </c>
      <c r="B309" t="s">
        <v>30</v>
      </c>
      <c r="C309">
        <v>8</v>
      </c>
      <c r="D309" t="s">
        <v>3358</v>
      </c>
      <c r="E309">
        <v>93</v>
      </c>
      <c r="F309">
        <v>30</v>
      </c>
      <c r="G309">
        <v>63</v>
      </c>
      <c r="H309" t="s">
        <v>3495</v>
      </c>
      <c r="I309" t="s">
        <v>3490</v>
      </c>
      <c r="J309" t="s">
        <v>2895</v>
      </c>
    </row>
    <row r="310" spans="1:10" x14ac:dyDescent="0.25">
      <c r="A310" t="s">
        <v>509</v>
      </c>
      <c r="B310" t="s">
        <v>30</v>
      </c>
      <c r="C310">
        <v>8</v>
      </c>
      <c r="D310" t="s">
        <v>3360</v>
      </c>
      <c r="E310">
        <v>67</v>
      </c>
      <c r="F310">
        <v>16</v>
      </c>
      <c r="G310">
        <v>51</v>
      </c>
      <c r="H310" t="s">
        <v>3489</v>
      </c>
      <c r="I310" t="s">
        <v>3490</v>
      </c>
      <c r="J310" t="s">
        <v>2895</v>
      </c>
    </row>
    <row r="311" spans="1:10" x14ac:dyDescent="0.25">
      <c r="A311" t="s">
        <v>509</v>
      </c>
      <c r="B311" t="s">
        <v>30</v>
      </c>
      <c r="C311">
        <v>8</v>
      </c>
      <c r="D311" t="s">
        <v>3362</v>
      </c>
      <c r="E311">
        <v>44</v>
      </c>
      <c r="F311">
        <v>16</v>
      </c>
      <c r="G311">
        <v>28</v>
      </c>
      <c r="H311" t="s">
        <v>3491</v>
      </c>
      <c r="I311" t="s">
        <v>3492</v>
      </c>
      <c r="J311" t="s">
        <v>2895</v>
      </c>
    </row>
    <row r="312" spans="1:10" x14ac:dyDescent="0.25">
      <c r="A312" t="s">
        <v>516</v>
      </c>
      <c r="B312" t="s">
        <v>30</v>
      </c>
      <c r="C312">
        <v>4</v>
      </c>
      <c r="D312" t="s">
        <v>3334</v>
      </c>
      <c r="E312">
        <v>83</v>
      </c>
      <c r="F312">
        <v>22</v>
      </c>
      <c r="G312">
        <v>61</v>
      </c>
      <c r="H312" t="s">
        <v>196</v>
      </c>
      <c r="I312" t="s">
        <v>3490</v>
      </c>
      <c r="J312" t="s">
        <v>2895</v>
      </c>
    </row>
    <row r="313" spans="1:10" x14ac:dyDescent="0.25">
      <c r="A313" t="s">
        <v>516</v>
      </c>
      <c r="B313" t="s">
        <v>30</v>
      </c>
      <c r="C313">
        <v>4</v>
      </c>
      <c r="D313" t="s">
        <v>3336</v>
      </c>
      <c r="E313">
        <v>54</v>
      </c>
      <c r="F313">
        <v>20</v>
      </c>
      <c r="G313">
        <v>34</v>
      </c>
      <c r="H313" t="s">
        <v>3493</v>
      </c>
      <c r="I313" t="s">
        <v>3490</v>
      </c>
      <c r="J313" t="s">
        <v>2895</v>
      </c>
    </row>
    <row r="314" spans="1:10" x14ac:dyDescent="0.25">
      <c r="A314" t="s">
        <v>516</v>
      </c>
      <c r="B314" t="s">
        <v>30</v>
      </c>
      <c r="C314">
        <v>4</v>
      </c>
      <c r="D314" t="s">
        <v>3338</v>
      </c>
      <c r="E314">
        <v>57</v>
      </c>
      <c r="F314">
        <v>11</v>
      </c>
      <c r="G314">
        <v>46</v>
      </c>
      <c r="H314" t="s">
        <v>3493</v>
      </c>
      <c r="I314" t="s">
        <v>3490</v>
      </c>
      <c r="J314" t="s">
        <v>2895</v>
      </c>
    </row>
    <row r="315" spans="1:10" x14ac:dyDescent="0.25">
      <c r="A315" t="s">
        <v>516</v>
      </c>
      <c r="B315" t="s">
        <v>30</v>
      </c>
      <c r="C315">
        <v>4</v>
      </c>
      <c r="D315" t="s">
        <v>3340</v>
      </c>
      <c r="E315">
        <v>77</v>
      </c>
      <c r="F315">
        <v>11</v>
      </c>
      <c r="G315">
        <v>66</v>
      </c>
      <c r="H315" t="s">
        <v>3494</v>
      </c>
      <c r="I315" t="s">
        <v>3490</v>
      </c>
      <c r="J315" t="s">
        <v>2895</v>
      </c>
    </row>
    <row r="316" spans="1:10" x14ac:dyDescent="0.25">
      <c r="A316" t="s">
        <v>516</v>
      </c>
      <c r="B316" t="s">
        <v>30</v>
      </c>
      <c r="C316">
        <v>4</v>
      </c>
      <c r="D316" t="s">
        <v>3342</v>
      </c>
      <c r="E316">
        <v>37</v>
      </c>
      <c r="F316">
        <v>12</v>
      </c>
      <c r="G316">
        <v>25</v>
      </c>
      <c r="H316" t="s">
        <v>3491</v>
      </c>
      <c r="I316" t="s">
        <v>3492</v>
      </c>
      <c r="J316" t="s">
        <v>2895</v>
      </c>
    </row>
    <row r="317" spans="1:10" x14ac:dyDescent="0.25">
      <c r="A317" t="s">
        <v>522</v>
      </c>
      <c r="B317" t="s">
        <v>105</v>
      </c>
      <c r="C317">
        <v>4</v>
      </c>
      <c r="D317" t="s">
        <v>3154</v>
      </c>
      <c r="E317">
        <v>97</v>
      </c>
      <c r="F317">
        <v>29</v>
      </c>
      <c r="G317">
        <v>68</v>
      </c>
      <c r="H317" t="s">
        <v>3495</v>
      </c>
      <c r="I317" t="s">
        <v>3490</v>
      </c>
      <c r="J317" t="s">
        <v>2908</v>
      </c>
    </row>
    <row r="318" spans="1:10" x14ac:dyDescent="0.25">
      <c r="A318" t="s">
        <v>522</v>
      </c>
      <c r="B318" t="s">
        <v>105</v>
      </c>
      <c r="C318">
        <v>4</v>
      </c>
      <c r="D318" t="s">
        <v>3156</v>
      </c>
      <c r="E318">
        <v>77</v>
      </c>
      <c r="F318">
        <v>26</v>
      </c>
      <c r="G318">
        <v>51</v>
      </c>
      <c r="H318" t="s">
        <v>3494</v>
      </c>
      <c r="I318" t="s">
        <v>3490</v>
      </c>
      <c r="J318" t="s">
        <v>2908</v>
      </c>
    </row>
    <row r="319" spans="1:10" x14ac:dyDescent="0.25">
      <c r="A319" t="s">
        <v>522</v>
      </c>
      <c r="B319" t="s">
        <v>105</v>
      </c>
      <c r="C319">
        <v>4</v>
      </c>
      <c r="D319" t="s">
        <v>3158</v>
      </c>
      <c r="E319">
        <v>64</v>
      </c>
      <c r="F319">
        <v>20</v>
      </c>
      <c r="G319">
        <v>44</v>
      </c>
      <c r="H319" t="s">
        <v>3489</v>
      </c>
      <c r="I319" t="s">
        <v>3490</v>
      </c>
      <c r="J319" t="s">
        <v>2908</v>
      </c>
    </row>
    <row r="320" spans="1:10" x14ac:dyDescent="0.25">
      <c r="A320" t="s">
        <v>522</v>
      </c>
      <c r="B320" t="s">
        <v>105</v>
      </c>
      <c r="C320">
        <v>4</v>
      </c>
      <c r="D320" t="s">
        <v>3160</v>
      </c>
      <c r="E320">
        <v>62</v>
      </c>
      <c r="F320">
        <v>13</v>
      </c>
      <c r="G320">
        <v>49</v>
      </c>
      <c r="H320" t="s">
        <v>3489</v>
      </c>
      <c r="I320" t="s">
        <v>3490</v>
      </c>
      <c r="J320" t="s">
        <v>2908</v>
      </c>
    </row>
    <row r="321" spans="1:10" x14ac:dyDescent="0.25">
      <c r="A321" t="s">
        <v>522</v>
      </c>
      <c r="B321" t="s">
        <v>105</v>
      </c>
      <c r="C321">
        <v>4</v>
      </c>
      <c r="D321" t="s">
        <v>3162</v>
      </c>
      <c r="E321">
        <v>72</v>
      </c>
      <c r="F321">
        <v>26</v>
      </c>
      <c r="G321">
        <v>46</v>
      </c>
      <c r="H321" t="s">
        <v>3494</v>
      </c>
      <c r="I321" t="s">
        <v>3490</v>
      </c>
      <c r="J321" t="s">
        <v>2908</v>
      </c>
    </row>
    <row r="322" spans="1:10" x14ac:dyDescent="0.25">
      <c r="A322" t="s">
        <v>527</v>
      </c>
      <c r="B322" t="s">
        <v>95</v>
      </c>
      <c r="C322">
        <v>6</v>
      </c>
      <c r="D322" t="s">
        <v>3234</v>
      </c>
      <c r="E322">
        <v>93</v>
      </c>
      <c r="F322">
        <v>27</v>
      </c>
      <c r="G322">
        <v>66</v>
      </c>
      <c r="H322" t="s">
        <v>3495</v>
      </c>
      <c r="I322" t="s">
        <v>3490</v>
      </c>
      <c r="J322" t="s">
        <v>2889</v>
      </c>
    </row>
    <row r="323" spans="1:10" x14ac:dyDescent="0.25">
      <c r="A323" t="s">
        <v>527</v>
      </c>
      <c r="B323" t="s">
        <v>95</v>
      </c>
      <c r="C323">
        <v>6</v>
      </c>
      <c r="D323" t="s">
        <v>3236</v>
      </c>
      <c r="E323">
        <v>46</v>
      </c>
      <c r="F323">
        <v>26</v>
      </c>
      <c r="G323">
        <v>20</v>
      </c>
      <c r="H323" t="s">
        <v>3491</v>
      </c>
      <c r="I323" t="s">
        <v>3492</v>
      </c>
      <c r="J323" t="s">
        <v>2889</v>
      </c>
    </row>
    <row r="324" spans="1:10" x14ac:dyDescent="0.25">
      <c r="A324" t="s">
        <v>527</v>
      </c>
      <c r="B324" t="s">
        <v>95</v>
      </c>
      <c r="C324">
        <v>6</v>
      </c>
      <c r="D324" t="s">
        <v>3238</v>
      </c>
      <c r="E324">
        <v>41</v>
      </c>
      <c r="F324">
        <v>10</v>
      </c>
      <c r="G324">
        <v>31</v>
      </c>
      <c r="H324" t="s">
        <v>3491</v>
      </c>
      <c r="I324" t="s">
        <v>3492</v>
      </c>
      <c r="J324" t="s">
        <v>2889</v>
      </c>
    </row>
    <row r="325" spans="1:10" x14ac:dyDescent="0.25">
      <c r="A325" t="s">
        <v>527</v>
      </c>
      <c r="B325" t="s">
        <v>95</v>
      </c>
      <c r="C325">
        <v>6</v>
      </c>
      <c r="D325" t="s">
        <v>3240</v>
      </c>
      <c r="E325">
        <v>37</v>
      </c>
      <c r="F325">
        <v>16</v>
      </c>
      <c r="G325">
        <v>21</v>
      </c>
      <c r="H325" t="s">
        <v>3491</v>
      </c>
      <c r="I325" t="s">
        <v>3492</v>
      </c>
      <c r="J325" t="s">
        <v>2889</v>
      </c>
    </row>
    <row r="326" spans="1:10" x14ac:dyDescent="0.25">
      <c r="A326" t="s">
        <v>527</v>
      </c>
      <c r="B326" t="s">
        <v>95</v>
      </c>
      <c r="C326">
        <v>6</v>
      </c>
      <c r="D326" t="s">
        <v>3242</v>
      </c>
      <c r="E326">
        <v>67</v>
      </c>
      <c r="F326">
        <v>10</v>
      </c>
      <c r="G326">
        <v>57</v>
      </c>
      <c r="H326" t="s">
        <v>3489</v>
      </c>
      <c r="I326" t="s">
        <v>3490</v>
      </c>
      <c r="J326" t="s">
        <v>2889</v>
      </c>
    </row>
    <row r="327" spans="1:10" x14ac:dyDescent="0.25">
      <c r="A327" t="s">
        <v>535</v>
      </c>
      <c r="B327" t="s">
        <v>105</v>
      </c>
      <c r="C327">
        <v>4</v>
      </c>
      <c r="D327" t="s">
        <v>3154</v>
      </c>
      <c r="E327">
        <v>54</v>
      </c>
      <c r="F327">
        <v>13</v>
      </c>
      <c r="G327">
        <v>41</v>
      </c>
      <c r="H327" t="s">
        <v>3493</v>
      </c>
      <c r="I327" t="s">
        <v>3490</v>
      </c>
      <c r="J327" t="s">
        <v>2908</v>
      </c>
    </row>
    <row r="328" spans="1:10" x14ac:dyDescent="0.25">
      <c r="A328" t="s">
        <v>535</v>
      </c>
      <c r="B328" t="s">
        <v>105</v>
      </c>
      <c r="C328">
        <v>4</v>
      </c>
      <c r="D328" t="s">
        <v>3156</v>
      </c>
      <c r="E328">
        <v>50</v>
      </c>
      <c r="F328">
        <v>23</v>
      </c>
      <c r="G328">
        <v>27</v>
      </c>
      <c r="H328" t="s">
        <v>3493</v>
      </c>
      <c r="I328" t="s">
        <v>3490</v>
      </c>
      <c r="J328" t="s">
        <v>2908</v>
      </c>
    </row>
    <row r="329" spans="1:10" x14ac:dyDescent="0.25">
      <c r="A329" t="s">
        <v>535</v>
      </c>
      <c r="B329" t="s">
        <v>105</v>
      </c>
      <c r="C329">
        <v>4</v>
      </c>
      <c r="D329" t="s">
        <v>3158</v>
      </c>
      <c r="E329">
        <v>55</v>
      </c>
      <c r="F329">
        <v>27</v>
      </c>
      <c r="G329">
        <v>28</v>
      </c>
      <c r="H329" t="s">
        <v>3493</v>
      </c>
      <c r="I329" t="s">
        <v>3490</v>
      </c>
      <c r="J329" t="s">
        <v>2908</v>
      </c>
    </row>
    <row r="330" spans="1:10" x14ac:dyDescent="0.25">
      <c r="A330" t="s">
        <v>535</v>
      </c>
      <c r="B330" t="s">
        <v>105</v>
      </c>
      <c r="C330">
        <v>4</v>
      </c>
      <c r="D330" t="s">
        <v>3160</v>
      </c>
      <c r="E330">
        <v>82</v>
      </c>
      <c r="F330">
        <v>29</v>
      </c>
      <c r="G330">
        <v>53</v>
      </c>
      <c r="H330" t="s">
        <v>196</v>
      </c>
      <c r="I330" t="s">
        <v>3490</v>
      </c>
      <c r="J330" t="s">
        <v>2908</v>
      </c>
    </row>
    <row r="331" spans="1:10" x14ac:dyDescent="0.25">
      <c r="A331" t="s">
        <v>535</v>
      </c>
      <c r="B331" t="s">
        <v>105</v>
      </c>
      <c r="C331">
        <v>4</v>
      </c>
      <c r="D331" t="s">
        <v>3162</v>
      </c>
      <c r="E331">
        <v>45</v>
      </c>
      <c r="F331">
        <v>10</v>
      </c>
      <c r="G331">
        <v>35</v>
      </c>
      <c r="H331" t="s">
        <v>3491</v>
      </c>
      <c r="I331" t="s">
        <v>3492</v>
      </c>
      <c r="J331" t="s">
        <v>2908</v>
      </c>
    </row>
    <row r="332" spans="1:10" x14ac:dyDescent="0.25">
      <c r="A332" t="s">
        <v>542</v>
      </c>
      <c r="B332" t="s">
        <v>63</v>
      </c>
      <c r="C332">
        <v>8</v>
      </c>
      <c r="D332" t="s">
        <v>3414</v>
      </c>
      <c r="E332">
        <v>63</v>
      </c>
      <c r="F332">
        <v>22</v>
      </c>
      <c r="G332">
        <v>41</v>
      </c>
      <c r="H332" t="s">
        <v>3489</v>
      </c>
      <c r="I332" t="s">
        <v>3490</v>
      </c>
      <c r="J332" t="s">
        <v>2932</v>
      </c>
    </row>
    <row r="333" spans="1:10" x14ac:dyDescent="0.25">
      <c r="A333" t="s">
        <v>542</v>
      </c>
      <c r="B333" t="s">
        <v>63</v>
      </c>
      <c r="C333">
        <v>8</v>
      </c>
      <c r="D333" t="s">
        <v>3416</v>
      </c>
      <c r="E333">
        <v>85</v>
      </c>
      <c r="F333">
        <v>25</v>
      </c>
      <c r="G333">
        <v>60</v>
      </c>
      <c r="H333" t="s">
        <v>196</v>
      </c>
      <c r="I333" t="s">
        <v>3490</v>
      </c>
      <c r="J333" t="s">
        <v>2932</v>
      </c>
    </row>
    <row r="334" spans="1:10" x14ac:dyDescent="0.25">
      <c r="A334" t="s">
        <v>542</v>
      </c>
      <c r="B334" t="s">
        <v>63</v>
      </c>
      <c r="C334">
        <v>8</v>
      </c>
      <c r="D334" t="s">
        <v>3418</v>
      </c>
      <c r="E334">
        <v>61</v>
      </c>
      <c r="F334">
        <v>25</v>
      </c>
      <c r="G334">
        <v>36</v>
      </c>
      <c r="H334" t="s">
        <v>3489</v>
      </c>
      <c r="I334" t="s">
        <v>3490</v>
      </c>
      <c r="J334" t="s">
        <v>2932</v>
      </c>
    </row>
    <row r="335" spans="1:10" x14ac:dyDescent="0.25">
      <c r="A335" t="s">
        <v>542</v>
      </c>
      <c r="B335" t="s">
        <v>63</v>
      </c>
      <c r="C335">
        <v>8</v>
      </c>
      <c r="D335" t="s">
        <v>3420</v>
      </c>
      <c r="E335">
        <v>77</v>
      </c>
      <c r="F335">
        <v>19</v>
      </c>
      <c r="G335">
        <v>58</v>
      </c>
      <c r="H335" t="s">
        <v>3494</v>
      </c>
      <c r="I335" t="s">
        <v>3490</v>
      </c>
      <c r="J335" t="s">
        <v>2932</v>
      </c>
    </row>
    <row r="336" spans="1:10" x14ac:dyDescent="0.25">
      <c r="A336" t="s">
        <v>542</v>
      </c>
      <c r="B336" t="s">
        <v>63</v>
      </c>
      <c r="C336">
        <v>8</v>
      </c>
      <c r="D336" t="s">
        <v>3422</v>
      </c>
      <c r="E336">
        <v>79</v>
      </c>
      <c r="F336">
        <v>13</v>
      </c>
      <c r="G336">
        <v>66</v>
      </c>
      <c r="H336" t="s">
        <v>3494</v>
      </c>
      <c r="I336" t="s">
        <v>3490</v>
      </c>
      <c r="J336" t="s">
        <v>2932</v>
      </c>
    </row>
    <row r="337" spans="1:10" x14ac:dyDescent="0.25">
      <c r="A337" t="s">
        <v>549</v>
      </c>
      <c r="B337" t="s">
        <v>212</v>
      </c>
      <c r="C337">
        <v>8</v>
      </c>
      <c r="D337" t="s">
        <v>3474</v>
      </c>
      <c r="E337">
        <v>43</v>
      </c>
      <c r="F337">
        <v>23</v>
      </c>
      <c r="G337">
        <v>20</v>
      </c>
      <c r="H337" t="s">
        <v>3491</v>
      </c>
      <c r="I337" t="s">
        <v>3492</v>
      </c>
      <c r="J337" t="s">
        <v>3001</v>
      </c>
    </row>
    <row r="338" spans="1:10" x14ac:dyDescent="0.25">
      <c r="A338" t="s">
        <v>549</v>
      </c>
      <c r="B338" t="s">
        <v>212</v>
      </c>
      <c r="C338">
        <v>8</v>
      </c>
      <c r="D338" t="s">
        <v>3476</v>
      </c>
      <c r="E338">
        <v>92</v>
      </c>
      <c r="F338">
        <v>29</v>
      </c>
      <c r="G338">
        <v>63</v>
      </c>
      <c r="H338" t="s">
        <v>3495</v>
      </c>
      <c r="I338" t="s">
        <v>3490</v>
      </c>
      <c r="J338" t="s">
        <v>3001</v>
      </c>
    </row>
    <row r="339" spans="1:10" x14ac:dyDescent="0.25">
      <c r="A339" t="s">
        <v>549</v>
      </c>
      <c r="B339" t="s">
        <v>212</v>
      </c>
      <c r="C339">
        <v>8</v>
      </c>
      <c r="D339" t="s">
        <v>3478</v>
      </c>
      <c r="E339">
        <v>61</v>
      </c>
      <c r="F339">
        <v>16</v>
      </c>
      <c r="G339">
        <v>45</v>
      </c>
      <c r="H339" t="s">
        <v>3489</v>
      </c>
      <c r="I339" t="s">
        <v>3490</v>
      </c>
      <c r="J339" t="s">
        <v>3001</v>
      </c>
    </row>
    <row r="340" spans="1:10" x14ac:dyDescent="0.25">
      <c r="A340" t="s">
        <v>549</v>
      </c>
      <c r="B340" t="s">
        <v>212</v>
      </c>
      <c r="C340">
        <v>8</v>
      </c>
      <c r="D340" t="s">
        <v>3480</v>
      </c>
      <c r="E340">
        <v>80</v>
      </c>
      <c r="F340">
        <v>21</v>
      </c>
      <c r="G340">
        <v>59</v>
      </c>
      <c r="H340" t="s">
        <v>196</v>
      </c>
      <c r="I340" t="s">
        <v>3490</v>
      </c>
      <c r="J340" t="s">
        <v>3001</v>
      </c>
    </row>
    <row r="341" spans="1:10" x14ac:dyDescent="0.25">
      <c r="A341" t="s">
        <v>549</v>
      </c>
      <c r="B341" t="s">
        <v>212</v>
      </c>
      <c r="C341">
        <v>8</v>
      </c>
      <c r="D341" t="s">
        <v>3482</v>
      </c>
      <c r="E341">
        <v>49</v>
      </c>
      <c r="F341">
        <v>21</v>
      </c>
      <c r="G341">
        <v>28</v>
      </c>
      <c r="H341" t="s">
        <v>3491</v>
      </c>
      <c r="I341" t="s">
        <v>3492</v>
      </c>
      <c r="J341" t="s">
        <v>3001</v>
      </c>
    </row>
    <row r="342" spans="1:10" x14ac:dyDescent="0.25">
      <c r="A342" t="s">
        <v>556</v>
      </c>
      <c r="B342" t="s">
        <v>63</v>
      </c>
      <c r="C342">
        <v>4</v>
      </c>
      <c r="D342" t="s">
        <v>3394</v>
      </c>
      <c r="E342">
        <v>35</v>
      </c>
      <c r="F342">
        <v>11</v>
      </c>
      <c r="G342">
        <v>24</v>
      </c>
      <c r="H342" t="s">
        <v>3491</v>
      </c>
      <c r="I342" t="s">
        <v>3492</v>
      </c>
      <c r="J342" t="s">
        <v>2932</v>
      </c>
    </row>
    <row r="343" spans="1:10" x14ac:dyDescent="0.25">
      <c r="A343" t="s">
        <v>556</v>
      </c>
      <c r="B343" t="s">
        <v>63</v>
      </c>
      <c r="C343">
        <v>4</v>
      </c>
      <c r="D343" t="s">
        <v>3396</v>
      </c>
      <c r="E343">
        <v>77</v>
      </c>
      <c r="F343">
        <v>19</v>
      </c>
      <c r="G343">
        <v>58</v>
      </c>
      <c r="H343" t="s">
        <v>3494</v>
      </c>
      <c r="I343" t="s">
        <v>3490</v>
      </c>
      <c r="J343" t="s">
        <v>2932</v>
      </c>
    </row>
    <row r="344" spans="1:10" x14ac:dyDescent="0.25">
      <c r="A344" t="s">
        <v>556</v>
      </c>
      <c r="B344" t="s">
        <v>63</v>
      </c>
      <c r="C344">
        <v>4</v>
      </c>
      <c r="D344" t="s">
        <v>3398</v>
      </c>
      <c r="E344">
        <v>39</v>
      </c>
      <c r="F344">
        <v>12</v>
      </c>
      <c r="G344">
        <v>27</v>
      </c>
      <c r="H344" t="s">
        <v>3491</v>
      </c>
      <c r="I344" t="s">
        <v>3492</v>
      </c>
      <c r="J344" t="s">
        <v>2932</v>
      </c>
    </row>
    <row r="345" spans="1:10" x14ac:dyDescent="0.25">
      <c r="A345" t="s">
        <v>556</v>
      </c>
      <c r="B345" t="s">
        <v>63</v>
      </c>
      <c r="C345">
        <v>4</v>
      </c>
      <c r="D345" t="s">
        <v>3400</v>
      </c>
      <c r="E345">
        <v>86</v>
      </c>
      <c r="F345">
        <v>26</v>
      </c>
      <c r="G345">
        <v>60</v>
      </c>
      <c r="H345" t="s">
        <v>196</v>
      </c>
      <c r="I345" t="s">
        <v>3490</v>
      </c>
      <c r="J345" t="s">
        <v>2932</v>
      </c>
    </row>
    <row r="346" spans="1:10" x14ac:dyDescent="0.25">
      <c r="A346" t="s">
        <v>556</v>
      </c>
      <c r="B346" t="s">
        <v>63</v>
      </c>
      <c r="C346">
        <v>4</v>
      </c>
      <c r="D346" t="s">
        <v>3402</v>
      </c>
      <c r="E346">
        <v>66</v>
      </c>
      <c r="F346">
        <v>28</v>
      </c>
      <c r="G346">
        <v>38</v>
      </c>
      <c r="H346" t="s">
        <v>3489</v>
      </c>
      <c r="I346" t="s">
        <v>3490</v>
      </c>
      <c r="J346" t="s">
        <v>2932</v>
      </c>
    </row>
    <row r="347" spans="1:10" x14ac:dyDescent="0.25">
      <c r="A347" t="s">
        <v>563</v>
      </c>
      <c r="B347" t="s">
        <v>30</v>
      </c>
      <c r="C347">
        <v>8</v>
      </c>
      <c r="D347" t="s">
        <v>3354</v>
      </c>
      <c r="E347">
        <v>67</v>
      </c>
      <c r="F347">
        <v>13</v>
      </c>
      <c r="G347">
        <v>54</v>
      </c>
      <c r="H347" t="s">
        <v>3489</v>
      </c>
      <c r="I347" t="s">
        <v>3490</v>
      </c>
      <c r="J347" t="s">
        <v>2895</v>
      </c>
    </row>
    <row r="348" spans="1:10" x14ac:dyDescent="0.25">
      <c r="A348" t="s">
        <v>563</v>
      </c>
      <c r="B348" t="s">
        <v>30</v>
      </c>
      <c r="C348">
        <v>8</v>
      </c>
      <c r="D348" t="s">
        <v>3356</v>
      </c>
      <c r="E348">
        <v>53</v>
      </c>
      <c r="F348">
        <v>19</v>
      </c>
      <c r="G348">
        <v>34</v>
      </c>
      <c r="H348" t="s">
        <v>3493</v>
      </c>
      <c r="I348" t="s">
        <v>3490</v>
      </c>
      <c r="J348" t="s">
        <v>2895</v>
      </c>
    </row>
    <row r="349" spans="1:10" x14ac:dyDescent="0.25">
      <c r="A349" t="s">
        <v>563</v>
      </c>
      <c r="B349" t="s">
        <v>30</v>
      </c>
      <c r="C349">
        <v>8</v>
      </c>
      <c r="D349" t="s">
        <v>3358</v>
      </c>
      <c r="E349">
        <v>62</v>
      </c>
      <c r="F349">
        <v>17</v>
      </c>
      <c r="G349">
        <v>45</v>
      </c>
      <c r="H349" t="s">
        <v>3489</v>
      </c>
      <c r="I349" t="s">
        <v>3490</v>
      </c>
      <c r="J349" t="s">
        <v>2895</v>
      </c>
    </row>
    <row r="350" spans="1:10" x14ac:dyDescent="0.25">
      <c r="A350" t="s">
        <v>563</v>
      </c>
      <c r="B350" t="s">
        <v>30</v>
      </c>
      <c r="C350">
        <v>8</v>
      </c>
      <c r="D350" t="s">
        <v>3360</v>
      </c>
      <c r="E350">
        <v>76</v>
      </c>
      <c r="F350">
        <v>26</v>
      </c>
      <c r="G350">
        <v>50</v>
      </c>
      <c r="H350" t="s">
        <v>3494</v>
      </c>
      <c r="I350" t="s">
        <v>3490</v>
      </c>
      <c r="J350" t="s">
        <v>2895</v>
      </c>
    </row>
    <row r="351" spans="1:10" x14ac:dyDescent="0.25">
      <c r="A351" t="s">
        <v>563</v>
      </c>
      <c r="B351" t="s">
        <v>30</v>
      </c>
      <c r="C351">
        <v>8</v>
      </c>
      <c r="D351" t="s">
        <v>3362</v>
      </c>
      <c r="E351">
        <v>41</v>
      </c>
      <c r="F351">
        <v>20</v>
      </c>
      <c r="G351">
        <v>21</v>
      </c>
      <c r="H351" t="s">
        <v>3491</v>
      </c>
      <c r="I351" t="s">
        <v>3492</v>
      </c>
      <c r="J351" t="s">
        <v>2895</v>
      </c>
    </row>
    <row r="352" spans="1:10" x14ac:dyDescent="0.25">
      <c r="A352" t="s">
        <v>571</v>
      </c>
      <c r="B352" t="s">
        <v>63</v>
      </c>
      <c r="C352">
        <v>4</v>
      </c>
      <c r="D352" t="s">
        <v>3394</v>
      </c>
      <c r="E352">
        <v>56</v>
      </c>
      <c r="F352">
        <v>28</v>
      </c>
      <c r="G352">
        <v>28</v>
      </c>
      <c r="H352" t="s">
        <v>3493</v>
      </c>
      <c r="I352" t="s">
        <v>3490</v>
      </c>
      <c r="J352" t="s">
        <v>2932</v>
      </c>
    </row>
    <row r="353" spans="1:10" x14ac:dyDescent="0.25">
      <c r="A353" t="s">
        <v>571</v>
      </c>
      <c r="B353" t="s">
        <v>63</v>
      </c>
      <c r="C353">
        <v>4</v>
      </c>
      <c r="D353" t="s">
        <v>3396</v>
      </c>
      <c r="E353">
        <v>55</v>
      </c>
      <c r="F353">
        <v>23</v>
      </c>
      <c r="G353">
        <v>32</v>
      </c>
      <c r="H353" t="s">
        <v>3493</v>
      </c>
      <c r="I353" t="s">
        <v>3490</v>
      </c>
      <c r="J353" t="s">
        <v>2932</v>
      </c>
    </row>
    <row r="354" spans="1:10" x14ac:dyDescent="0.25">
      <c r="A354" t="s">
        <v>571</v>
      </c>
      <c r="B354" t="s">
        <v>63</v>
      </c>
      <c r="C354">
        <v>4</v>
      </c>
      <c r="D354" t="s">
        <v>3398</v>
      </c>
      <c r="E354">
        <v>81</v>
      </c>
      <c r="F354">
        <v>15</v>
      </c>
      <c r="G354">
        <v>66</v>
      </c>
      <c r="H354" t="s">
        <v>196</v>
      </c>
      <c r="I354" t="s">
        <v>3490</v>
      </c>
      <c r="J354" t="s">
        <v>2932</v>
      </c>
    </row>
    <row r="355" spans="1:10" x14ac:dyDescent="0.25">
      <c r="A355" t="s">
        <v>571</v>
      </c>
      <c r="B355" t="s">
        <v>63</v>
      </c>
      <c r="C355">
        <v>4</v>
      </c>
      <c r="D355" t="s">
        <v>3400</v>
      </c>
      <c r="E355">
        <v>48</v>
      </c>
      <c r="F355">
        <v>15</v>
      </c>
      <c r="G355">
        <v>33</v>
      </c>
      <c r="H355" t="s">
        <v>3491</v>
      </c>
      <c r="I355" t="s">
        <v>3492</v>
      </c>
      <c r="J355" t="s">
        <v>2932</v>
      </c>
    </row>
    <row r="356" spans="1:10" x14ac:dyDescent="0.25">
      <c r="A356" t="s">
        <v>571</v>
      </c>
      <c r="B356" t="s">
        <v>63</v>
      </c>
      <c r="C356">
        <v>4</v>
      </c>
      <c r="D356" t="s">
        <v>3402</v>
      </c>
      <c r="E356">
        <v>87</v>
      </c>
      <c r="F356">
        <v>29</v>
      </c>
      <c r="G356">
        <v>58</v>
      </c>
      <c r="H356" t="s">
        <v>196</v>
      </c>
      <c r="I356" t="s">
        <v>3490</v>
      </c>
      <c r="J356" t="s">
        <v>2932</v>
      </c>
    </row>
    <row r="357" spans="1:10" x14ac:dyDescent="0.25">
      <c r="A357" t="s">
        <v>577</v>
      </c>
      <c r="B357" t="s">
        <v>95</v>
      </c>
      <c r="C357">
        <v>8</v>
      </c>
      <c r="D357" t="s">
        <v>3234</v>
      </c>
      <c r="E357">
        <v>55</v>
      </c>
      <c r="F357">
        <v>26</v>
      </c>
      <c r="G357">
        <v>29</v>
      </c>
      <c r="H357" t="s">
        <v>3493</v>
      </c>
      <c r="I357" t="s">
        <v>3490</v>
      </c>
      <c r="J357" t="s">
        <v>2889</v>
      </c>
    </row>
    <row r="358" spans="1:10" x14ac:dyDescent="0.25">
      <c r="A358" t="s">
        <v>577</v>
      </c>
      <c r="B358" t="s">
        <v>95</v>
      </c>
      <c r="C358">
        <v>8</v>
      </c>
      <c r="D358" t="s">
        <v>3236</v>
      </c>
      <c r="E358">
        <v>47</v>
      </c>
      <c r="F358">
        <v>12</v>
      </c>
      <c r="G358">
        <v>35</v>
      </c>
      <c r="H358" t="s">
        <v>3491</v>
      </c>
      <c r="I358" t="s">
        <v>3492</v>
      </c>
      <c r="J358" t="s">
        <v>2889</v>
      </c>
    </row>
    <row r="359" spans="1:10" x14ac:dyDescent="0.25">
      <c r="A359" t="s">
        <v>577</v>
      </c>
      <c r="B359" t="s">
        <v>95</v>
      </c>
      <c r="C359">
        <v>8</v>
      </c>
      <c r="D359" t="s">
        <v>3238</v>
      </c>
      <c r="E359">
        <v>61</v>
      </c>
      <c r="F359">
        <v>24</v>
      </c>
      <c r="G359">
        <v>37</v>
      </c>
      <c r="H359" t="s">
        <v>3489</v>
      </c>
      <c r="I359" t="s">
        <v>3490</v>
      </c>
      <c r="J359" t="s">
        <v>2889</v>
      </c>
    </row>
    <row r="360" spans="1:10" x14ac:dyDescent="0.25">
      <c r="A360" t="s">
        <v>577</v>
      </c>
      <c r="B360" t="s">
        <v>95</v>
      </c>
      <c r="C360">
        <v>8</v>
      </c>
      <c r="D360" t="s">
        <v>3240</v>
      </c>
      <c r="E360">
        <v>61</v>
      </c>
      <c r="F360">
        <v>20</v>
      </c>
      <c r="G360">
        <v>41</v>
      </c>
      <c r="H360" t="s">
        <v>3489</v>
      </c>
      <c r="I360" t="s">
        <v>3490</v>
      </c>
      <c r="J360" t="s">
        <v>2889</v>
      </c>
    </row>
    <row r="361" spans="1:10" x14ac:dyDescent="0.25">
      <c r="A361" t="s">
        <v>577</v>
      </c>
      <c r="B361" t="s">
        <v>95</v>
      </c>
      <c r="C361">
        <v>8</v>
      </c>
      <c r="D361" t="s">
        <v>3242</v>
      </c>
      <c r="E361">
        <v>47</v>
      </c>
      <c r="F361">
        <v>23</v>
      </c>
      <c r="G361">
        <v>24</v>
      </c>
      <c r="H361" t="s">
        <v>3491</v>
      </c>
      <c r="I361" t="s">
        <v>3492</v>
      </c>
      <c r="J361" t="s">
        <v>2889</v>
      </c>
    </row>
    <row r="362" spans="1:10" x14ac:dyDescent="0.25">
      <c r="A362" t="s">
        <v>582</v>
      </c>
      <c r="B362" t="s">
        <v>75</v>
      </c>
      <c r="C362">
        <v>4</v>
      </c>
      <c r="D362" t="s">
        <v>3034</v>
      </c>
      <c r="E362">
        <v>48</v>
      </c>
      <c r="F362">
        <v>12</v>
      </c>
      <c r="G362">
        <v>36</v>
      </c>
      <c r="H362" t="s">
        <v>3491</v>
      </c>
      <c r="I362" t="s">
        <v>3492</v>
      </c>
      <c r="J362" t="s">
        <v>2961</v>
      </c>
    </row>
    <row r="363" spans="1:10" x14ac:dyDescent="0.25">
      <c r="A363" t="s">
        <v>582</v>
      </c>
      <c r="B363" t="s">
        <v>75</v>
      </c>
      <c r="C363">
        <v>4</v>
      </c>
      <c r="D363" t="s">
        <v>3036</v>
      </c>
      <c r="E363">
        <v>75</v>
      </c>
      <c r="F363">
        <v>11</v>
      </c>
      <c r="G363">
        <v>64</v>
      </c>
      <c r="H363" t="s">
        <v>3494</v>
      </c>
      <c r="I363" t="s">
        <v>3490</v>
      </c>
      <c r="J363" t="s">
        <v>2961</v>
      </c>
    </row>
    <row r="364" spans="1:10" x14ac:dyDescent="0.25">
      <c r="A364" t="s">
        <v>582</v>
      </c>
      <c r="B364" t="s">
        <v>75</v>
      </c>
      <c r="C364">
        <v>4</v>
      </c>
      <c r="D364" t="s">
        <v>3038</v>
      </c>
      <c r="E364">
        <v>47</v>
      </c>
      <c r="F364">
        <v>19</v>
      </c>
      <c r="G364">
        <v>28</v>
      </c>
      <c r="H364" t="s">
        <v>3491</v>
      </c>
      <c r="I364" t="s">
        <v>3492</v>
      </c>
      <c r="J364" t="s">
        <v>2961</v>
      </c>
    </row>
    <row r="365" spans="1:10" x14ac:dyDescent="0.25">
      <c r="A365" t="s">
        <v>582</v>
      </c>
      <c r="B365" t="s">
        <v>75</v>
      </c>
      <c r="C365">
        <v>4</v>
      </c>
      <c r="D365" t="s">
        <v>3040</v>
      </c>
      <c r="E365">
        <v>80</v>
      </c>
      <c r="F365">
        <v>26</v>
      </c>
      <c r="G365">
        <v>54</v>
      </c>
      <c r="H365" t="s">
        <v>196</v>
      </c>
      <c r="I365" t="s">
        <v>3490</v>
      </c>
      <c r="J365" t="s">
        <v>2961</v>
      </c>
    </row>
    <row r="366" spans="1:10" x14ac:dyDescent="0.25">
      <c r="A366" t="s">
        <v>582</v>
      </c>
      <c r="B366" t="s">
        <v>75</v>
      </c>
      <c r="C366">
        <v>4</v>
      </c>
      <c r="D366" t="s">
        <v>3042</v>
      </c>
      <c r="E366">
        <v>90</v>
      </c>
      <c r="F366">
        <v>23</v>
      </c>
      <c r="G366">
        <v>67</v>
      </c>
      <c r="H366" t="s">
        <v>3495</v>
      </c>
      <c r="I366" t="s">
        <v>3490</v>
      </c>
      <c r="J366" t="s">
        <v>2961</v>
      </c>
    </row>
    <row r="367" spans="1:10" x14ac:dyDescent="0.25">
      <c r="A367" t="s">
        <v>587</v>
      </c>
      <c r="B367" t="s">
        <v>30</v>
      </c>
      <c r="C367">
        <v>4</v>
      </c>
      <c r="D367" t="s">
        <v>3334</v>
      </c>
      <c r="E367">
        <v>54</v>
      </c>
      <c r="F367">
        <v>11</v>
      </c>
      <c r="G367">
        <v>43</v>
      </c>
      <c r="H367" t="s">
        <v>3493</v>
      </c>
      <c r="I367" t="s">
        <v>3490</v>
      </c>
      <c r="J367" t="s">
        <v>2895</v>
      </c>
    </row>
    <row r="368" spans="1:10" x14ac:dyDescent="0.25">
      <c r="A368" t="s">
        <v>587</v>
      </c>
      <c r="B368" t="s">
        <v>30</v>
      </c>
      <c r="C368">
        <v>4</v>
      </c>
      <c r="D368" t="s">
        <v>3336</v>
      </c>
      <c r="E368">
        <v>51</v>
      </c>
      <c r="F368">
        <v>30</v>
      </c>
      <c r="G368">
        <v>21</v>
      </c>
      <c r="H368" t="s">
        <v>3493</v>
      </c>
      <c r="I368" t="s">
        <v>3490</v>
      </c>
      <c r="J368" t="s">
        <v>2895</v>
      </c>
    </row>
    <row r="369" spans="1:10" x14ac:dyDescent="0.25">
      <c r="A369" t="s">
        <v>587</v>
      </c>
      <c r="B369" t="s">
        <v>30</v>
      </c>
      <c r="C369">
        <v>4</v>
      </c>
      <c r="D369" t="s">
        <v>3338</v>
      </c>
      <c r="E369">
        <v>55</v>
      </c>
      <c r="F369">
        <v>20</v>
      </c>
      <c r="G369">
        <v>35</v>
      </c>
      <c r="H369" t="s">
        <v>3493</v>
      </c>
      <c r="I369" t="s">
        <v>3490</v>
      </c>
      <c r="J369" t="s">
        <v>2895</v>
      </c>
    </row>
    <row r="370" spans="1:10" x14ac:dyDescent="0.25">
      <c r="A370" t="s">
        <v>587</v>
      </c>
      <c r="B370" t="s">
        <v>30</v>
      </c>
      <c r="C370">
        <v>4</v>
      </c>
      <c r="D370" t="s">
        <v>3340</v>
      </c>
      <c r="E370">
        <v>70</v>
      </c>
      <c r="F370">
        <v>25</v>
      </c>
      <c r="G370">
        <v>45</v>
      </c>
      <c r="H370" t="s">
        <v>3494</v>
      </c>
      <c r="I370" t="s">
        <v>3490</v>
      </c>
      <c r="J370" t="s">
        <v>2895</v>
      </c>
    </row>
    <row r="371" spans="1:10" x14ac:dyDescent="0.25">
      <c r="A371" t="s">
        <v>587</v>
      </c>
      <c r="B371" t="s">
        <v>30</v>
      </c>
      <c r="C371">
        <v>4</v>
      </c>
      <c r="D371" t="s">
        <v>3342</v>
      </c>
      <c r="E371">
        <v>70</v>
      </c>
      <c r="F371">
        <v>23</v>
      </c>
      <c r="G371">
        <v>47</v>
      </c>
      <c r="H371" t="s">
        <v>3494</v>
      </c>
      <c r="I371" t="s">
        <v>3490</v>
      </c>
      <c r="J371" t="s">
        <v>2895</v>
      </c>
    </row>
    <row r="372" spans="1:10" x14ac:dyDescent="0.25">
      <c r="A372" t="s">
        <v>594</v>
      </c>
      <c r="B372" t="s">
        <v>105</v>
      </c>
      <c r="C372">
        <v>6</v>
      </c>
      <c r="D372" t="s">
        <v>3174</v>
      </c>
      <c r="E372">
        <v>64</v>
      </c>
      <c r="F372">
        <v>11</v>
      </c>
      <c r="G372">
        <v>53</v>
      </c>
      <c r="H372" t="s">
        <v>3489</v>
      </c>
      <c r="I372" t="s">
        <v>3490</v>
      </c>
      <c r="J372" t="s">
        <v>2908</v>
      </c>
    </row>
    <row r="373" spans="1:10" x14ac:dyDescent="0.25">
      <c r="A373" t="s">
        <v>594</v>
      </c>
      <c r="B373" t="s">
        <v>105</v>
      </c>
      <c r="C373">
        <v>6</v>
      </c>
      <c r="D373" t="s">
        <v>3176</v>
      </c>
      <c r="E373">
        <v>40</v>
      </c>
      <c r="F373">
        <v>13</v>
      </c>
      <c r="G373">
        <v>27</v>
      </c>
      <c r="H373" t="s">
        <v>3491</v>
      </c>
      <c r="I373" t="s">
        <v>3492</v>
      </c>
      <c r="J373" t="s">
        <v>2908</v>
      </c>
    </row>
    <row r="374" spans="1:10" x14ac:dyDescent="0.25">
      <c r="A374" t="s">
        <v>594</v>
      </c>
      <c r="B374" t="s">
        <v>105</v>
      </c>
      <c r="C374">
        <v>6</v>
      </c>
      <c r="D374" t="s">
        <v>3178</v>
      </c>
      <c r="E374">
        <v>61</v>
      </c>
      <c r="F374">
        <v>14</v>
      </c>
      <c r="G374">
        <v>47</v>
      </c>
      <c r="H374" t="s">
        <v>3489</v>
      </c>
      <c r="I374" t="s">
        <v>3490</v>
      </c>
      <c r="J374" t="s">
        <v>2908</v>
      </c>
    </row>
    <row r="375" spans="1:10" x14ac:dyDescent="0.25">
      <c r="A375" t="s">
        <v>594</v>
      </c>
      <c r="B375" t="s">
        <v>105</v>
      </c>
      <c r="C375">
        <v>6</v>
      </c>
      <c r="D375" t="s">
        <v>3180</v>
      </c>
      <c r="E375">
        <v>32</v>
      </c>
      <c r="F375">
        <v>10</v>
      </c>
      <c r="G375">
        <v>22</v>
      </c>
      <c r="H375" t="s">
        <v>3491</v>
      </c>
      <c r="I375" t="s">
        <v>3492</v>
      </c>
      <c r="J375" t="s">
        <v>2908</v>
      </c>
    </row>
    <row r="376" spans="1:10" x14ac:dyDescent="0.25">
      <c r="A376" t="s">
        <v>594</v>
      </c>
      <c r="B376" t="s">
        <v>105</v>
      </c>
      <c r="C376">
        <v>6</v>
      </c>
      <c r="D376" t="s">
        <v>3182</v>
      </c>
      <c r="E376">
        <v>39</v>
      </c>
      <c r="F376">
        <v>16</v>
      </c>
      <c r="G376">
        <v>23</v>
      </c>
      <c r="H376" t="s">
        <v>3491</v>
      </c>
      <c r="I376" t="s">
        <v>3492</v>
      </c>
      <c r="J376" t="s">
        <v>2908</v>
      </c>
    </row>
    <row r="377" spans="1:10" x14ac:dyDescent="0.25">
      <c r="A377" t="s">
        <v>601</v>
      </c>
      <c r="B377" t="s">
        <v>95</v>
      </c>
      <c r="C377">
        <v>8</v>
      </c>
      <c r="D377" t="s">
        <v>3234</v>
      </c>
      <c r="E377">
        <v>59</v>
      </c>
      <c r="F377">
        <v>26</v>
      </c>
      <c r="G377">
        <v>33</v>
      </c>
      <c r="H377" t="s">
        <v>3493</v>
      </c>
      <c r="I377" t="s">
        <v>3490</v>
      </c>
      <c r="J377" t="s">
        <v>2889</v>
      </c>
    </row>
    <row r="378" spans="1:10" x14ac:dyDescent="0.25">
      <c r="A378" t="s">
        <v>601</v>
      </c>
      <c r="B378" t="s">
        <v>95</v>
      </c>
      <c r="C378">
        <v>8</v>
      </c>
      <c r="D378" t="s">
        <v>3236</v>
      </c>
      <c r="E378">
        <v>65</v>
      </c>
      <c r="F378">
        <v>21</v>
      </c>
      <c r="G378">
        <v>44</v>
      </c>
      <c r="H378" t="s">
        <v>3489</v>
      </c>
      <c r="I378" t="s">
        <v>3490</v>
      </c>
      <c r="J378" t="s">
        <v>2889</v>
      </c>
    </row>
    <row r="379" spans="1:10" x14ac:dyDescent="0.25">
      <c r="A379" t="s">
        <v>601</v>
      </c>
      <c r="B379" t="s">
        <v>95</v>
      </c>
      <c r="C379">
        <v>8</v>
      </c>
      <c r="D379" t="s">
        <v>3238</v>
      </c>
      <c r="E379">
        <v>80</v>
      </c>
      <c r="F379">
        <v>22</v>
      </c>
      <c r="G379">
        <v>58</v>
      </c>
      <c r="H379" t="s">
        <v>196</v>
      </c>
      <c r="I379" t="s">
        <v>3490</v>
      </c>
      <c r="J379" t="s">
        <v>2889</v>
      </c>
    </row>
    <row r="380" spans="1:10" x14ac:dyDescent="0.25">
      <c r="A380" t="s">
        <v>601</v>
      </c>
      <c r="B380" t="s">
        <v>95</v>
      </c>
      <c r="C380">
        <v>8</v>
      </c>
      <c r="D380" t="s">
        <v>3240</v>
      </c>
      <c r="E380">
        <v>80</v>
      </c>
      <c r="F380">
        <v>12</v>
      </c>
      <c r="G380">
        <v>68</v>
      </c>
      <c r="H380" t="s">
        <v>196</v>
      </c>
      <c r="I380" t="s">
        <v>3490</v>
      </c>
      <c r="J380" t="s">
        <v>2889</v>
      </c>
    </row>
    <row r="381" spans="1:10" x14ac:dyDescent="0.25">
      <c r="A381" t="s">
        <v>601</v>
      </c>
      <c r="B381" t="s">
        <v>95</v>
      </c>
      <c r="C381">
        <v>8</v>
      </c>
      <c r="D381" t="s">
        <v>3242</v>
      </c>
      <c r="E381">
        <v>54</v>
      </c>
      <c r="F381">
        <v>10</v>
      </c>
      <c r="G381">
        <v>44</v>
      </c>
      <c r="H381" t="s">
        <v>3493</v>
      </c>
      <c r="I381" t="s">
        <v>3490</v>
      </c>
      <c r="J381" t="s">
        <v>2889</v>
      </c>
    </row>
    <row r="382" spans="1:10" x14ac:dyDescent="0.25">
      <c r="A382" t="s">
        <v>607</v>
      </c>
      <c r="B382" t="s">
        <v>95</v>
      </c>
      <c r="C382">
        <v>8</v>
      </c>
      <c r="D382" t="s">
        <v>3234</v>
      </c>
      <c r="E382">
        <v>77</v>
      </c>
      <c r="F382">
        <v>14</v>
      </c>
      <c r="G382">
        <v>63</v>
      </c>
      <c r="H382" t="s">
        <v>3494</v>
      </c>
      <c r="I382" t="s">
        <v>3490</v>
      </c>
      <c r="J382" t="s">
        <v>2889</v>
      </c>
    </row>
    <row r="383" spans="1:10" x14ac:dyDescent="0.25">
      <c r="A383" t="s">
        <v>607</v>
      </c>
      <c r="B383" t="s">
        <v>95</v>
      </c>
      <c r="C383">
        <v>8</v>
      </c>
      <c r="D383" t="s">
        <v>3236</v>
      </c>
      <c r="E383">
        <v>48</v>
      </c>
      <c r="F383">
        <v>24</v>
      </c>
      <c r="G383">
        <v>24</v>
      </c>
      <c r="H383" t="s">
        <v>3491</v>
      </c>
      <c r="I383" t="s">
        <v>3492</v>
      </c>
      <c r="J383" t="s">
        <v>2889</v>
      </c>
    </row>
    <row r="384" spans="1:10" x14ac:dyDescent="0.25">
      <c r="A384" t="s">
        <v>607</v>
      </c>
      <c r="B384" t="s">
        <v>95</v>
      </c>
      <c r="C384">
        <v>8</v>
      </c>
      <c r="D384" t="s">
        <v>3238</v>
      </c>
      <c r="E384">
        <v>87</v>
      </c>
      <c r="F384">
        <v>20</v>
      </c>
      <c r="G384">
        <v>67</v>
      </c>
      <c r="H384" t="s">
        <v>196</v>
      </c>
      <c r="I384" t="s">
        <v>3490</v>
      </c>
      <c r="J384" t="s">
        <v>2889</v>
      </c>
    </row>
    <row r="385" spans="1:10" x14ac:dyDescent="0.25">
      <c r="A385" t="s">
        <v>607</v>
      </c>
      <c r="B385" t="s">
        <v>95</v>
      </c>
      <c r="C385">
        <v>8</v>
      </c>
      <c r="D385" t="s">
        <v>3240</v>
      </c>
      <c r="E385">
        <v>42</v>
      </c>
      <c r="F385">
        <v>16</v>
      </c>
      <c r="G385">
        <v>26</v>
      </c>
      <c r="H385" t="s">
        <v>3491</v>
      </c>
      <c r="I385" t="s">
        <v>3492</v>
      </c>
      <c r="J385" t="s">
        <v>2889</v>
      </c>
    </row>
    <row r="386" spans="1:10" x14ac:dyDescent="0.25">
      <c r="A386" t="s">
        <v>607</v>
      </c>
      <c r="B386" t="s">
        <v>95</v>
      </c>
      <c r="C386">
        <v>8</v>
      </c>
      <c r="D386" t="s">
        <v>3242</v>
      </c>
      <c r="E386">
        <v>84</v>
      </c>
      <c r="F386">
        <v>15</v>
      </c>
      <c r="G386">
        <v>69</v>
      </c>
      <c r="H386" t="s">
        <v>196</v>
      </c>
      <c r="I386" t="s">
        <v>3490</v>
      </c>
      <c r="J386" t="s">
        <v>2889</v>
      </c>
    </row>
    <row r="387" spans="1:10" x14ac:dyDescent="0.25">
      <c r="A387" t="s">
        <v>614</v>
      </c>
      <c r="B387" t="s">
        <v>30</v>
      </c>
      <c r="C387">
        <v>4</v>
      </c>
      <c r="D387" t="s">
        <v>3334</v>
      </c>
      <c r="E387">
        <v>52</v>
      </c>
      <c r="F387">
        <v>16</v>
      </c>
      <c r="G387">
        <v>36</v>
      </c>
      <c r="H387" t="s">
        <v>3493</v>
      </c>
      <c r="I387" t="s">
        <v>3490</v>
      </c>
      <c r="J387" t="s">
        <v>2895</v>
      </c>
    </row>
    <row r="388" spans="1:10" x14ac:dyDescent="0.25">
      <c r="A388" t="s">
        <v>614</v>
      </c>
      <c r="B388" t="s">
        <v>30</v>
      </c>
      <c r="C388">
        <v>4</v>
      </c>
      <c r="D388" t="s">
        <v>3336</v>
      </c>
      <c r="E388">
        <v>62</v>
      </c>
      <c r="F388">
        <v>20</v>
      </c>
      <c r="G388">
        <v>42</v>
      </c>
      <c r="H388" t="s">
        <v>3489</v>
      </c>
      <c r="I388" t="s">
        <v>3490</v>
      </c>
      <c r="J388" t="s">
        <v>2895</v>
      </c>
    </row>
    <row r="389" spans="1:10" x14ac:dyDescent="0.25">
      <c r="A389" t="s">
        <v>614</v>
      </c>
      <c r="B389" t="s">
        <v>30</v>
      </c>
      <c r="C389">
        <v>4</v>
      </c>
      <c r="D389" t="s">
        <v>3338</v>
      </c>
      <c r="E389">
        <v>58</v>
      </c>
      <c r="F389">
        <v>11</v>
      </c>
      <c r="G389">
        <v>47</v>
      </c>
      <c r="H389" t="s">
        <v>3493</v>
      </c>
      <c r="I389" t="s">
        <v>3490</v>
      </c>
      <c r="J389" t="s">
        <v>2895</v>
      </c>
    </row>
    <row r="390" spans="1:10" x14ac:dyDescent="0.25">
      <c r="A390" t="s">
        <v>614</v>
      </c>
      <c r="B390" t="s">
        <v>30</v>
      </c>
      <c r="C390">
        <v>4</v>
      </c>
      <c r="D390" t="s">
        <v>3340</v>
      </c>
      <c r="E390">
        <v>81</v>
      </c>
      <c r="F390">
        <v>26</v>
      </c>
      <c r="G390">
        <v>55</v>
      </c>
      <c r="H390" t="s">
        <v>196</v>
      </c>
      <c r="I390" t="s">
        <v>3490</v>
      </c>
      <c r="J390" t="s">
        <v>2895</v>
      </c>
    </row>
    <row r="391" spans="1:10" x14ac:dyDescent="0.25">
      <c r="A391" t="s">
        <v>614</v>
      </c>
      <c r="B391" t="s">
        <v>30</v>
      </c>
      <c r="C391">
        <v>4</v>
      </c>
      <c r="D391" t="s">
        <v>3342</v>
      </c>
      <c r="E391">
        <v>62</v>
      </c>
      <c r="F391">
        <v>15</v>
      </c>
      <c r="G391">
        <v>47</v>
      </c>
      <c r="H391" t="s">
        <v>3489</v>
      </c>
      <c r="I391" t="s">
        <v>3490</v>
      </c>
      <c r="J391" t="s">
        <v>2895</v>
      </c>
    </row>
    <row r="392" spans="1:10" x14ac:dyDescent="0.25">
      <c r="A392" t="s">
        <v>621</v>
      </c>
      <c r="B392" t="s">
        <v>63</v>
      </c>
      <c r="C392">
        <v>6</v>
      </c>
      <c r="D392" t="s">
        <v>3414</v>
      </c>
      <c r="E392">
        <v>54</v>
      </c>
      <c r="F392">
        <v>28</v>
      </c>
      <c r="G392">
        <v>26</v>
      </c>
      <c r="H392" t="s">
        <v>3493</v>
      </c>
      <c r="I392" t="s">
        <v>3490</v>
      </c>
      <c r="J392" t="s">
        <v>2932</v>
      </c>
    </row>
    <row r="393" spans="1:10" x14ac:dyDescent="0.25">
      <c r="A393" t="s">
        <v>621</v>
      </c>
      <c r="B393" t="s">
        <v>63</v>
      </c>
      <c r="C393">
        <v>6</v>
      </c>
      <c r="D393" t="s">
        <v>3416</v>
      </c>
      <c r="E393">
        <v>85</v>
      </c>
      <c r="F393">
        <v>25</v>
      </c>
      <c r="G393">
        <v>60</v>
      </c>
      <c r="H393" t="s">
        <v>196</v>
      </c>
      <c r="I393" t="s">
        <v>3490</v>
      </c>
      <c r="J393" t="s">
        <v>2932</v>
      </c>
    </row>
    <row r="394" spans="1:10" x14ac:dyDescent="0.25">
      <c r="A394" t="s">
        <v>621</v>
      </c>
      <c r="B394" t="s">
        <v>63</v>
      </c>
      <c r="C394">
        <v>6</v>
      </c>
      <c r="D394" t="s">
        <v>3418</v>
      </c>
      <c r="E394">
        <v>72</v>
      </c>
      <c r="F394">
        <v>25</v>
      </c>
      <c r="G394">
        <v>47</v>
      </c>
      <c r="H394" t="s">
        <v>3494</v>
      </c>
      <c r="I394" t="s">
        <v>3490</v>
      </c>
      <c r="J394" t="s">
        <v>2932</v>
      </c>
    </row>
    <row r="395" spans="1:10" x14ac:dyDescent="0.25">
      <c r="A395" t="s">
        <v>621</v>
      </c>
      <c r="B395" t="s">
        <v>63</v>
      </c>
      <c r="C395">
        <v>6</v>
      </c>
      <c r="D395" t="s">
        <v>3420</v>
      </c>
      <c r="E395">
        <v>88</v>
      </c>
      <c r="F395">
        <v>27</v>
      </c>
      <c r="G395">
        <v>61</v>
      </c>
      <c r="H395" t="s">
        <v>196</v>
      </c>
      <c r="I395" t="s">
        <v>3490</v>
      </c>
      <c r="J395" t="s">
        <v>2932</v>
      </c>
    </row>
    <row r="396" spans="1:10" x14ac:dyDescent="0.25">
      <c r="A396" t="s">
        <v>621</v>
      </c>
      <c r="B396" t="s">
        <v>63</v>
      </c>
      <c r="C396">
        <v>6</v>
      </c>
      <c r="D396" t="s">
        <v>3422</v>
      </c>
      <c r="E396">
        <v>73</v>
      </c>
      <c r="F396">
        <v>14</v>
      </c>
      <c r="G396">
        <v>59</v>
      </c>
      <c r="H396" t="s">
        <v>3494</v>
      </c>
      <c r="I396" t="s">
        <v>3490</v>
      </c>
      <c r="J396" t="s">
        <v>2932</v>
      </c>
    </row>
    <row r="397" spans="1:10" x14ac:dyDescent="0.25">
      <c r="A397" t="s">
        <v>629</v>
      </c>
      <c r="B397" t="s">
        <v>159</v>
      </c>
      <c r="C397">
        <v>6</v>
      </c>
      <c r="D397" t="s">
        <v>3114</v>
      </c>
      <c r="E397">
        <v>69</v>
      </c>
      <c r="F397">
        <v>16</v>
      </c>
      <c r="G397">
        <v>53</v>
      </c>
      <c r="H397" t="s">
        <v>3489</v>
      </c>
      <c r="I397" t="s">
        <v>3490</v>
      </c>
      <c r="J397" t="s">
        <v>2902</v>
      </c>
    </row>
    <row r="398" spans="1:10" x14ac:dyDescent="0.25">
      <c r="A398" t="s">
        <v>629</v>
      </c>
      <c r="B398" t="s">
        <v>159</v>
      </c>
      <c r="C398">
        <v>6</v>
      </c>
      <c r="D398" t="s">
        <v>3116</v>
      </c>
      <c r="E398">
        <v>56</v>
      </c>
      <c r="F398">
        <v>18</v>
      </c>
      <c r="G398">
        <v>38</v>
      </c>
      <c r="H398" t="s">
        <v>3493</v>
      </c>
      <c r="I398" t="s">
        <v>3490</v>
      </c>
      <c r="J398" t="s">
        <v>2902</v>
      </c>
    </row>
    <row r="399" spans="1:10" x14ac:dyDescent="0.25">
      <c r="A399" t="s">
        <v>629</v>
      </c>
      <c r="B399" t="s">
        <v>159</v>
      </c>
      <c r="C399">
        <v>6</v>
      </c>
      <c r="D399" t="s">
        <v>3118</v>
      </c>
      <c r="E399">
        <v>38</v>
      </c>
      <c r="F399">
        <v>11</v>
      </c>
      <c r="G399">
        <v>27</v>
      </c>
      <c r="H399" t="s">
        <v>3491</v>
      </c>
      <c r="I399" t="s">
        <v>3492</v>
      </c>
      <c r="J399" t="s">
        <v>2902</v>
      </c>
    </row>
    <row r="400" spans="1:10" x14ac:dyDescent="0.25">
      <c r="A400" t="s">
        <v>629</v>
      </c>
      <c r="B400" t="s">
        <v>159</v>
      </c>
      <c r="C400">
        <v>6</v>
      </c>
      <c r="D400" t="s">
        <v>3120</v>
      </c>
      <c r="E400">
        <v>56</v>
      </c>
      <c r="F400">
        <v>17</v>
      </c>
      <c r="G400">
        <v>39</v>
      </c>
      <c r="H400" t="s">
        <v>3493</v>
      </c>
      <c r="I400" t="s">
        <v>3490</v>
      </c>
      <c r="J400" t="s">
        <v>2902</v>
      </c>
    </row>
    <row r="401" spans="1:10" x14ac:dyDescent="0.25">
      <c r="A401" t="s">
        <v>629</v>
      </c>
      <c r="B401" t="s">
        <v>159</v>
      </c>
      <c r="C401">
        <v>6</v>
      </c>
      <c r="D401" t="s">
        <v>3122</v>
      </c>
      <c r="E401">
        <v>47</v>
      </c>
      <c r="F401">
        <v>27</v>
      </c>
      <c r="G401">
        <v>20</v>
      </c>
      <c r="H401" t="s">
        <v>3491</v>
      </c>
      <c r="I401" t="s">
        <v>3492</v>
      </c>
      <c r="J401" t="s">
        <v>2902</v>
      </c>
    </row>
    <row r="402" spans="1:10" x14ac:dyDescent="0.25">
      <c r="A402" t="s">
        <v>636</v>
      </c>
      <c r="B402" t="s">
        <v>63</v>
      </c>
      <c r="C402">
        <v>8</v>
      </c>
      <c r="D402" t="s">
        <v>3414</v>
      </c>
      <c r="E402">
        <v>74</v>
      </c>
      <c r="F402">
        <v>26</v>
      </c>
      <c r="G402">
        <v>48</v>
      </c>
      <c r="H402" t="s">
        <v>3494</v>
      </c>
      <c r="I402" t="s">
        <v>3490</v>
      </c>
      <c r="J402" t="s">
        <v>2932</v>
      </c>
    </row>
    <row r="403" spans="1:10" x14ac:dyDescent="0.25">
      <c r="A403" t="s">
        <v>636</v>
      </c>
      <c r="B403" t="s">
        <v>63</v>
      </c>
      <c r="C403">
        <v>8</v>
      </c>
      <c r="D403" t="s">
        <v>3416</v>
      </c>
      <c r="E403">
        <v>57</v>
      </c>
      <c r="F403">
        <v>16</v>
      </c>
      <c r="G403">
        <v>41</v>
      </c>
      <c r="H403" t="s">
        <v>3493</v>
      </c>
      <c r="I403" t="s">
        <v>3490</v>
      </c>
      <c r="J403" t="s">
        <v>2932</v>
      </c>
    </row>
    <row r="404" spans="1:10" x14ac:dyDescent="0.25">
      <c r="A404" t="s">
        <v>636</v>
      </c>
      <c r="B404" t="s">
        <v>63</v>
      </c>
      <c r="C404">
        <v>8</v>
      </c>
      <c r="D404" t="s">
        <v>3418</v>
      </c>
      <c r="E404">
        <v>54</v>
      </c>
      <c r="F404">
        <v>19</v>
      </c>
      <c r="G404">
        <v>35</v>
      </c>
      <c r="H404" t="s">
        <v>3493</v>
      </c>
      <c r="I404" t="s">
        <v>3490</v>
      </c>
      <c r="J404" t="s">
        <v>2932</v>
      </c>
    </row>
    <row r="405" spans="1:10" x14ac:dyDescent="0.25">
      <c r="A405" t="s">
        <v>636</v>
      </c>
      <c r="B405" t="s">
        <v>63</v>
      </c>
      <c r="C405">
        <v>8</v>
      </c>
      <c r="D405" t="s">
        <v>3420</v>
      </c>
      <c r="E405">
        <v>87</v>
      </c>
      <c r="F405">
        <v>25</v>
      </c>
      <c r="G405">
        <v>62</v>
      </c>
      <c r="H405" t="s">
        <v>196</v>
      </c>
      <c r="I405" t="s">
        <v>3490</v>
      </c>
      <c r="J405" t="s">
        <v>2932</v>
      </c>
    </row>
    <row r="406" spans="1:10" x14ac:dyDescent="0.25">
      <c r="A406" t="s">
        <v>636</v>
      </c>
      <c r="B406" t="s">
        <v>63</v>
      </c>
      <c r="C406">
        <v>8</v>
      </c>
      <c r="D406" t="s">
        <v>3422</v>
      </c>
      <c r="E406">
        <v>94</v>
      </c>
      <c r="F406">
        <v>27</v>
      </c>
      <c r="G406">
        <v>67</v>
      </c>
      <c r="H406" t="s">
        <v>3495</v>
      </c>
      <c r="I406" t="s">
        <v>3490</v>
      </c>
      <c r="J406" t="s">
        <v>2932</v>
      </c>
    </row>
    <row r="407" spans="1:10" x14ac:dyDescent="0.25">
      <c r="A407" t="s">
        <v>643</v>
      </c>
      <c r="B407" t="s">
        <v>212</v>
      </c>
      <c r="C407">
        <v>8</v>
      </c>
      <c r="D407" t="s">
        <v>3474</v>
      </c>
      <c r="E407">
        <v>54</v>
      </c>
      <c r="F407">
        <v>26</v>
      </c>
      <c r="G407">
        <v>28</v>
      </c>
      <c r="H407" t="s">
        <v>3493</v>
      </c>
      <c r="I407" t="s">
        <v>3490</v>
      </c>
      <c r="J407" t="s">
        <v>3001</v>
      </c>
    </row>
    <row r="408" spans="1:10" x14ac:dyDescent="0.25">
      <c r="A408" t="s">
        <v>643</v>
      </c>
      <c r="B408" t="s">
        <v>212</v>
      </c>
      <c r="C408">
        <v>8</v>
      </c>
      <c r="D408" t="s">
        <v>3476</v>
      </c>
      <c r="E408">
        <v>45</v>
      </c>
      <c r="F408">
        <v>23</v>
      </c>
      <c r="G408">
        <v>22</v>
      </c>
      <c r="H408" t="s">
        <v>3491</v>
      </c>
      <c r="I408" t="s">
        <v>3492</v>
      </c>
      <c r="J408" t="s">
        <v>3001</v>
      </c>
    </row>
    <row r="409" spans="1:10" x14ac:dyDescent="0.25">
      <c r="A409" t="s">
        <v>643</v>
      </c>
      <c r="B409" t="s">
        <v>212</v>
      </c>
      <c r="C409">
        <v>8</v>
      </c>
      <c r="D409" t="s">
        <v>3478</v>
      </c>
      <c r="E409">
        <v>50</v>
      </c>
      <c r="F409">
        <v>16</v>
      </c>
      <c r="G409">
        <v>34</v>
      </c>
      <c r="H409" t="s">
        <v>3493</v>
      </c>
      <c r="I409" t="s">
        <v>3490</v>
      </c>
      <c r="J409" t="s">
        <v>3001</v>
      </c>
    </row>
    <row r="410" spans="1:10" x14ac:dyDescent="0.25">
      <c r="A410" t="s">
        <v>643</v>
      </c>
      <c r="B410" t="s">
        <v>212</v>
      </c>
      <c r="C410">
        <v>8</v>
      </c>
      <c r="D410" t="s">
        <v>3480</v>
      </c>
      <c r="E410">
        <v>73</v>
      </c>
      <c r="F410">
        <v>30</v>
      </c>
      <c r="G410">
        <v>43</v>
      </c>
      <c r="H410" t="s">
        <v>3494</v>
      </c>
      <c r="I410" t="s">
        <v>3490</v>
      </c>
      <c r="J410" t="s">
        <v>3001</v>
      </c>
    </row>
    <row r="411" spans="1:10" x14ac:dyDescent="0.25">
      <c r="A411" t="s">
        <v>643</v>
      </c>
      <c r="B411" t="s">
        <v>212</v>
      </c>
      <c r="C411">
        <v>8</v>
      </c>
      <c r="D411" t="s">
        <v>3482</v>
      </c>
      <c r="E411">
        <v>95</v>
      </c>
      <c r="F411">
        <v>29</v>
      </c>
      <c r="G411">
        <v>66</v>
      </c>
      <c r="H411" t="s">
        <v>3495</v>
      </c>
      <c r="I411" t="s">
        <v>3490</v>
      </c>
      <c r="J411" t="s">
        <v>3001</v>
      </c>
    </row>
    <row r="412" spans="1:10" x14ac:dyDescent="0.25">
      <c r="A412" t="s">
        <v>650</v>
      </c>
      <c r="B412" t="s">
        <v>159</v>
      </c>
      <c r="C412">
        <v>6</v>
      </c>
      <c r="D412" t="s">
        <v>3114</v>
      </c>
      <c r="E412">
        <v>36</v>
      </c>
      <c r="F412">
        <v>13</v>
      </c>
      <c r="G412">
        <v>23</v>
      </c>
      <c r="H412" t="s">
        <v>3491</v>
      </c>
      <c r="I412" t="s">
        <v>3492</v>
      </c>
      <c r="J412" t="s">
        <v>2902</v>
      </c>
    </row>
    <row r="413" spans="1:10" x14ac:dyDescent="0.25">
      <c r="A413" t="s">
        <v>650</v>
      </c>
      <c r="B413" t="s">
        <v>159</v>
      </c>
      <c r="C413">
        <v>6</v>
      </c>
      <c r="D413" t="s">
        <v>3116</v>
      </c>
      <c r="E413">
        <v>75</v>
      </c>
      <c r="F413">
        <v>13</v>
      </c>
      <c r="G413">
        <v>62</v>
      </c>
      <c r="H413" t="s">
        <v>3494</v>
      </c>
      <c r="I413" t="s">
        <v>3490</v>
      </c>
      <c r="J413" t="s">
        <v>2902</v>
      </c>
    </row>
    <row r="414" spans="1:10" x14ac:dyDescent="0.25">
      <c r="A414" t="s">
        <v>650</v>
      </c>
      <c r="B414" t="s">
        <v>159</v>
      </c>
      <c r="C414">
        <v>6</v>
      </c>
      <c r="D414" t="s">
        <v>3118</v>
      </c>
      <c r="E414">
        <v>69</v>
      </c>
      <c r="F414">
        <v>21</v>
      </c>
      <c r="G414">
        <v>48</v>
      </c>
      <c r="H414" t="s">
        <v>3489</v>
      </c>
      <c r="I414" t="s">
        <v>3490</v>
      </c>
      <c r="J414" t="s">
        <v>2902</v>
      </c>
    </row>
    <row r="415" spans="1:10" x14ac:dyDescent="0.25">
      <c r="A415" t="s">
        <v>650</v>
      </c>
      <c r="B415" t="s">
        <v>159</v>
      </c>
      <c r="C415">
        <v>6</v>
      </c>
      <c r="D415" t="s">
        <v>3120</v>
      </c>
      <c r="E415">
        <v>68</v>
      </c>
      <c r="F415">
        <v>10</v>
      </c>
      <c r="G415">
        <v>58</v>
      </c>
      <c r="H415" t="s">
        <v>3489</v>
      </c>
      <c r="I415" t="s">
        <v>3490</v>
      </c>
      <c r="J415" t="s">
        <v>2902</v>
      </c>
    </row>
    <row r="416" spans="1:10" x14ac:dyDescent="0.25">
      <c r="A416" t="s">
        <v>650</v>
      </c>
      <c r="B416" t="s">
        <v>159</v>
      </c>
      <c r="C416">
        <v>6</v>
      </c>
      <c r="D416" t="s">
        <v>3122</v>
      </c>
      <c r="E416">
        <v>63</v>
      </c>
      <c r="F416">
        <v>11</v>
      </c>
      <c r="G416">
        <v>52</v>
      </c>
      <c r="H416" t="s">
        <v>3489</v>
      </c>
      <c r="I416" t="s">
        <v>3490</v>
      </c>
      <c r="J416" t="s">
        <v>2902</v>
      </c>
    </row>
    <row r="417" spans="1:10" x14ac:dyDescent="0.25">
      <c r="A417" t="s">
        <v>657</v>
      </c>
      <c r="B417" t="s">
        <v>105</v>
      </c>
      <c r="C417">
        <v>8</v>
      </c>
      <c r="D417" t="s">
        <v>3174</v>
      </c>
      <c r="E417">
        <v>77</v>
      </c>
      <c r="F417">
        <v>21</v>
      </c>
      <c r="G417">
        <v>56</v>
      </c>
      <c r="H417" t="s">
        <v>3494</v>
      </c>
      <c r="I417" t="s">
        <v>3490</v>
      </c>
      <c r="J417" t="s">
        <v>2908</v>
      </c>
    </row>
    <row r="418" spans="1:10" x14ac:dyDescent="0.25">
      <c r="A418" t="s">
        <v>657</v>
      </c>
      <c r="B418" t="s">
        <v>105</v>
      </c>
      <c r="C418">
        <v>8</v>
      </c>
      <c r="D418" t="s">
        <v>3176</v>
      </c>
      <c r="E418">
        <v>93</v>
      </c>
      <c r="F418">
        <v>28</v>
      </c>
      <c r="G418">
        <v>65</v>
      </c>
      <c r="H418" t="s">
        <v>3495</v>
      </c>
      <c r="I418" t="s">
        <v>3490</v>
      </c>
      <c r="J418" t="s">
        <v>2908</v>
      </c>
    </row>
    <row r="419" spans="1:10" x14ac:dyDescent="0.25">
      <c r="A419" t="s">
        <v>657</v>
      </c>
      <c r="B419" t="s">
        <v>105</v>
      </c>
      <c r="C419">
        <v>8</v>
      </c>
      <c r="D419" t="s">
        <v>3178</v>
      </c>
      <c r="E419">
        <v>50</v>
      </c>
      <c r="F419">
        <v>12</v>
      </c>
      <c r="G419">
        <v>38</v>
      </c>
      <c r="H419" t="s">
        <v>3493</v>
      </c>
      <c r="I419" t="s">
        <v>3490</v>
      </c>
      <c r="J419" t="s">
        <v>2908</v>
      </c>
    </row>
    <row r="420" spans="1:10" x14ac:dyDescent="0.25">
      <c r="A420" t="s">
        <v>657</v>
      </c>
      <c r="B420" t="s">
        <v>105</v>
      </c>
      <c r="C420">
        <v>8</v>
      </c>
      <c r="D420" t="s">
        <v>3180</v>
      </c>
      <c r="E420">
        <v>75</v>
      </c>
      <c r="F420">
        <v>19</v>
      </c>
      <c r="G420">
        <v>56</v>
      </c>
      <c r="H420" t="s">
        <v>3494</v>
      </c>
      <c r="I420" t="s">
        <v>3490</v>
      </c>
      <c r="J420" t="s">
        <v>2908</v>
      </c>
    </row>
    <row r="421" spans="1:10" x14ac:dyDescent="0.25">
      <c r="A421" t="s">
        <v>657</v>
      </c>
      <c r="B421" t="s">
        <v>105</v>
      </c>
      <c r="C421">
        <v>8</v>
      </c>
      <c r="D421" t="s">
        <v>3182</v>
      </c>
      <c r="E421">
        <v>36</v>
      </c>
      <c r="F421">
        <v>15</v>
      </c>
      <c r="G421">
        <v>21</v>
      </c>
      <c r="H421" t="s">
        <v>3491</v>
      </c>
      <c r="I421" t="s">
        <v>3492</v>
      </c>
      <c r="J421" t="s">
        <v>2908</v>
      </c>
    </row>
    <row r="422" spans="1:10" x14ac:dyDescent="0.25">
      <c r="A422" t="s">
        <v>664</v>
      </c>
      <c r="B422" t="s">
        <v>95</v>
      </c>
      <c r="C422">
        <v>4</v>
      </c>
      <c r="D422" t="s">
        <v>3214</v>
      </c>
      <c r="E422">
        <v>60</v>
      </c>
      <c r="F422">
        <v>24</v>
      </c>
      <c r="G422">
        <v>36</v>
      </c>
      <c r="H422" t="s">
        <v>3489</v>
      </c>
      <c r="I422" t="s">
        <v>3490</v>
      </c>
      <c r="J422" t="s">
        <v>2889</v>
      </c>
    </row>
    <row r="423" spans="1:10" x14ac:dyDescent="0.25">
      <c r="A423" t="s">
        <v>664</v>
      </c>
      <c r="B423" t="s">
        <v>95</v>
      </c>
      <c r="C423">
        <v>4</v>
      </c>
      <c r="D423" t="s">
        <v>3216</v>
      </c>
      <c r="E423">
        <v>58</v>
      </c>
      <c r="F423">
        <v>28</v>
      </c>
      <c r="G423">
        <v>30</v>
      </c>
      <c r="H423" t="s">
        <v>3493</v>
      </c>
      <c r="I423" t="s">
        <v>3490</v>
      </c>
      <c r="J423" t="s">
        <v>2889</v>
      </c>
    </row>
    <row r="424" spans="1:10" x14ac:dyDescent="0.25">
      <c r="A424" t="s">
        <v>664</v>
      </c>
      <c r="B424" t="s">
        <v>95</v>
      </c>
      <c r="C424">
        <v>4</v>
      </c>
      <c r="D424" t="s">
        <v>3218</v>
      </c>
      <c r="E424">
        <v>90</v>
      </c>
      <c r="F424">
        <v>22</v>
      </c>
      <c r="G424">
        <v>68</v>
      </c>
      <c r="H424" t="s">
        <v>3495</v>
      </c>
      <c r="I424" t="s">
        <v>3490</v>
      </c>
      <c r="J424" t="s">
        <v>2889</v>
      </c>
    </row>
    <row r="425" spans="1:10" x14ac:dyDescent="0.25">
      <c r="A425" t="s">
        <v>664</v>
      </c>
      <c r="B425" t="s">
        <v>95</v>
      </c>
      <c r="C425">
        <v>4</v>
      </c>
      <c r="D425" t="s">
        <v>3220</v>
      </c>
      <c r="E425">
        <v>94</v>
      </c>
      <c r="F425">
        <v>29</v>
      </c>
      <c r="G425">
        <v>65</v>
      </c>
      <c r="H425" t="s">
        <v>3495</v>
      </c>
      <c r="I425" t="s">
        <v>3490</v>
      </c>
      <c r="J425" t="s">
        <v>2889</v>
      </c>
    </row>
    <row r="426" spans="1:10" x14ac:dyDescent="0.25">
      <c r="A426" t="s">
        <v>664</v>
      </c>
      <c r="B426" t="s">
        <v>95</v>
      </c>
      <c r="C426">
        <v>4</v>
      </c>
      <c r="D426" t="s">
        <v>3222</v>
      </c>
      <c r="E426">
        <v>87</v>
      </c>
      <c r="F426">
        <v>28</v>
      </c>
      <c r="G426">
        <v>59</v>
      </c>
      <c r="H426" t="s">
        <v>196</v>
      </c>
      <c r="I426" t="s">
        <v>3490</v>
      </c>
      <c r="J426" t="s">
        <v>2889</v>
      </c>
    </row>
    <row r="427" spans="1:10" x14ac:dyDescent="0.25">
      <c r="A427" t="s">
        <v>670</v>
      </c>
      <c r="B427" t="s">
        <v>63</v>
      </c>
      <c r="C427">
        <v>8</v>
      </c>
      <c r="D427" t="s">
        <v>3414</v>
      </c>
      <c r="E427">
        <v>76</v>
      </c>
      <c r="F427">
        <v>30</v>
      </c>
      <c r="G427">
        <v>46</v>
      </c>
      <c r="H427" t="s">
        <v>3494</v>
      </c>
      <c r="I427" t="s">
        <v>3490</v>
      </c>
      <c r="J427" t="s">
        <v>2932</v>
      </c>
    </row>
    <row r="428" spans="1:10" x14ac:dyDescent="0.25">
      <c r="A428" t="s">
        <v>670</v>
      </c>
      <c r="B428" t="s">
        <v>63</v>
      </c>
      <c r="C428">
        <v>8</v>
      </c>
      <c r="D428" t="s">
        <v>3416</v>
      </c>
      <c r="E428">
        <v>85</v>
      </c>
      <c r="F428">
        <v>29</v>
      </c>
      <c r="G428">
        <v>56</v>
      </c>
      <c r="H428" t="s">
        <v>196</v>
      </c>
      <c r="I428" t="s">
        <v>3490</v>
      </c>
      <c r="J428" t="s">
        <v>2932</v>
      </c>
    </row>
    <row r="429" spans="1:10" x14ac:dyDescent="0.25">
      <c r="A429" t="s">
        <v>670</v>
      </c>
      <c r="B429" t="s">
        <v>63</v>
      </c>
      <c r="C429">
        <v>8</v>
      </c>
      <c r="D429" t="s">
        <v>3418</v>
      </c>
      <c r="E429">
        <v>91</v>
      </c>
      <c r="F429">
        <v>22</v>
      </c>
      <c r="G429">
        <v>69</v>
      </c>
      <c r="H429" t="s">
        <v>3495</v>
      </c>
      <c r="I429" t="s">
        <v>3490</v>
      </c>
      <c r="J429" t="s">
        <v>2932</v>
      </c>
    </row>
    <row r="430" spans="1:10" x14ac:dyDescent="0.25">
      <c r="A430" t="s">
        <v>670</v>
      </c>
      <c r="B430" t="s">
        <v>63</v>
      </c>
      <c r="C430">
        <v>8</v>
      </c>
      <c r="D430" t="s">
        <v>3420</v>
      </c>
      <c r="E430">
        <v>74</v>
      </c>
      <c r="F430">
        <v>19</v>
      </c>
      <c r="G430">
        <v>55</v>
      </c>
      <c r="H430" t="s">
        <v>3494</v>
      </c>
      <c r="I430" t="s">
        <v>3490</v>
      </c>
      <c r="J430" t="s">
        <v>2932</v>
      </c>
    </row>
    <row r="431" spans="1:10" x14ac:dyDescent="0.25">
      <c r="A431" t="s">
        <v>670</v>
      </c>
      <c r="B431" t="s">
        <v>63</v>
      </c>
      <c r="C431">
        <v>8</v>
      </c>
      <c r="D431" t="s">
        <v>3422</v>
      </c>
      <c r="E431">
        <v>88</v>
      </c>
      <c r="F431">
        <v>30</v>
      </c>
      <c r="G431">
        <v>58</v>
      </c>
      <c r="H431" t="s">
        <v>196</v>
      </c>
      <c r="I431" t="s">
        <v>3490</v>
      </c>
      <c r="J431" t="s">
        <v>2932</v>
      </c>
    </row>
    <row r="432" spans="1:10" x14ac:dyDescent="0.25">
      <c r="A432" t="s">
        <v>677</v>
      </c>
      <c r="B432" t="s">
        <v>212</v>
      </c>
      <c r="C432">
        <v>6</v>
      </c>
      <c r="D432" t="s">
        <v>3474</v>
      </c>
      <c r="E432">
        <v>96</v>
      </c>
      <c r="F432">
        <v>29</v>
      </c>
      <c r="G432">
        <v>67</v>
      </c>
      <c r="H432" t="s">
        <v>3495</v>
      </c>
      <c r="I432" t="s">
        <v>3490</v>
      </c>
      <c r="J432" t="s">
        <v>3001</v>
      </c>
    </row>
    <row r="433" spans="1:10" x14ac:dyDescent="0.25">
      <c r="A433" t="s">
        <v>677</v>
      </c>
      <c r="B433" t="s">
        <v>212</v>
      </c>
      <c r="C433">
        <v>6</v>
      </c>
      <c r="D433" t="s">
        <v>3476</v>
      </c>
      <c r="E433">
        <v>49</v>
      </c>
      <c r="F433">
        <v>24</v>
      </c>
      <c r="G433">
        <v>25</v>
      </c>
      <c r="H433" t="s">
        <v>3491</v>
      </c>
      <c r="I433" t="s">
        <v>3492</v>
      </c>
      <c r="J433" t="s">
        <v>3001</v>
      </c>
    </row>
    <row r="434" spans="1:10" x14ac:dyDescent="0.25">
      <c r="A434" t="s">
        <v>677</v>
      </c>
      <c r="B434" t="s">
        <v>212</v>
      </c>
      <c r="C434">
        <v>6</v>
      </c>
      <c r="D434" t="s">
        <v>3478</v>
      </c>
      <c r="E434">
        <v>64</v>
      </c>
      <c r="F434">
        <v>26</v>
      </c>
      <c r="G434">
        <v>38</v>
      </c>
      <c r="H434" t="s">
        <v>3489</v>
      </c>
      <c r="I434" t="s">
        <v>3490</v>
      </c>
      <c r="J434" t="s">
        <v>3001</v>
      </c>
    </row>
    <row r="435" spans="1:10" x14ac:dyDescent="0.25">
      <c r="A435" t="s">
        <v>677</v>
      </c>
      <c r="B435" t="s">
        <v>212</v>
      </c>
      <c r="C435">
        <v>6</v>
      </c>
      <c r="D435" t="s">
        <v>3480</v>
      </c>
      <c r="E435">
        <v>68</v>
      </c>
      <c r="F435">
        <v>14</v>
      </c>
      <c r="G435">
        <v>54</v>
      </c>
      <c r="H435" t="s">
        <v>3489</v>
      </c>
      <c r="I435" t="s">
        <v>3490</v>
      </c>
      <c r="J435" t="s">
        <v>3001</v>
      </c>
    </row>
    <row r="436" spans="1:10" x14ac:dyDescent="0.25">
      <c r="A436" t="s">
        <v>677</v>
      </c>
      <c r="B436" t="s">
        <v>212</v>
      </c>
      <c r="C436">
        <v>6</v>
      </c>
      <c r="D436" t="s">
        <v>3482</v>
      </c>
      <c r="E436">
        <v>78</v>
      </c>
      <c r="F436">
        <v>21</v>
      </c>
      <c r="G436">
        <v>57</v>
      </c>
      <c r="H436" t="s">
        <v>3494</v>
      </c>
      <c r="I436" t="s">
        <v>3490</v>
      </c>
      <c r="J436" t="s">
        <v>3001</v>
      </c>
    </row>
    <row r="437" spans="1:10" x14ac:dyDescent="0.25">
      <c r="A437" t="s">
        <v>684</v>
      </c>
      <c r="B437" t="s">
        <v>30</v>
      </c>
      <c r="C437">
        <v>4</v>
      </c>
      <c r="D437" t="s">
        <v>3334</v>
      </c>
      <c r="E437">
        <v>82</v>
      </c>
      <c r="F437">
        <v>22</v>
      </c>
      <c r="G437">
        <v>60</v>
      </c>
      <c r="H437" t="s">
        <v>196</v>
      </c>
      <c r="I437" t="s">
        <v>3490</v>
      </c>
      <c r="J437" t="s">
        <v>2895</v>
      </c>
    </row>
    <row r="438" spans="1:10" x14ac:dyDescent="0.25">
      <c r="A438" t="s">
        <v>684</v>
      </c>
      <c r="B438" t="s">
        <v>30</v>
      </c>
      <c r="C438">
        <v>4</v>
      </c>
      <c r="D438" t="s">
        <v>3336</v>
      </c>
      <c r="E438">
        <v>63</v>
      </c>
      <c r="F438">
        <v>28</v>
      </c>
      <c r="G438">
        <v>35</v>
      </c>
      <c r="H438" t="s">
        <v>3489</v>
      </c>
      <c r="I438" t="s">
        <v>3490</v>
      </c>
      <c r="J438" t="s">
        <v>2895</v>
      </c>
    </row>
    <row r="439" spans="1:10" x14ac:dyDescent="0.25">
      <c r="A439" t="s">
        <v>684</v>
      </c>
      <c r="B439" t="s">
        <v>30</v>
      </c>
      <c r="C439">
        <v>4</v>
      </c>
      <c r="D439" t="s">
        <v>3338</v>
      </c>
      <c r="E439">
        <v>55</v>
      </c>
      <c r="F439">
        <v>14</v>
      </c>
      <c r="G439">
        <v>41</v>
      </c>
      <c r="H439" t="s">
        <v>3493</v>
      </c>
      <c r="I439" t="s">
        <v>3490</v>
      </c>
      <c r="J439" t="s">
        <v>2895</v>
      </c>
    </row>
    <row r="440" spans="1:10" x14ac:dyDescent="0.25">
      <c r="A440" t="s">
        <v>684</v>
      </c>
      <c r="B440" t="s">
        <v>30</v>
      </c>
      <c r="C440">
        <v>4</v>
      </c>
      <c r="D440" t="s">
        <v>3340</v>
      </c>
      <c r="E440">
        <v>54</v>
      </c>
      <c r="F440">
        <v>28</v>
      </c>
      <c r="G440">
        <v>26</v>
      </c>
      <c r="H440" t="s">
        <v>3493</v>
      </c>
      <c r="I440" t="s">
        <v>3490</v>
      </c>
      <c r="J440" t="s">
        <v>2895</v>
      </c>
    </row>
    <row r="441" spans="1:10" x14ac:dyDescent="0.25">
      <c r="A441" t="s">
        <v>684</v>
      </c>
      <c r="B441" t="s">
        <v>30</v>
      </c>
      <c r="C441">
        <v>4</v>
      </c>
      <c r="D441" t="s">
        <v>3342</v>
      </c>
      <c r="E441">
        <v>40</v>
      </c>
      <c r="F441">
        <v>19</v>
      </c>
      <c r="G441">
        <v>21</v>
      </c>
      <c r="H441" t="s">
        <v>3491</v>
      </c>
      <c r="I441" t="s">
        <v>3492</v>
      </c>
      <c r="J441" t="s">
        <v>2895</v>
      </c>
    </row>
    <row r="442" spans="1:10" x14ac:dyDescent="0.25">
      <c r="A442" t="s">
        <v>691</v>
      </c>
      <c r="B442" t="s">
        <v>30</v>
      </c>
      <c r="C442">
        <v>8</v>
      </c>
      <c r="D442" t="s">
        <v>3354</v>
      </c>
      <c r="E442">
        <v>65</v>
      </c>
      <c r="F442">
        <v>26</v>
      </c>
      <c r="G442">
        <v>39</v>
      </c>
      <c r="H442" t="s">
        <v>3489</v>
      </c>
      <c r="I442" t="s">
        <v>3490</v>
      </c>
      <c r="J442" t="s">
        <v>2895</v>
      </c>
    </row>
    <row r="443" spans="1:10" x14ac:dyDescent="0.25">
      <c r="A443" t="s">
        <v>691</v>
      </c>
      <c r="B443" t="s">
        <v>30</v>
      </c>
      <c r="C443">
        <v>8</v>
      </c>
      <c r="D443" t="s">
        <v>3356</v>
      </c>
      <c r="E443">
        <v>87</v>
      </c>
      <c r="F443">
        <v>28</v>
      </c>
      <c r="G443">
        <v>59</v>
      </c>
      <c r="H443" t="s">
        <v>196</v>
      </c>
      <c r="I443" t="s">
        <v>3490</v>
      </c>
      <c r="J443" t="s">
        <v>2895</v>
      </c>
    </row>
    <row r="444" spans="1:10" x14ac:dyDescent="0.25">
      <c r="A444" t="s">
        <v>691</v>
      </c>
      <c r="B444" t="s">
        <v>30</v>
      </c>
      <c r="C444">
        <v>8</v>
      </c>
      <c r="D444" t="s">
        <v>3358</v>
      </c>
      <c r="E444">
        <v>47</v>
      </c>
      <c r="F444">
        <v>16</v>
      </c>
      <c r="G444">
        <v>31</v>
      </c>
      <c r="H444" t="s">
        <v>3491</v>
      </c>
      <c r="I444" t="s">
        <v>3492</v>
      </c>
      <c r="J444" t="s">
        <v>2895</v>
      </c>
    </row>
    <row r="445" spans="1:10" x14ac:dyDescent="0.25">
      <c r="A445" t="s">
        <v>691</v>
      </c>
      <c r="B445" t="s">
        <v>30</v>
      </c>
      <c r="C445">
        <v>8</v>
      </c>
      <c r="D445" t="s">
        <v>3360</v>
      </c>
      <c r="E445">
        <v>42</v>
      </c>
      <c r="F445">
        <v>16</v>
      </c>
      <c r="G445">
        <v>26</v>
      </c>
      <c r="H445" t="s">
        <v>3491</v>
      </c>
      <c r="I445" t="s">
        <v>3492</v>
      </c>
      <c r="J445" t="s">
        <v>2895</v>
      </c>
    </row>
    <row r="446" spans="1:10" x14ac:dyDescent="0.25">
      <c r="A446" t="s">
        <v>691</v>
      </c>
      <c r="B446" t="s">
        <v>30</v>
      </c>
      <c r="C446">
        <v>8</v>
      </c>
      <c r="D446" t="s">
        <v>3362</v>
      </c>
      <c r="E446">
        <v>84</v>
      </c>
      <c r="F446">
        <v>15</v>
      </c>
      <c r="G446">
        <v>69</v>
      </c>
      <c r="H446" t="s">
        <v>196</v>
      </c>
      <c r="I446" t="s">
        <v>3490</v>
      </c>
      <c r="J446" t="s">
        <v>2895</v>
      </c>
    </row>
    <row r="447" spans="1:10" x14ac:dyDescent="0.25">
      <c r="A447" t="s">
        <v>698</v>
      </c>
      <c r="B447" t="s">
        <v>63</v>
      </c>
      <c r="C447">
        <v>8</v>
      </c>
      <c r="D447" t="s">
        <v>3414</v>
      </c>
      <c r="E447">
        <v>55</v>
      </c>
      <c r="F447">
        <v>17</v>
      </c>
      <c r="G447">
        <v>38</v>
      </c>
      <c r="H447" t="s">
        <v>3493</v>
      </c>
      <c r="I447" t="s">
        <v>3490</v>
      </c>
      <c r="J447" t="s">
        <v>2932</v>
      </c>
    </row>
    <row r="448" spans="1:10" x14ac:dyDescent="0.25">
      <c r="A448" t="s">
        <v>698</v>
      </c>
      <c r="B448" t="s">
        <v>63</v>
      </c>
      <c r="C448">
        <v>8</v>
      </c>
      <c r="D448" t="s">
        <v>3416</v>
      </c>
      <c r="E448">
        <v>83</v>
      </c>
      <c r="F448">
        <v>14</v>
      </c>
      <c r="G448">
        <v>69</v>
      </c>
      <c r="H448" t="s">
        <v>196</v>
      </c>
      <c r="I448" t="s">
        <v>3490</v>
      </c>
      <c r="J448" t="s">
        <v>2932</v>
      </c>
    </row>
    <row r="449" spans="1:10" x14ac:dyDescent="0.25">
      <c r="A449" t="s">
        <v>698</v>
      </c>
      <c r="B449" t="s">
        <v>63</v>
      </c>
      <c r="C449">
        <v>8</v>
      </c>
      <c r="D449" t="s">
        <v>3418</v>
      </c>
      <c r="E449">
        <v>68</v>
      </c>
      <c r="F449">
        <v>23</v>
      </c>
      <c r="G449">
        <v>45</v>
      </c>
      <c r="H449" t="s">
        <v>3489</v>
      </c>
      <c r="I449" t="s">
        <v>3490</v>
      </c>
      <c r="J449" t="s">
        <v>2932</v>
      </c>
    </row>
    <row r="450" spans="1:10" x14ac:dyDescent="0.25">
      <c r="A450" t="s">
        <v>698</v>
      </c>
      <c r="B450" t="s">
        <v>63</v>
      </c>
      <c r="C450">
        <v>8</v>
      </c>
      <c r="D450" t="s">
        <v>3420</v>
      </c>
      <c r="E450">
        <v>83</v>
      </c>
      <c r="F450">
        <v>28</v>
      </c>
      <c r="G450">
        <v>55</v>
      </c>
      <c r="H450" t="s">
        <v>196</v>
      </c>
      <c r="I450" t="s">
        <v>3490</v>
      </c>
      <c r="J450" t="s">
        <v>2932</v>
      </c>
    </row>
    <row r="451" spans="1:10" x14ac:dyDescent="0.25">
      <c r="A451" t="s">
        <v>698</v>
      </c>
      <c r="B451" t="s">
        <v>63</v>
      </c>
      <c r="C451">
        <v>8</v>
      </c>
      <c r="D451" t="s">
        <v>3422</v>
      </c>
      <c r="E451">
        <v>57</v>
      </c>
      <c r="F451">
        <v>11</v>
      </c>
      <c r="G451">
        <v>46</v>
      </c>
      <c r="H451" t="s">
        <v>3493</v>
      </c>
      <c r="I451" t="s">
        <v>3490</v>
      </c>
      <c r="J451" t="s">
        <v>2932</v>
      </c>
    </row>
    <row r="452" spans="1:10" x14ac:dyDescent="0.25">
      <c r="A452" t="s">
        <v>705</v>
      </c>
      <c r="B452" t="s">
        <v>122</v>
      </c>
      <c r="C452">
        <v>8</v>
      </c>
      <c r="D452" t="s">
        <v>3294</v>
      </c>
      <c r="E452">
        <v>93</v>
      </c>
      <c r="F452">
        <v>29</v>
      </c>
      <c r="G452">
        <v>64</v>
      </c>
      <c r="H452" t="s">
        <v>3495</v>
      </c>
      <c r="I452" t="s">
        <v>3490</v>
      </c>
      <c r="J452" t="s">
        <v>2919</v>
      </c>
    </row>
    <row r="453" spans="1:10" x14ac:dyDescent="0.25">
      <c r="A453" t="s">
        <v>705</v>
      </c>
      <c r="B453" t="s">
        <v>122</v>
      </c>
      <c r="C453">
        <v>8</v>
      </c>
      <c r="D453" t="s">
        <v>3296</v>
      </c>
      <c r="E453">
        <v>65</v>
      </c>
      <c r="F453">
        <v>10</v>
      </c>
      <c r="G453">
        <v>55</v>
      </c>
      <c r="H453" t="s">
        <v>3489</v>
      </c>
      <c r="I453" t="s">
        <v>3490</v>
      </c>
      <c r="J453" t="s">
        <v>2919</v>
      </c>
    </row>
    <row r="454" spans="1:10" x14ac:dyDescent="0.25">
      <c r="A454" t="s">
        <v>705</v>
      </c>
      <c r="B454" t="s">
        <v>122</v>
      </c>
      <c r="C454">
        <v>8</v>
      </c>
      <c r="D454" t="s">
        <v>3298</v>
      </c>
      <c r="E454">
        <v>54</v>
      </c>
      <c r="F454">
        <v>25</v>
      </c>
      <c r="G454">
        <v>29</v>
      </c>
      <c r="H454" t="s">
        <v>3493</v>
      </c>
      <c r="I454" t="s">
        <v>3490</v>
      </c>
      <c r="J454" t="s">
        <v>2919</v>
      </c>
    </row>
    <row r="455" spans="1:10" x14ac:dyDescent="0.25">
      <c r="A455" t="s">
        <v>705</v>
      </c>
      <c r="B455" t="s">
        <v>122</v>
      </c>
      <c r="C455">
        <v>8</v>
      </c>
      <c r="D455" t="s">
        <v>3300</v>
      </c>
      <c r="E455">
        <v>82</v>
      </c>
      <c r="F455">
        <v>22</v>
      </c>
      <c r="G455">
        <v>60</v>
      </c>
      <c r="H455" t="s">
        <v>196</v>
      </c>
      <c r="I455" t="s">
        <v>3490</v>
      </c>
      <c r="J455" t="s">
        <v>2919</v>
      </c>
    </row>
    <row r="456" spans="1:10" x14ac:dyDescent="0.25">
      <c r="A456" t="s">
        <v>705</v>
      </c>
      <c r="B456" t="s">
        <v>122</v>
      </c>
      <c r="C456">
        <v>8</v>
      </c>
      <c r="D456" t="s">
        <v>3302</v>
      </c>
      <c r="E456">
        <v>62</v>
      </c>
      <c r="F456">
        <v>13</v>
      </c>
      <c r="G456">
        <v>49</v>
      </c>
      <c r="H456" t="s">
        <v>3489</v>
      </c>
      <c r="I456" t="s">
        <v>3490</v>
      </c>
      <c r="J456" t="s">
        <v>2919</v>
      </c>
    </row>
    <row r="457" spans="1:10" x14ac:dyDescent="0.25">
      <c r="A457" t="s">
        <v>711</v>
      </c>
      <c r="B457" t="s">
        <v>159</v>
      </c>
      <c r="C457">
        <v>8</v>
      </c>
      <c r="D457" t="s">
        <v>3114</v>
      </c>
      <c r="E457">
        <v>44</v>
      </c>
      <c r="F457">
        <v>23</v>
      </c>
      <c r="G457">
        <v>21</v>
      </c>
      <c r="H457" t="s">
        <v>3491</v>
      </c>
      <c r="I457" t="s">
        <v>3492</v>
      </c>
      <c r="J457" t="s">
        <v>2902</v>
      </c>
    </row>
    <row r="458" spans="1:10" x14ac:dyDescent="0.25">
      <c r="A458" t="s">
        <v>711</v>
      </c>
      <c r="B458" t="s">
        <v>159</v>
      </c>
      <c r="C458">
        <v>8</v>
      </c>
      <c r="D458" t="s">
        <v>3116</v>
      </c>
      <c r="E458">
        <v>78</v>
      </c>
      <c r="F458">
        <v>30</v>
      </c>
      <c r="G458">
        <v>48</v>
      </c>
      <c r="H458" t="s">
        <v>3494</v>
      </c>
      <c r="I458" t="s">
        <v>3490</v>
      </c>
      <c r="J458" t="s">
        <v>2902</v>
      </c>
    </row>
    <row r="459" spans="1:10" x14ac:dyDescent="0.25">
      <c r="A459" t="s">
        <v>711</v>
      </c>
      <c r="B459" t="s">
        <v>159</v>
      </c>
      <c r="C459">
        <v>8</v>
      </c>
      <c r="D459" t="s">
        <v>3118</v>
      </c>
      <c r="E459">
        <v>82</v>
      </c>
      <c r="F459">
        <v>15</v>
      </c>
      <c r="G459">
        <v>67</v>
      </c>
      <c r="H459" t="s">
        <v>196</v>
      </c>
      <c r="I459" t="s">
        <v>3490</v>
      </c>
      <c r="J459" t="s">
        <v>2902</v>
      </c>
    </row>
    <row r="460" spans="1:10" x14ac:dyDescent="0.25">
      <c r="A460" t="s">
        <v>711</v>
      </c>
      <c r="B460" t="s">
        <v>159</v>
      </c>
      <c r="C460">
        <v>8</v>
      </c>
      <c r="D460" t="s">
        <v>3120</v>
      </c>
      <c r="E460">
        <v>55</v>
      </c>
      <c r="F460">
        <v>16</v>
      </c>
      <c r="G460">
        <v>39</v>
      </c>
      <c r="H460" t="s">
        <v>3493</v>
      </c>
      <c r="I460" t="s">
        <v>3490</v>
      </c>
      <c r="J460" t="s">
        <v>2902</v>
      </c>
    </row>
    <row r="461" spans="1:10" x14ac:dyDescent="0.25">
      <c r="A461" t="s">
        <v>711</v>
      </c>
      <c r="B461" t="s">
        <v>159</v>
      </c>
      <c r="C461">
        <v>8</v>
      </c>
      <c r="D461" t="s">
        <v>3122</v>
      </c>
      <c r="E461">
        <v>93</v>
      </c>
      <c r="F461">
        <v>27</v>
      </c>
      <c r="G461">
        <v>66</v>
      </c>
      <c r="H461" t="s">
        <v>3495</v>
      </c>
      <c r="I461" t="s">
        <v>3490</v>
      </c>
      <c r="J461" t="s">
        <v>2902</v>
      </c>
    </row>
    <row r="462" spans="1:10" x14ac:dyDescent="0.25">
      <c r="A462" t="s">
        <v>717</v>
      </c>
      <c r="B462" t="s">
        <v>30</v>
      </c>
      <c r="C462">
        <v>8</v>
      </c>
      <c r="D462" t="s">
        <v>3354</v>
      </c>
      <c r="E462">
        <v>70</v>
      </c>
      <c r="F462">
        <v>17</v>
      </c>
      <c r="G462">
        <v>53</v>
      </c>
      <c r="H462" t="s">
        <v>3494</v>
      </c>
      <c r="I462" t="s">
        <v>3490</v>
      </c>
      <c r="J462" t="s">
        <v>2895</v>
      </c>
    </row>
    <row r="463" spans="1:10" x14ac:dyDescent="0.25">
      <c r="A463" t="s">
        <v>717</v>
      </c>
      <c r="B463" t="s">
        <v>30</v>
      </c>
      <c r="C463">
        <v>8</v>
      </c>
      <c r="D463" t="s">
        <v>3356</v>
      </c>
      <c r="E463">
        <v>63</v>
      </c>
      <c r="F463">
        <v>29</v>
      </c>
      <c r="G463">
        <v>34</v>
      </c>
      <c r="H463" t="s">
        <v>3489</v>
      </c>
      <c r="I463" t="s">
        <v>3490</v>
      </c>
      <c r="J463" t="s">
        <v>2895</v>
      </c>
    </row>
    <row r="464" spans="1:10" x14ac:dyDescent="0.25">
      <c r="A464" t="s">
        <v>717</v>
      </c>
      <c r="B464" t="s">
        <v>30</v>
      </c>
      <c r="C464">
        <v>8</v>
      </c>
      <c r="D464" t="s">
        <v>3358</v>
      </c>
      <c r="E464">
        <v>82</v>
      </c>
      <c r="F464">
        <v>20</v>
      </c>
      <c r="G464">
        <v>62</v>
      </c>
      <c r="H464" t="s">
        <v>196</v>
      </c>
      <c r="I464" t="s">
        <v>3490</v>
      </c>
      <c r="J464" t="s">
        <v>2895</v>
      </c>
    </row>
    <row r="465" spans="1:10" x14ac:dyDescent="0.25">
      <c r="A465" t="s">
        <v>717</v>
      </c>
      <c r="B465" t="s">
        <v>30</v>
      </c>
      <c r="C465">
        <v>8</v>
      </c>
      <c r="D465" t="s">
        <v>3360</v>
      </c>
      <c r="E465">
        <v>72</v>
      </c>
      <c r="F465">
        <v>29</v>
      </c>
      <c r="G465">
        <v>43</v>
      </c>
      <c r="H465" t="s">
        <v>3494</v>
      </c>
      <c r="I465" t="s">
        <v>3490</v>
      </c>
      <c r="J465" t="s">
        <v>2895</v>
      </c>
    </row>
    <row r="466" spans="1:10" x14ac:dyDescent="0.25">
      <c r="A466" t="s">
        <v>717</v>
      </c>
      <c r="B466" t="s">
        <v>30</v>
      </c>
      <c r="C466">
        <v>8</v>
      </c>
      <c r="D466" t="s">
        <v>3362</v>
      </c>
      <c r="E466">
        <v>65</v>
      </c>
      <c r="F466">
        <v>30</v>
      </c>
      <c r="G466">
        <v>35</v>
      </c>
      <c r="H466" t="s">
        <v>3489</v>
      </c>
      <c r="I466" t="s">
        <v>3490</v>
      </c>
      <c r="J466" t="s">
        <v>2895</v>
      </c>
    </row>
    <row r="467" spans="1:10" x14ac:dyDescent="0.25">
      <c r="A467" t="s">
        <v>723</v>
      </c>
      <c r="B467" t="s">
        <v>122</v>
      </c>
      <c r="C467">
        <v>8</v>
      </c>
      <c r="D467" t="s">
        <v>3294</v>
      </c>
      <c r="E467">
        <v>54</v>
      </c>
      <c r="F467">
        <v>26</v>
      </c>
      <c r="G467">
        <v>28</v>
      </c>
      <c r="H467" t="s">
        <v>3493</v>
      </c>
      <c r="I467" t="s">
        <v>3490</v>
      </c>
      <c r="J467" t="s">
        <v>2919</v>
      </c>
    </row>
    <row r="468" spans="1:10" x14ac:dyDescent="0.25">
      <c r="A468" t="s">
        <v>723</v>
      </c>
      <c r="B468" t="s">
        <v>122</v>
      </c>
      <c r="C468">
        <v>8</v>
      </c>
      <c r="D468" t="s">
        <v>3296</v>
      </c>
      <c r="E468">
        <v>95</v>
      </c>
      <c r="F468">
        <v>27</v>
      </c>
      <c r="G468">
        <v>68</v>
      </c>
      <c r="H468" t="s">
        <v>3495</v>
      </c>
      <c r="I468" t="s">
        <v>3490</v>
      </c>
      <c r="J468" t="s">
        <v>2919</v>
      </c>
    </row>
    <row r="469" spans="1:10" x14ac:dyDescent="0.25">
      <c r="A469" t="s">
        <v>723</v>
      </c>
      <c r="B469" t="s">
        <v>122</v>
      </c>
      <c r="C469">
        <v>8</v>
      </c>
      <c r="D469" t="s">
        <v>3298</v>
      </c>
      <c r="E469">
        <v>48</v>
      </c>
      <c r="F469">
        <v>10</v>
      </c>
      <c r="G469">
        <v>38</v>
      </c>
      <c r="H469" t="s">
        <v>3491</v>
      </c>
      <c r="I469" t="s">
        <v>3492</v>
      </c>
      <c r="J469" t="s">
        <v>2919</v>
      </c>
    </row>
    <row r="470" spans="1:10" x14ac:dyDescent="0.25">
      <c r="A470" t="s">
        <v>723</v>
      </c>
      <c r="B470" t="s">
        <v>122</v>
      </c>
      <c r="C470">
        <v>8</v>
      </c>
      <c r="D470" t="s">
        <v>3300</v>
      </c>
      <c r="E470">
        <v>52</v>
      </c>
      <c r="F470">
        <v>10</v>
      </c>
      <c r="G470">
        <v>42</v>
      </c>
      <c r="H470" t="s">
        <v>3493</v>
      </c>
      <c r="I470" t="s">
        <v>3490</v>
      </c>
      <c r="J470" t="s">
        <v>2919</v>
      </c>
    </row>
    <row r="471" spans="1:10" x14ac:dyDescent="0.25">
      <c r="A471" t="s">
        <v>723</v>
      </c>
      <c r="B471" t="s">
        <v>122</v>
      </c>
      <c r="C471">
        <v>8</v>
      </c>
      <c r="D471" t="s">
        <v>3302</v>
      </c>
      <c r="E471">
        <v>85</v>
      </c>
      <c r="F471">
        <v>23</v>
      </c>
      <c r="G471">
        <v>62</v>
      </c>
      <c r="H471" t="s">
        <v>196</v>
      </c>
      <c r="I471" t="s">
        <v>3490</v>
      </c>
      <c r="J471" t="s">
        <v>2919</v>
      </c>
    </row>
    <row r="472" spans="1:10" x14ac:dyDescent="0.25">
      <c r="A472" t="s">
        <v>728</v>
      </c>
      <c r="B472" t="s">
        <v>105</v>
      </c>
      <c r="C472">
        <v>4</v>
      </c>
      <c r="D472" t="s">
        <v>3154</v>
      </c>
      <c r="E472">
        <v>42</v>
      </c>
      <c r="F472">
        <v>13</v>
      </c>
      <c r="G472">
        <v>29</v>
      </c>
      <c r="H472" t="s">
        <v>3491</v>
      </c>
      <c r="I472" t="s">
        <v>3492</v>
      </c>
      <c r="J472" t="s">
        <v>2908</v>
      </c>
    </row>
    <row r="473" spans="1:10" x14ac:dyDescent="0.25">
      <c r="A473" t="s">
        <v>728</v>
      </c>
      <c r="B473" t="s">
        <v>105</v>
      </c>
      <c r="C473">
        <v>4</v>
      </c>
      <c r="D473" t="s">
        <v>3156</v>
      </c>
      <c r="E473">
        <v>87</v>
      </c>
      <c r="F473">
        <v>28</v>
      </c>
      <c r="G473">
        <v>59</v>
      </c>
      <c r="H473" t="s">
        <v>196</v>
      </c>
      <c r="I473" t="s">
        <v>3490</v>
      </c>
      <c r="J473" t="s">
        <v>2908</v>
      </c>
    </row>
    <row r="474" spans="1:10" x14ac:dyDescent="0.25">
      <c r="A474" t="s">
        <v>728</v>
      </c>
      <c r="B474" t="s">
        <v>105</v>
      </c>
      <c r="C474">
        <v>4</v>
      </c>
      <c r="D474" t="s">
        <v>3158</v>
      </c>
      <c r="E474">
        <v>64</v>
      </c>
      <c r="F474">
        <v>23</v>
      </c>
      <c r="G474">
        <v>41</v>
      </c>
      <c r="H474" t="s">
        <v>3489</v>
      </c>
      <c r="I474" t="s">
        <v>3490</v>
      </c>
      <c r="J474" t="s">
        <v>2908</v>
      </c>
    </row>
    <row r="475" spans="1:10" x14ac:dyDescent="0.25">
      <c r="A475" t="s">
        <v>728</v>
      </c>
      <c r="B475" t="s">
        <v>105</v>
      </c>
      <c r="C475">
        <v>4</v>
      </c>
      <c r="D475" t="s">
        <v>3160</v>
      </c>
      <c r="E475">
        <v>65</v>
      </c>
      <c r="F475">
        <v>10</v>
      </c>
      <c r="G475">
        <v>55</v>
      </c>
      <c r="H475" t="s">
        <v>3489</v>
      </c>
      <c r="I475" t="s">
        <v>3490</v>
      </c>
      <c r="J475" t="s">
        <v>2908</v>
      </c>
    </row>
    <row r="476" spans="1:10" x14ac:dyDescent="0.25">
      <c r="A476" t="s">
        <v>728</v>
      </c>
      <c r="B476" t="s">
        <v>105</v>
      </c>
      <c r="C476">
        <v>4</v>
      </c>
      <c r="D476" t="s">
        <v>3162</v>
      </c>
      <c r="E476">
        <v>59</v>
      </c>
      <c r="F476">
        <v>14</v>
      </c>
      <c r="G476">
        <v>45</v>
      </c>
      <c r="H476" t="s">
        <v>3493</v>
      </c>
      <c r="I476" t="s">
        <v>3490</v>
      </c>
      <c r="J476" t="s">
        <v>2908</v>
      </c>
    </row>
    <row r="477" spans="1:10" x14ac:dyDescent="0.25">
      <c r="A477" t="s">
        <v>733</v>
      </c>
      <c r="B477" t="s">
        <v>122</v>
      </c>
      <c r="C477">
        <v>8</v>
      </c>
      <c r="D477" t="s">
        <v>3294</v>
      </c>
      <c r="E477">
        <v>96</v>
      </c>
      <c r="F477">
        <v>28</v>
      </c>
      <c r="G477">
        <v>68</v>
      </c>
      <c r="H477" t="s">
        <v>3495</v>
      </c>
      <c r="I477" t="s">
        <v>3490</v>
      </c>
      <c r="J477" t="s">
        <v>2919</v>
      </c>
    </row>
    <row r="478" spans="1:10" x14ac:dyDescent="0.25">
      <c r="A478" t="s">
        <v>733</v>
      </c>
      <c r="B478" t="s">
        <v>122</v>
      </c>
      <c r="C478">
        <v>8</v>
      </c>
      <c r="D478" t="s">
        <v>3296</v>
      </c>
      <c r="E478">
        <v>75</v>
      </c>
      <c r="F478">
        <v>21</v>
      </c>
      <c r="G478">
        <v>54</v>
      </c>
      <c r="H478" t="s">
        <v>3494</v>
      </c>
      <c r="I478" t="s">
        <v>3490</v>
      </c>
      <c r="J478" t="s">
        <v>2919</v>
      </c>
    </row>
    <row r="479" spans="1:10" x14ac:dyDescent="0.25">
      <c r="A479" t="s">
        <v>733</v>
      </c>
      <c r="B479" t="s">
        <v>122</v>
      </c>
      <c r="C479">
        <v>8</v>
      </c>
      <c r="D479" t="s">
        <v>3298</v>
      </c>
      <c r="E479">
        <v>61</v>
      </c>
      <c r="F479">
        <v>14</v>
      </c>
      <c r="G479">
        <v>47</v>
      </c>
      <c r="H479" t="s">
        <v>3489</v>
      </c>
      <c r="I479" t="s">
        <v>3490</v>
      </c>
      <c r="J479" t="s">
        <v>2919</v>
      </c>
    </row>
    <row r="480" spans="1:10" x14ac:dyDescent="0.25">
      <c r="A480" t="s">
        <v>733</v>
      </c>
      <c r="B480" t="s">
        <v>122</v>
      </c>
      <c r="C480">
        <v>8</v>
      </c>
      <c r="D480" t="s">
        <v>3300</v>
      </c>
      <c r="E480">
        <v>43</v>
      </c>
      <c r="F480">
        <v>18</v>
      </c>
      <c r="G480">
        <v>25</v>
      </c>
      <c r="H480" t="s">
        <v>3491</v>
      </c>
      <c r="I480" t="s">
        <v>3492</v>
      </c>
      <c r="J480" t="s">
        <v>2919</v>
      </c>
    </row>
    <row r="481" spans="1:10" x14ac:dyDescent="0.25">
      <c r="A481" t="s">
        <v>733</v>
      </c>
      <c r="B481" t="s">
        <v>122</v>
      </c>
      <c r="C481">
        <v>8</v>
      </c>
      <c r="D481" t="s">
        <v>3302</v>
      </c>
      <c r="E481">
        <v>71</v>
      </c>
      <c r="F481">
        <v>27</v>
      </c>
      <c r="G481">
        <v>44</v>
      </c>
      <c r="H481" t="s">
        <v>3494</v>
      </c>
      <c r="I481" t="s">
        <v>3490</v>
      </c>
      <c r="J481" t="s">
        <v>2919</v>
      </c>
    </row>
    <row r="482" spans="1:10" x14ac:dyDescent="0.25">
      <c r="A482" t="s">
        <v>740</v>
      </c>
      <c r="B482" t="s">
        <v>105</v>
      </c>
      <c r="C482">
        <v>8</v>
      </c>
      <c r="D482" t="s">
        <v>3174</v>
      </c>
      <c r="E482">
        <v>72</v>
      </c>
      <c r="F482">
        <v>28</v>
      </c>
      <c r="G482">
        <v>44</v>
      </c>
      <c r="H482" t="s">
        <v>3494</v>
      </c>
      <c r="I482" t="s">
        <v>3490</v>
      </c>
      <c r="J482" t="s">
        <v>2908</v>
      </c>
    </row>
    <row r="483" spans="1:10" x14ac:dyDescent="0.25">
      <c r="A483" t="s">
        <v>740</v>
      </c>
      <c r="B483" t="s">
        <v>105</v>
      </c>
      <c r="C483">
        <v>8</v>
      </c>
      <c r="D483" t="s">
        <v>3176</v>
      </c>
      <c r="E483">
        <v>67</v>
      </c>
      <c r="F483">
        <v>21</v>
      </c>
      <c r="G483">
        <v>46</v>
      </c>
      <c r="H483" t="s">
        <v>3489</v>
      </c>
      <c r="I483" t="s">
        <v>3490</v>
      </c>
      <c r="J483" t="s">
        <v>2908</v>
      </c>
    </row>
    <row r="484" spans="1:10" x14ac:dyDescent="0.25">
      <c r="A484" t="s">
        <v>740</v>
      </c>
      <c r="B484" t="s">
        <v>105</v>
      </c>
      <c r="C484">
        <v>8</v>
      </c>
      <c r="D484" t="s">
        <v>3178</v>
      </c>
      <c r="E484">
        <v>54</v>
      </c>
      <c r="F484">
        <v>30</v>
      </c>
      <c r="G484">
        <v>24</v>
      </c>
      <c r="H484" t="s">
        <v>3493</v>
      </c>
      <c r="I484" t="s">
        <v>3490</v>
      </c>
      <c r="J484" t="s">
        <v>2908</v>
      </c>
    </row>
    <row r="485" spans="1:10" x14ac:dyDescent="0.25">
      <c r="A485" t="s">
        <v>740</v>
      </c>
      <c r="B485" t="s">
        <v>105</v>
      </c>
      <c r="C485">
        <v>8</v>
      </c>
      <c r="D485" t="s">
        <v>3180</v>
      </c>
      <c r="E485">
        <v>36</v>
      </c>
      <c r="F485">
        <v>16</v>
      </c>
      <c r="G485">
        <v>20</v>
      </c>
      <c r="H485" t="s">
        <v>3491</v>
      </c>
      <c r="I485" t="s">
        <v>3492</v>
      </c>
      <c r="J485" t="s">
        <v>2908</v>
      </c>
    </row>
    <row r="486" spans="1:10" x14ac:dyDescent="0.25">
      <c r="A486" t="s">
        <v>740</v>
      </c>
      <c r="B486" t="s">
        <v>105</v>
      </c>
      <c r="C486">
        <v>8</v>
      </c>
      <c r="D486" t="s">
        <v>3182</v>
      </c>
      <c r="E486">
        <v>77</v>
      </c>
      <c r="F486">
        <v>27</v>
      </c>
      <c r="G486">
        <v>50</v>
      </c>
      <c r="H486" t="s">
        <v>3494</v>
      </c>
      <c r="I486" t="s">
        <v>3490</v>
      </c>
      <c r="J486" t="s">
        <v>2908</v>
      </c>
    </row>
    <row r="487" spans="1:10" x14ac:dyDescent="0.25">
      <c r="A487" t="s">
        <v>745</v>
      </c>
      <c r="B487" t="s">
        <v>95</v>
      </c>
      <c r="C487">
        <v>8</v>
      </c>
      <c r="D487" t="s">
        <v>3234</v>
      </c>
      <c r="E487">
        <v>49</v>
      </c>
      <c r="F487">
        <v>23</v>
      </c>
      <c r="G487">
        <v>26</v>
      </c>
      <c r="H487" t="s">
        <v>3491</v>
      </c>
      <c r="I487" t="s">
        <v>3492</v>
      </c>
      <c r="J487" t="s">
        <v>2889</v>
      </c>
    </row>
    <row r="488" spans="1:10" x14ac:dyDescent="0.25">
      <c r="A488" t="s">
        <v>745</v>
      </c>
      <c r="B488" t="s">
        <v>95</v>
      </c>
      <c r="C488">
        <v>8</v>
      </c>
      <c r="D488" t="s">
        <v>3236</v>
      </c>
      <c r="E488">
        <v>83</v>
      </c>
      <c r="F488">
        <v>14</v>
      </c>
      <c r="G488">
        <v>69</v>
      </c>
      <c r="H488" t="s">
        <v>196</v>
      </c>
      <c r="I488" t="s">
        <v>3490</v>
      </c>
      <c r="J488" t="s">
        <v>2889</v>
      </c>
    </row>
    <row r="489" spans="1:10" x14ac:dyDescent="0.25">
      <c r="A489" t="s">
        <v>745</v>
      </c>
      <c r="B489" t="s">
        <v>95</v>
      </c>
      <c r="C489">
        <v>8</v>
      </c>
      <c r="D489" t="s">
        <v>3238</v>
      </c>
      <c r="E489">
        <v>69</v>
      </c>
      <c r="F489">
        <v>16</v>
      </c>
      <c r="G489">
        <v>53</v>
      </c>
      <c r="H489" t="s">
        <v>3489</v>
      </c>
      <c r="I489" t="s">
        <v>3490</v>
      </c>
      <c r="J489" t="s">
        <v>2889</v>
      </c>
    </row>
    <row r="490" spans="1:10" x14ac:dyDescent="0.25">
      <c r="A490" t="s">
        <v>745</v>
      </c>
      <c r="B490" t="s">
        <v>95</v>
      </c>
      <c r="C490">
        <v>8</v>
      </c>
      <c r="D490" t="s">
        <v>3240</v>
      </c>
      <c r="E490">
        <v>76</v>
      </c>
      <c r="F490">
        <v>20</v>
      </c>
      <c r="G490">
        <v>56</v>
      </c>
      <c r="H490" t="s">
        <v>3494</v>
      </c>
      <c r="I490" t="s">
        <v>3490</v>
      </c>
      <c r="J490" t="s">
        <v>2889</v>
      </c>
    </row>
    <row r="491" spans="1:10" x14ac:dyDescent="0.25">
      <c r="A491" t="s">
        <v>745</v>
      </c>
      <c r="B491" t="s">
        <v>95</v>
      </c>
      <c r="C491">
        <v>8</v>
      </c>
      <c r="D491" t="s">
        <v>3242</v>
      </c>
      <c r="E491">
        <v>88</v>
      </c>
      <c r="F491">
        <v>20</v>
      </c>
      <c r="G491">
        <v>68</v>
      </c>
      <c r="H491" t="s">
        <v>196</v>
      </c>
      <c r="I491" t="s">
        <v>3490</v>
      </c>
      <c r="J491" t="s">
        <v>2889</v>
      </c>
    </row>
    <row r="492" spans="1:10" x14ac:dyDescent="0.25">
      <c r="A492" t="s">
        <v>751</v>
      </c>
      <c r="B492" t="s">
        <v>95</v>
      </c>
      <c r="C492">
        <v>8</v>
      </c>
      <c r="D492" t="s">
        <v>3234</v>
      </c>
      <c r="E492">
        <v>49</v>
      </c>
      <c r="F492">
        <v>13</v>
      </c>
      <c r="G492">
        <v>36</v>
      </c>
      <c r="H492" t="s">
        <v>3491</v>
      </c>
      <c r="I492" t="s">
        <v>3492</v>
      </c>
      <c r="J492" t="s">
        <v>2889</v>
      </c>
    </row>
    <row r="493" spans="1:10" x14ac:dyDescent="0.25">
      <c r="A493" t="s">
        <v>751</v>
      </c>
      <c r="B493" t="s">
        <v>95</v>
      </c>
      <c r="C493">
        <v>8</v>
      </c>
      <c r="D493" t="s">
        <v>3236</v>
      </c>
      <c r="E493">
        <v>85</v>
      </c>
      <c r="F493">
        <v>16</v>
      </c>
      <c r="G493">
        <v>69</v>
      </c>
      <c r="H493" t="s">
        <v>196</v>
      </c>
      <c r="I493" t="s">
        <v>3490</v>
      </c>
      <c r="J493" t="s">
        <v>2889</v>
      </c>
    </row>
    <row r="494" spans="1:10" x14ac:dyDescent="0.25">
      <c r="A494" t="s">
        <v>751</v>
      </c>
      <c r="B494" t="s">
        <v>95</v>
      </c>
      <c r="C494">
        <v>8</v>
      </c>
      <c r="D494" t="s">
        <v>3238</v>
      </c>
      <c r="E494">
        <v>63</v>
      </c>
      <c r="F494">
        <v>18</v>
      </c>
      <c r="G494">
        <v>45</v>
      </c>
      <c r="H494" t="s">
        <v>3489</v>
      </c>
      <c r="I494" t="s">
        <v>3490</v>
      </c>
      <c r="J494" t="s">
        <v>2889</v>
      </c>
    </row>
    <row r="495" spans="1:10" x14ac:dyDescent="0.25">
      <c r="A495" t="s">
        <v>751</v>
      </c>
      <c r="B495" t="s">
        <v>95</v>
      </c>
      <c r="C495">
        <v>8</v>
      </c>
      <c r="D495" t="s">
        <v>3240</v>
      </c>
      <c r="E495">
        <v>56</v>
      </c>
      <c r="F495">
        <v>27</v>
      </c>
      <c r="G495">
        <v>29</v>
      </c>
      <c r="H495" t="s">
        <v>3493</v>
      </c>
      <c r="I495" t="s">
        <v>3490</v>
      </c>
      <c r="J495" t="s">
        <v>2889</v>
      </c>
    </row>
    <row r="496" spans="1:10" x14ac:dyDescent="0.25">
      <c r="A496" t="s">
        <v>751</v>
      </c>
      <c r="B496" t="s">
        <v>95</v>
      </c>
      <c r="C496">
        <v>8</v>
      </c>
      <c r="D496" t="s">
        <v>3242</v>
      </c>
      <c r="E496">
        <v>74</v>
      </c>
      <c r="F496">
        <v>17</v>
      </c>
      <c r="G496">
        <v>57</v>
      </c>
      <c r="H496" t="s">
        <v>3494</v>
      </c>
      <c r="I496" t="s">
        <v>3490</v>
      </c>
      <c r="J496" t="s">
        <v>2889</v>
      </c>
    </row>
    <row r="497" spans="1:10" x14ac:dyDescent="0.25">
      <c r="A497" t="s">
        <v>758</v>
      </c>
      <c r="B497" t="s">
        <v>122</v>
      </c>
      <c r="C497">
        <v>6</v>
      </c>
      <c r="D497" t="s">
        <v>3294</v>
      </c>
      <c r="E497">
        <v>71</v>
      </c>
      <c r="F497">
        <v>19</v>
      </c>
      <c r="G497">
        <v>52</v>
      </c>
      <c r="H497" t="s">
        <v>3494</v>
      </c>
      <c r="I497" t="s">
        <v>3490</v>
      </c>
      <c r="J497" t="s">
        <v>2919</v>
      </c>
    </row>
    <row r="498" spans="1:10" x14ac:dyDescent="0.25">
      <c r="A498" t="s">
        <v>758</v>
      </c>
      <c r="B498" t="s">
        <v>122</v>
      </c>
      <c r="C498">
        <v>6</v>
      </c>
      <c r="D498" t="s">
        <v>3296</v>
      </c>
      <c r="E498">
        <v>78</v>
      </c>
      <c r="F498">
        <v>18</v>
      </c>
      <c r="G498">
        <v>60</v>
      </c>
      <c r="H498" t="s">
        <v>3494</v>
      </c>
      <c r="I498" t="s">
        <v>3490</v>
      </c>
      <c r="J498" t="s">
        <v>2919</v>
      </c>
    </row>
    <row r="499" spans="1:10" x14ac:dyDescent="0.25">
      <c r="A499" t="s">
        <v>758</v>
      </c>
      <c r="B499" t="s">
        <v>122</v>
      </c>
      <c r="C499">
        <v>6</v>
      </c>
      <c r="D499" t="s">
        <v>3298</v>
      </c>
      <c r="E499">
        <v>32</v>
      </c>
      <c r="F499">
        <v>11</v>
      </c>
      <c r="G499">
        <v>21</v>
      </c>
      <c r="H499" t="s">
        <v>3491</v>
      </c>
      <c r="I499" t="s">
        <v>3492</v>
      </c>
      <c r="J499" t="s">
        <v>2919</v>
      </c>
    </row>
    <row r="500" spans="1:10" x14ac:dyDescent="0.25">
      <c r="A500" t="s">
        <v>758</v>
      </c>
      <c r="B500" t="s">
        <v>122</v>
      </c>
      <c r="C500">
        <v>6</v>
      </c>
      <c r="D500" t="s">
        <v>3300</v>
      </c>
      <c r="E500">
        <v>65</v>
      </c>
      <c r="F500">
        <v>15</v>
      </c>
      <c r="G500">
        <v>50</v>
      </c>
      <c r="H500" t="s">
        <v>3489</v>
      </c>
      <c r="I500" t="s">
        <v>3490</v>
      </c>
      <c r="J500" t="s">
        <v>2919</v>
      </c>
    </row>
    <row r="501" spans="1:10" x14ac:dyDescent="0.25">
      <c r="A501" t="s">
        <v>758</v>
      </c>
      <c r="B501" t="s">
        <v>122</v>
      </c>
      <c r="C501">
        <v>6</v>
      </c>
      <c r="D501" t="s">
        <v>3302</v>
      </c>
      <c r="E501">
        <v>37</v>
      </c>
      <c r="F501">
        <v>17</v>
      </c>
      <c r="G501">
        <v>20</v>
      </c>
      <c r="H501" t="s">
        <v>3491</v>
      </c>
      <c r="I501" t="s">
        <v>3492</v>
      </c>
      <c r="J501" t="s">
        <v>2919</v>
      </c>
    </row>
    <row r="502" spans="1:10" x14ac:dyDescent="0.25">
      <c r="A502" t="s">
        <v>766</v>
      </c>
      <c r="B502" t="s">
        <v>212</v>
      </c>
      <c r="C502">
        <v>8</v>
      </c>
      <c r="D502" t="s">
        <v>3474</v>
      </c>
      <c r="E502">
        <v>72</v>
      </c>
      <c r="F502">
        <v>10</v>
      </c>
      <c r="G502">
        <v>62</v>
      </c>
      <c r="H502" t="s">
        <v>3494</v>
      </c>
      <c r="I502" t="s">
        <v>3490</v>
      </c>
      <c r="J502" t="s">
        <v>3001</v>
      </c>
    </row>
    <row r="503" spans="1:10" x14ac:dyDescent="0.25">
      <c r="A503" t="s">
        <v>766</v>
      </c>
      <c r="B503" t="s">
        <v>212</v>
      </c>
      <c r="C503">
        <v>8</v>
      </c>
      <c r="D503" t="s">
        <v>3476</v>
      </c>
      <c r="E503">
        <v>73</v>
      </c>
      <c r="F503">
        <v>26</v>
      </c>
      <c r="G503">
        <v>47</v>
      </c>
      <c r="H503" t="s">
        <v>3494</v>
      </c>
      <c r="I503" t="s">
        <v>3490</v>
      </c>
      <c r="J503" t="s">
        <v>3001</v>
      </c>
    </row>
    <row r="504" spans="1:10" x14ac:dyDescent="0.25">
      <c r="A504" t="s">
        <v>766</v>
      </c>
      <c r="B504" t="s">
        <v>212</v>
      </c>
      <c r="C504">
        <v>8</v>
      </c>
      <c r="D504" t="s">
        <v>3478</v>
      </c>
      <c r="E504">
        <v>74</v>
      </c>
      <c r="F504">
        <v>29</v>
      </c>
      <c r="G504">
        <v>45</v>
      </c>
      <c r="H504" t="s">
        <v>3494</v>
      </c>
      <c r="I504" t="s">
        <v>3490</v>
      </c>
      <c r="J504" t="s">
        <v>3001</v>
      </c>
    </row>
    <row r="505" spans="1:10" x14ac:dyDescent="0.25">
      <c r="A505" t="s">
        <v>766</v>
      </c>
      <c r="B505" t="s">
        <v>212</v>
      </c>
      <c r="C505">
        <v>8</v>
      </c>
      <c r="D505" t="s">
        <v>3480</v>
      </c>
      <c r="E505">
        <v>46</v>
      </c>
      <c r="F505">
        <v>22</v>
      </c>
      <c r="G505">
        <v>24</v>
      </c>
      <c r="H505" t="s">
        <v>3491</v>
      </c>
      <c r="I505" t="s">
        <v>3492</v>
      </c>
      <c r="J505" t="s">
        <v>3001</v>
      </c>
    </row>
    <row r="506" spans="1:10" x14ac:dyDescent="0.25">
      <c r="A506" t="s">
        <v>766</v>
      </c>
      <c r="B506" t="s">
        <v>212</v>
      </c>
      <c r="C506">
        <v>8</v>
      </c>
      <c r="D506" t="s">
        <v>3482</v>
      </c>
      <c r="E506">
        <v>38</v>
      </c>
      <c r="F506">
        <v>11</v>
      </c>
      <c r="G506">
        <v>27</v>
      </c>
      <c r="H506" t="s">
        <v>3491</v>
      </c>
      <c r="I506" t="s">
        <v>3492</v>
      </c>
      <c r="J506" t="s">
        <v>3001</v>
      </c>
    </row>
    <row r="507" spans="1:10" x14ac:dyDescent="0.25">
      <c r="A507" t="s">
        <v>771</v>
      </c>
      <c r="B507" t="s">
        <v>159</v>
      </c>
      <c r="C507">
        <v>8</v>
      </c>
      <c r="D507" t="s">
        <v>3114</v>
      </c>
      <c r="E507">
        <v>74</v>
      </c>
      <c r="F507">
        <v>22</v>
      </c>
      <c r="G507">
        <v>52</v>
      </c>
      <c r="H507" t="s">
        <v>3494</v>
      </c>
      <c r="I507" t="s">
        <v>3490</v>
      </c>
      <c r="J507" t="s">
        <v>2902</v>
      </c>
    </row>
    <row r="508" spans="1:10" x14ac:dyDescent="0.25">
      <c r="A508" t="s">
        <v>771</v>
      </c>
      <c r="B508" t="s">
        <v>159</v>
      </c>
      <c r="C508">
        <v>8</v>
      </c>
      <c r="D508" t="s">
        <v>3116</v>
      </c>
      <c r="E508">
        <v>40</v>
      </c>
      <c r="F508">
        <v>16</v>
      </c>
      <c r="G508">
        <v>24</v>
      </c>
      <c r="H508" t="s">
        <v>3491</v>
      </c>
      <c r="I508" t="s">
        <v>3492</v>
      </c>
      <c r="J508" t="s">
        <v>2902</v>
      </c>
    </row>
    <row r="509" spans="1:10" x14ac:dyDescent="0.25">
      <c r="A509" t="s">
        <v>771</v>
      </c>
      <c r="B509" t="s">
        <v>159</v>
      </c>
      <c r="C509">
        <v>8</v>
      </c>
      <c r="D509" t="s">
        <v>3118</v>
      </c>
      <c r="E509">
        <v>74</v>
      </c>
      <c r="F509">
        <v>12</v>
      </c>
      <c r="G509">
        <v>62</v>
      </c>
      <c r="H509" t="s">
        <v>3494</v>
      </c>
      <c r="I509" t="s">
        <v>3490</v>
      </c>
      <c r="J509" t="s">
        <v>2902</v>
      </c>
    </row>
    <row r="510" spans="1:10" x14ac:dyDescent="0.25">
      <c r="A510" t="s">
        <v>771</v>
      </c>
      <c r="B510" t="s">
        <v>159</v>
      </c>
      <c r="C510">
        <v>8</v>
      </c>
      <c r="D510" t="s">
        <v>3120</v>
      </c>
      <c r="E510">
        <v>75</v>
      </c>
      <c r="F510">
        <v>16</v>
      </c>
      <c r="G510">
        <v>59</v>
      </c>
      <c r="H510" t="s">
        <v>3494</v>
      </c>
      <c r="I510" t="s">
        <v>3490</v>
      </c>
      <c r="J510" t="s">
        <v>2902</v>
      </c>
    </row>
    <row r="511" spans="1:10" x14ac:dyDescent="0.25">
      <c r="A511" t="s">
        <v>771</v>
      </c>
      <c r="B511" t="s">
        <v>159</v>
      </c>
      <c r="C511">
        <v>8</v>
      </c>
      <c r="D511" t="s">
        <v>3122</v>
      </c>
      <c r="E511">
        <v>41</v>
      </c>
      <c r="F511">
        <v>20</v>
      </c>
      <c r="G511">
        <v>21</v>
      </c>
      <c r="H511" t="s">
        <v>3491</v>
      </c>
      <c r="I511" t="s">
        <v>3492</v>
      </c>
      <c r="J511" t="s">
        <v>2902</v>
      </c>
    </row>
    <row r="512" spans="1:10" x14ac:dyDescent="0.25">
      <c r="A512" t="s">
        <v>778</v>
      </c>
      <c r="B512" t="s">
        <v>212</v>
      </c>
      <c r="C512">
        <v>8</v>
      </c>
      <c r="D512" t="s">
        <v>3474</v>
      </c>
      <c r="E512">
        <v>35</v>
      </c>
      <c r="F512">
        <v>11</v>
      </c>
      <c r="G512">
        <v>24</v>
      </c>
      <c r="H512" t="s">
        <v>3491</v>
      </c>
      <c r="I512" t="s">
        <v>3492</v>
      </c>
      <c r="J512" t="s">
        <v>3001</v>
      </c>
    </row>
    <row r="513" spans="1:10" x14ac:dyDescent="0.25">
      <c r="A513" t="s">
        <v>778</v>
      </c>
      <c r="B513" t="s">
        <v>212</v>
      </c>
      <c r="C513">
        <v>8</v>
      </c>
      <c r="D513" t="s">
        <v>3476</v>
      </c>
      <c r="E513">
        <v>75</v>
      </c>
      <c r="F513">
        <v>22</v>
      </c>
      <c r="G513">
        <v>53</v>
      </c>
      <c r="H513" t="s">
        <v>3494</v>
      </c>
      <c r="I513" t="s">
        <v>3490</v>
      </c>
      <c r="J513" t="s">
        <v>3001</v>
      </c>
    </row>
    <row r="514" spans="1:10" x14ac:dyDescent="0.25">
      <c r="A514" t="s">
        <v>778</v>
      </c>
      <c r="B514" t="s">
        <v>212</v>
      </c>
      <c r="C514">
        <v>8</v>
      </c>
      <c r="D514" t="s">
        <v>3478</v>
      </c>
      <c r="E514">
        <v>70</v>
      </c>
      <c r="F514">
        <v>11</v>
      </c>
      <c r="G514">
        <v>59</v>
      </c>
      <c r="H514" t="s">
        <v>3494</v>
      </c>
      <c r="I514" t="s">
        <v>3490</v>
      </c>
      <c r="J514" t="s">
        <v>3001</v>
      </c>
    </row>
    <row r="515" spans="1:10" x14ac:dyDescent="0.25">
      <c r="A515" t="s">
        <v>778</v>
      </c>
      <c r="B515" t="s">
        <v>212</v>
      </c>
      <c r="C515">
        <v>8</v>
      </c>
      <c r="D515" t="s">
        <v>3480</v>
      </c>
      <c r="E515">
        <v>67</v>
      </c>
      <c r="F515">
        <v>30</v>
      </c>
      <c r="G515">
        <v>37</v>
      </c>
      <c r="H515" t="s">
        <v>3489</v>
      </c>
      <c r="I515" t="s">
        <v>3490</v>
      </c>
      <c r="J515" t="s">
        <v>3001</v>
      </c>
    </row>
    <row r="516" spans="1:10" x14ac:dyDescent="0.25">
      <c r="A516" t="s">
        <v>778</v>
      </c>
      <c r="B516" t="s">
        <v>212</v>
      </c>
      <c r="C516">
        <v>8</v>
      </c>
      <c r="D516" t="s">
        <v>3482</v>
      </c>
      <c r="E516">
        <v>50</v>
      </c>
      <c r="F516">
        <v>12</v>
      </c>
      <c r="G516">
        <v>38</v>
      </c>
      <c r="H516" t="s">
        <v>3493</v>
      </c>
      <c r="I516" t="s">
        <v>3490</v>
      </c>
      <c r="J516" t="s">
        <v>3001</v>
      </c>
    </row>
    <row r="517" spans="1:10" x14ac:dyDescent="0.25">
      <c r="A517" t="s">
        <v>783</v>
      </c>
      <c r="B517" t="s">
        <v>122</v>
      </c>
      <c r="C517">
        <v>8</v>
      </c>
      <c r="D517" t="s">
        <v>3294</v>
      </c>
      <c r="E517">
        <v>88</v>
      </c>
      <c r="F517">
        <v>30</v>
      </c>
      <c r="G517">
        <v>58</v>
      </c>
      <c r="H517" t="s">
        <v>196</v>
      </c>
      <c r="I517" t="s">
        <v>3490</v>
      </c>
      <c r="J517" t="s">
        <v>2919</v>
      </c>
    </row>
    <row r="518" spans="1:10" x14ac:dyDescent="0.25">
      <c r="A518" t="s">
        <v>783</v>
      </c>
      <c r="B518" t="s">
        <v>122</v>
      </c>
      <c r="C518">
        <v>8</v>
      </c>
      <c r="D518" t="s">
        <v>3296</v>
      </c>
      <c r="E518">
        <v>79</v>
      </c>
      <c r="F518">
        <v>12</v>
      </c>
      <c r="G518">
        <v>67</v>
      </c>
      <c r="H518" t="s">
        <v>3494</v>
      </c>
      <c r="I518" t="s">
        <v>3490</v>
      </c>
      <c r="J518" t="s">
        <v>2919</v>
      </c>
    </row>
    <row r="519" spans="1:10" x14ac:dyDescent="0.25">
      <c r="A519" t="s">
        <v>783</v>
      </c>
      <c r="B519" t="s">
        <v>122</v>
      </c>
      <c r="C519">
        <v>8</v>
      </c>
      <c r="D519" t="s">
        <v>3298</v>
      </c>
      <c r="E519">
        <v>43</v>
      </c>
      <c r="F519">
        <v>20</v>
      </c>
      <c r="G519">
        <v>23</v>
      </c>
      <c r="H519" t="s">
        <v>3491</v>
      </c>
      <c r="I519" t="s">
        <v>3492</v>
      </c>
      <c r="J519" t="s">
        <v>2919</v>
      </c>
    </row>
    <row r="520" spans="1:10" x14ac:dyDescent="0.25">
      <c r="A520" t="s">
        <v>783</v>
      </c>
      <c r="B520" t="s">
        <v>122</v>
      </c>
      <c r="C520">
        <v>8</v>
      </c>
      <c r="D520" t="s">
        <v>3300</v>
      </c>
      <c r="E520">
        <v>70</v>
      </c>
      <c r="F520">
        <v>24</v>
      </c>
      <c r="G520">
        <v>46</v>
      </c>
      <c r="H520" t="s">
        <v>3494</v>
      </c>
      <c r="I520" t="s">
        <v>3490</v>
      </c>
      <c r="J520" t="s">
        <v>2919</v>
      </c>
    </row>
    <row r="521" spans="1:10" x14ac:dyDescent="0.25">
      <c r="A521" t="s">
        <v>783</v>
      </c>
      <c r="B521" t="s">
        <v>122</v>
      </c>
      <c r="C521">
        <v>8</v>
      </c>
      <c r="D521" t="s">
        <v>3302</v>
      </c>
      <c r="E521">
        <v>75</v>
      </c>
      <c r="F521">
        <v>15</v>
      </c>
      <c r="G521">
        <v>60</v>
      </c>
      <c r="H521" t="s">
        <v>3494</v>
      </c>
      <c r="I521" t="s">
        <v>3490</v>
      </c>
      <c r="J521" t="s">
        <v>2919</v>
      </c>
    </row>
    <row r="522" spans="1:10" x14ac:dyDescent="0.25">
      <c r="A522" t="s">
        <v>789</v>
      </c>
      <c r="B522" t="s">
        <v>159</v>
      </c>
      <c r="C522">
        <v>8</v>
      </c>
      <c r="D522" t="s">
        <v>3114</v>
      </c>
      <c r="E522">
        <v>58</v>
      </c>
      <c r="F522">
        <v>26</v>
      </c>
      <c r="G522">
        <v>32</v>
      </c>
      <c r="H522" t="s">
        <v>3493</v>
      </c>
      <c r="I522" t="s">
        <v>3490</v>
      </c>
      <c r="J522" t="s">
        <v>2902</v>
      </c>
    </row>
    <row r="523" spans="1:10" x14ac:dyDescent="0.25">
      <c r="A523" t="s">
        <v>789</v>
      </c>
      <c r="B523" t="s">
        <v>159</v>
      </c>
      <c r="C523">
        <v>8</v>
      </c>
      <c r="D523" t="s">
        <v>3116</v>
      </c>
      <c r="E523">
        <v>76</v>
      </c>
      <c r="F523">
        <v>28</v>
      </c>
      <c r="G523">
        <v>48</v>
      </c>
      <c r="H523" t="s">
        <v>3494</v>
      </c>
      <c r="I523" t="s">
        <v>3490</v>
      </c>
      <c r="J523" t="s">
        <v>2902</v>
      </c>
    </row>
    <row r="524" spans="1:10" x14ac:dyDescent="0.25">
      <c r="A524" t="s">
        <v>789</v>
      </c>
      <c r="B524" t="s">
        <v>159</v>
      </c>
      <c r="C524">
        <v>8</v>
      </c>
      <c r="D524" t="s">
        <v>3118</v>
      </c>
      <c r="E524">
        <v>76</v>
      </c>
      <c r="F524">
        <v>30</v>
      </c>
      <c r="G524">
        <v>46</v>
      </c>
      <c r="H524" t="s">
        <v>3494</v>
      </c>
      <c r="I524" t="s">
        <v>3490</v>
      </c>
      <c r="J524" t="s">
        <v>2902</v>
      </c>
    </row>
    <row r="525" spans="1:10" x14ac:dyDescent="0.25">
      <c r="A525" t="s">
        <v>789</v>
      </c>
      <c r="B525" t="s">
        <v>159</v>
      </c>
      <c r="C525">
        <v>8</v>
      </c>
      <c r="D525" t="s">
        <v>3120</v>
      </c>
      <c r="E525">
        <v>59</v>
      </c>
      <c r="F525">
        <v>30</v>
      </c>
      <c r="G525">
        <v>29</v>
      </c>
      <c r="H525" t="s">
        <v>3493</v>
      </c>
      <c r="I525" t="s">
        <v>3490</v>
      </c>
      <c r="J525" t="s">
        <v>2902</v>
      </c>
    </row>
    <row r="526" spans="1:10" x14ac:dyDescent="0.25">
      <c r="A526" t="s">
        <v>789</v>
      </c>
      <c r="B526" t="s">
        <v>159</v>
      </c>
      <c r="C526">
        <v>8</v>
      </c>
      <c r="D526" t="s">
        <v>3122</v>
      </c>
      <c r="E526">
        <v>77</v>
      </c>
      <c r="F526">
        <v>11</v>
      </c>
      <c r="G526">
        <v>66</v>
      </c>
      <c r="H526" t="s">
        <v>3494</v>
      </c>
      <c r="I526" t="s">
        <v>3490</v>
      </c>
      <c r="J526" t="s">
        <v>2902</v>
      </c>
    </row>
    <row r="527" spans="1:10" x14ac:dyDescent="0.25">
      <c r="A527" t="s">
        <v>795</v>
      </c>
      <c r="B527" t="s">
        <v>95</v>
      </c>
      <c r="C527">
        <v>6</v>
      </c>
      <c r="D527" t="s">
        <v>3234</v>
      </c>
      <c r="E527">
        <v>55</v>
      </c>
      <c r="F527">
        <v>21</v>
      </c>
      <c r="G527">
        <v>34</v>
      </c>
      <c r="H527" t="s">
        <v>3493</v>
      </c>
      <c r="I527" t="s">
        <v>3490</v>
      </c>
      <c r="J527" t="s">
        <v>2889</v>
      </c>
    </row>
    <row r="528" spans="1:10" x14ac:dyDescent="0.25">
      <c r="A528" t="s">
        <v>795</v>
      </c>
      <c r="B528" t="s">
        <v>95</v>
      </c>
      <c r="C528">
        <v>6</v>
      </c>
      <c r="D528" t="s">
        <v>3236</v>
      </c>
      <c r="E528">
        <v>67</v>
      </c>
      <c r="F528">
        <v>30</v>
      </c>
      <c r="G528">
        <v>37</v>
      </c>
      <c r="H528" t="s">
        <v>3489</v>
      </c>
      <c r="I528" t="s">
        <v>3490</v>
      </c>
      <c r="J528" t="s">
        <v>2889</v>
      </c>
    </row>
    <row r="529" spans="1:10" x14ac:dyDescent="0.25">
      <c r="A529" t="s">
        <v>795</v>
      </c>
      <c r="B529" t="s">
        <v>95</v>
      </c>
      <c r="C529">
        <v>6</v>
      </c>
      <c r="D529" t="s">
        <v>3238</v>
      </c>
      <c r="E529">
        <v>39</v>
      </c>
      <c r="F529">
        <v>18</v>
      </c>
      <c r="G529">
        <v>21</v>
      </c>
      <c r="H529" t="s">
        <v>3491</v>
      </c>
      <c r="I529" t="s">
        <v>3492</v>
      </c>
      <c r="J529" t="s">
        <v>2889</v>
      </c>
    </row>
    <row r="530" spans="1:10" x14ac:dyDescent="0.25">
      <c r="A530" t="s">
        <v>795</v>
      </c>
      <c r="B530" t="s">
        <v>95</v>
      </c>
      <c r="C530">
        <v>6</v>
      </c>
      <c r="D530" t="s">
        <v>3240</v>
      </c>
      <c r="E530">
        <v>73</v>
      </c>
      <c r="F530">
        <v>25</v>
      </c>
      <c r="G530">
        <v>48</v>
      </c>
      <c r="H530" t="s">
        <v>3494</v>
      </c>
      <c r="I530" t="s">
        <v>3490</v>
      </c>
      <c r="J530" t="s">
        <v>2889</v>
      </c>
    </row>
    <row r="531" spans="1:10" x14ac:dyDescent="0.25">
      <c r="A531" t="s">
        <v>795</v>
      </c>
      <c r="B531" t="s">
        <v>95</v>
      </c>
      <c r="C531">
        <v>6</v>
      </c>
      <c r="D531" t="s">
        <v>3242</v>
      </c>
      <c r="E531">
        <v>82</v>
      </c>
      <c r="F531">
        <v>24</v>
      </c>
      <c r="G531">
        <v>58</v>
      </c>
      <c r="H531" t="s">
        <v>196</v>
      </c>
      <c r="I531" t="s">
        <v>3490</v>
      </c>
      <c r="J531" t="s">
        <v>2889</v>
      </c>
    </row>
    <row r="532" spans="1:10" x14ac:dyDescent="0.25">
      <c r="A532" t="s">
        <v>803</v>
      </c>
      <c r="B532" t="s">
        <v>75</v>
      </c>
      <c r="C532">
        <v>8</v>
      </c>
      <c r="D532" t="s">
        <v>3054</v>
      </c>
      <c r="E532">
        <v>64</v>
      </c>
      <c r="F532">
        <v>19</v>
      </c>
      <c r="G532">
        <v>45</v>
      </c>
      <c r="H532" t="s">
        <v>3489</v>
      </c>
      <c r="I532" t="s">
        <v>3490</v>
      </c>
      <c r="J532" t="s">
        <v>2961</v>
      </c>
    </row>
    <row r="533" spans="1:10" x14ac:dyDescent="0.25">
      <c r="A533" t="s">
        <v>803</v>
      </c>
      <c r="B533" t="s">
        <v>75</v>
      </c>
      <c r="C533">
        <v>8</v>
      </c>
      <c r="D533" t="s">
        <v>3056</v>
      </c>
      <c r="E533">
        <v>38</v>
      </c>
      <c r="F533">
        <v>15</v>
      </c>
      <c r="G533">
        <v>23</v>
      </c>
      <c r="H533" t="s">
        <v>3491</v>
      </c>
      <c r="I533" t="s">
        <v>3492</v>
      </c>
      <c r="J533" t="s">
        <v>2961</v>
      </c>
    </row>
    <row r="534" spans="1:10" x14ac:dyDescent="0.25">
      <c r="A534" t="s">
        <v>803</v>
      </c>
      <c r="B534" t="s">
        <v>75</v>
      </c>
      <c r="C534">
        <v>8</v>
      </c>
      <c r="D534" t="s">
        <v>3058</v>
      </c>
      <c r="E534">
        <v>52</v>
      </c>
      <c r="F534">
        <v>24</v>
      </c>
      <c r="G534">
        <v>28</v>
      </c>
      <c r="H534" t="s">
        <v>3493</v>
      </c>
      <c r="I534" t="s">
        <v>3490</v>
      </c>
      <c r="J534" t="s">
        <v>2961</v>
      </c>
    </row>
    <row r="535" spans="1:10" x14ac:dyDescent="0.25">
      <c r="A535" t="s">
        <v>803</v>
      </c>
      <c r="B535" t="s">
        <v>75</v>
      </c>
      <c r="C535">
        <v>8</v>
      </c>
      <c r="D535" t="s">
        <v>3060</v>
      </c>
      <c r="E535">
        <v>90</v>
      </c>
      <c r="F535">
        <v>22</v>
      </c>
      <c r="G535">
        <v>68</v>
      </c>
      <c r="H535" t="s">
        <v>3495</v>
      </c>
      <c r="I535" t="s">
        <v>3490</v>
      </c>
      <c r="J535" t="s">
        <v>2961</v>
      </c>
    </row>
    <row r="536" spans="1:10" x14ac:dyDescent="0.25">
      <c r="A536" t="s">
        <v>803</v>
      </c>
      <c r="B536" t="s">
        <v>75</v>
      </c>
      <c r="C536">
        <v>8</v>
      </c>
      <c r="D536" t="s">
        <v>3062</v>
      </c>
      <c r="E536">
        <v>85</v>
      </c>
      <c r="F536">
        <v>23</v>
      </c>
      <c r="G536">
        <v>62</v>
      </c>
      <c r="H536" t="s">
        <v>196</v>
      </c>
      <c r="I536" t="s">
        <v>3490</v>
      </c>
      <c r="J536" t="s">
        <v>2961</v>
      </c>
    </row>
    <row r="537" spans="1:10" x14ac:dyDescent="0.25">
      <c r="A537" t="s">
        <v>809</v>
      </c>
      <c r="B537" t="s">
        <v>159</v>
      </c>
      <c r="C537">
        <v>8</v>
      </c>
      <c r="D537" t="s">
        <v>3114</v>
      </c>
      <c r="E537">
        <v>72</v>
      </c>
      <c r="F537">
        <v>14</v>
      </c>
      <c r="G537">
        <v>58</v>
      </c>
      <c r="H537" t="s">
        <v>3494</v>
      </c>
      <c r="I537" t="s">
        <v>3490</v>
      </c>
      <c r="J537" t="s">
        <v>2902</v>
      </c>
    </row>
    <row r="538" spans="1:10" x14ac:dyDescent="0.25">
      <c r="A538" t="s">
        <v>809</v>
      </c>
      <c r="B538" t="s">
        <v>159</v>
      </c>
      <c r="C538">
        <v>8</v>
      </c>
      <c r="D538" t="s">
        <v>3116</v>
      </c>
      <c r="E538">
        <v>56</v>
      </c>
      <c r="F538">
        <v>14</v>
      </c>
      <c r="G538">
        <v>42</v>
      </c>
      <c r="H538" t="s">
        <v>3493</v>
      </c>
      <c r="I538" t="s">
        <v>3490</v>
      </c>
      <c r="J538" t="s">
        <v>2902</v>
      </c>
    </row>
    <row r="539" spans="1:10" x14ac:dyDescent="0.25">
      <c r="A539" t="s">
        <v>809</v>
      </c>
      <c r="B539" t="s">
        <v>159</v>
      </c>
      <c r="C539">
        <v>8</v>
      </c>
      <c r="D539" t="s">
        <v>3118</v>
      </c>
      <c r="E539">
        <v>65</v>
      </c>
      <c r="F539">
        <v>10</v>
      </c>
      <c r="G539">
        <v>55</v>
      </c>
      <c r="H539" t="s">
        <v>3489</v>
      </c>
      <c r="I539" t="s">
        <v>3490</v>
      </c>
      <c r="J539" t="s">
        <v>2902</v>
      </c>
    </row>
    <row r="540" spans="1:10" x14ac:dyDescent="0.25">
      <c r="A540" t="s">
        <v>809</v>
      </c>
      <c r="B540" t="s">
        <v>159</v>
      </c>
      <c r="C540">
        <v>8</v>
      </c>
      <c r="D540" t="s">
        <v>3120</v>
      </c>
      <c r="E540">
        <v>79</v>
      </c>
      <c r="F540">
        <v>12</v>
      </c>
      <c r="G540">
        <v>67</v>
      </c>
      <c r="H540" t="s">
        <v>3494</v>
      </c>
      <c r="I540" t="s">
        <v>3490</v>
      </c>
      <c r="J540" t="s">
        <v>2902</v>
      </c>
    </row>
    <row r="541" spans="1:10" x14ac:dyDescent="0.25">
      <c r="A541" t="s">
        <v>809</v>
      </c>
      <c r="B541" t="s">
        <v>159</v>
      </c>
      <c r="C541">
        <v>8</v>
      </c>
      <c r="D541" t="s">
        <v>3122</v>
      </c>
      <c r="E541">
        <v>91</v>
      </c>
      <c r="F541">
        <v>25</v>
      </c>
      <c r="G541">
        <v>66</v>
      </c>
      <c r="H541" t="s">
        <v>3495</v>
      </c>
      <c r="I541" t="s">
        <v>3490</v>
      </c>
      <c r="J541" t="s">
        <v>2902</v>
      </c>
    </row>
    <row r="542" spans="1:10" x14ac:dyDescent="0.25">
      <c r="A542" t="s">
        <v>816</v>
      </c>
      <c r="B542" t="s">
        <v>159</v>
      </c>
      <c r="C542">
        <v>6</v>
      </c>
      <c r="D542" t="s">
        <v>3114</v>
      </c>
      <c r="E542">
        <v>80</v>
      </c>
      <c r="F542">
        <v>30</v>
      </c>
      <c r="G542">
        <v>50</v>
      </c>
      <c r="H542" t="s">
        <v>196</v>
      </c>
      <c r="I542" t="s">
        <v>3490</v>
      </c>
      <c r="J542" t="s">
        <v>2902</v>
      </c>
    </row>
    <row r="543" spans="1:10" x14ac:dyDescent="0.25">
      <c r="A543" t="s">
        <v>816</v>
      </c>
      <c r="B543" t="s">
        <v>159</v>
      </c>
      <c r="C543">
        <v>6</v>
      </c>
      <c r="D543" t="s">
        <v>3116</v>
      </c>
      <c r="E543">
        <v>45</v>
      </c>
      <c r="F543">
        <v>22</v>
      </c>
      <c r="G543">
        <v>23</v>
      </c>
      <c r="H543" t="s">
        <v>3491</v>
      </c>
      <c r="I543" t="s">
        <v>3492</v>
      </c>
      <c r="J543" t="s">
        <v>2902</v>
      </c>
    </row>
    <row r="544" spans="1:10" x14ac:dyDescent="0.25">
      <c r="A544" t="s">
        <v>816</v>
      </c>
      <c r="B544" t="s">
        <v>159</v>
      </c>
      <c r="C544">
        <v>6</v>
      </c>
      <c r="D544" t="s">
        <v>3118</v>
      </c>
      <c r="E544">
        <v>71</v>
      </c>
      <c r="F544">
        <v>15</v>
      </c>
      <c r="G544">
        <v>56</v>
      </c>
      <c r="H544" t="s">
        <v>3494</v>
      </c>
      <c r="I544" t="s">
        <v>3490</v>
      </c>
      <c r="J544" t="s">
        <v>2902</v>
      </c>
    </row>
    <row r="545" spans="1:10" x14ac:dyDescent="0.25">
      <c r="A545" t="s">
        <v>816</v>
      </c>
      <c r="B545" t="s">
        <v>159</v>
      </c>
      <c r="C545">
        <v>6</v>
      </c>
      <c r="D545" t="s">
        <v>3120</v>
      </c>
      <c r="E545">
        <v>53</v>
      </c>
      <c r="F545">
        <v>29</v>
      </c>
      <c r="G545">
        <v>24</v>
      </c>
      <c r="H545" t="s">
        <v>3493</v>
      </c>
      <c r="I545" t="s">
        <v>3490</v>
      </c>
      <c r="J545" t="s">
        <v>2902</v>
      </c>
    </row>
    <row r="546" spans="1:10" x14ac:dyDescent="0.25">
      <c r="A546" t="s">
        <v>816</v>
      </c>
      <c r="B546" t="s">
        <v>159</v>
      </c>
      <c r="C546">
        <v>6</v>
      </c>
      <c r="D546" t="s">
        <v>3122</v>
      </c>
      <c r="E546">
        <v>39</v>
      </c>
      <c r="F546">
        <v>18</v>
      </c>
      <c r="G546">
        <v>21</v>
      </c>
      <c r="H546" t="s">
        <v>3491</v>
      </c>
      <c r="I546" t="s">
        <v>3492</v>
      </c>
      <c r="J546" t="s">
        <v>2902</v>
      </c>
    </row>
    <row r="547" spans="1:10" x14ac:dyDescent="0.25">
      <c r="A547" t="s">
        <v>821</v>
      </c>
      <c r="B547" t="s">
        <v>212</v>
      </c>
      <c r="C547">
        <v>4</v>
      </c>
      <c r="D547" t="s">
        <v>3454</v>
      </c>
      <c r="E547">
        <v>75</v>
      </c>
      <c r="F547">
        <v>22</v>
      </c>
      <c r="G547">
        <v>53</v>
      </c>
      <c r="H547" t="s">
        <v>3494</v>
      </c>
      <c r="I547" t="s">
        <v>3490</v>
      </c>
      <c r="J547" t="s">
        <v>3001</v>
      </c>
    </row>
    <row r="548" spans="1:10" x14ac:dyDescent="0.25">
      <c r="A548" t="s">
        <v>821</v>
      </c>
      <c r="B548" t="s">
        <v>212</v>
      </c>
      <c r="C548">
        <v>4</v>
      </c>
      <c r="D548" t="s">
        <v>3456</v>
      </c>
      <c r="E548">
        <v>63</v>
      </c>
      <c r="F548">
        <v>27</v>
      </c>
      <c r="G548">
        <v>36</v>
      </c>
      <c r="H548" t="s">
        <v>3489</v>
      </c>
      <c r="I548" t="s">
        <v>3490</v>
      </c>
      <c r="J548" t="s">
        <v>3001</v>
      </c>
    </row>
    <row r="549" spans="1:10" x14ac:dyDescent="0.25">
      <c r="A549" t="s">
        <v>821</v>
      </c>
      <c r="B549" t="s">
        <v>212</v>
      </c>
      <c r="C549">
        <v>4</v>
      </c>
      <c r="D549" t="s">
        <v>3458</v>
      </c>
      <c r="E549">
        <v>44</v>
      </c>
      <c r="F549">
        <v>12</v>
      </c>
      <c r="G549">
        <v>32</v>
      </c>
      <c r="H549" t="s">
        <v>3491</v>
      </c>
      <c r="I549" t="s">
        <v>3492</v>
      </c>
      <c r="J549" t="s">
        <v>3001</v>
      </c>
    </row>
    <row r="550" spans="1:10" x14ac:dyDescent="0.25">
      <c r="A550" t="s">
        <v>821</v>
      </c>
      <c r="B550" t="s">
        <v>212</v>
      </c>
      <c r="C550">
        <v>4</v>
      </c>
      <c r="D550" t="s">
        <v>3460</v>
      </c>
      <c r="E550">
        <v>48</v>
      </c>
      <c r="F550">
        <v>16</v>
      </c>
      <c r="G550">
        <v>32</v>
      </c>
      <c r="H550" t="s">
        <v>3491</v>
      </c>
      <c r="I550" t="s">
        <v>3492</v>
      </c>
      <c r="J550" t="s">
        <v>3001</v>
      </c>
    </row>
    <row r="551" spans="1:10" x14ac:dyDescent="0.25">
      <c r="A551" t="s">
        <v>821</v>
      </c>
      <c r="B551" t="s">
        <v>212</v>
      </c>
      <c r="C551">
        <v>4</v>
      </c>
      <c r="D551" t="s">
        <v>3462</v>
      </c>
      <c r="E551">
        <v>58</v>
      </c>
      <c r="F551">
        <v>24</v>
      </c>
      <c r="G551">
        <v>34</v>
      </c>
      <c r="H551" t="s">
        <v>3493</v>
      </c>
      <c r="I551" t="s">
        <v>3490</v>
      </c>
      <c r="J551" t="s">
        <v>3001</v>
      </c>
    </row>
    <row r="552" spans="1:10" x14ac:dyDescent="0.25">
      <c r="A552" t="s">
        <v>826</v>
      </c>
      <c r="B552" t="s">
        <v>159</v>
      </c>
      <c r="C552">
        <v>4</v>
      </c>
      <c r="D552" t="s">
        <v>3094</v>
      </c>
      <c r="E552">
        <v>40</v>
      </c>
      <c r="F552">
        <v>12</v>
      </c>
      <c r="G552">
        <v>28</v>
      </c>
      <c r="H552" t="s">
        <v>3491</v>
      </c>
      <c r="I552" t="s">
        <v>3492</v>
      </c>
      <c r="J552" t="s">
        <v>2902</v>
      </c>
    </row>
    <row r="553" spans="1:10" x14ac:dyDescent="0.25">
      <c r="A553" t="s">
        <v>826</v>
      </c>
      <c r="B553" t="s">
        <v>159</v>
      </c>
      <c r="C553">
        <v>4</v>
      </c>
      <c r="D553" t="s">
        <v>3096</v>
      </c>
      <c r="E553">
        <v>62</v>
      </c>
      <c r="F553">
        <v>20</v>
      </c>
      <c r="G553">
        <v>42</v>
      </c>
      <c r="H553" t="s">
        <v>3489</v>
      </c>
      <c r="I553" t="s">
        <v>3490</v>
      </c>
      <c r="J553" t="s">
        <v>2902</v>
      </c>
    </row>
    <row r="554" spans="1:10" x14ac:dyDescent="0.25">
      <c r="A554" t="s">
        <v>826</v>
      </c>
      <c r="B554" t="s">
        <v>159</v>
      </c>
      <c r="C554">
        <v>4</v>
      </c>
      <c r="D554" t="s">
        <v>3098</v>
      </c>
      <c r="E554">
        <v>47</v>
      </c>
      <c r="F554">
        <v>15</v>
      </c>
      <c r="G554">
        <v>32</v>
      </c>
      <c r="H554" t="s">
        <v>3491</v>
      </c>
      <c r="I554" t="s">
        <v>3492</v>
      </c>
      <c r="J554" t="s">
        <v>2902</v>
      </c>
    </row>
    <row r="555" spans="1:10" x14ac:dyDescent="0.25">
      <c r="A555" t="s">
        <v>826</v>
      </c>
      <c r="B555" t="s">
        <v>159</v>
      </c>
      <c r="C555">
        <v>4</v>
      </c>
      <c r="D555" t="s">
        <v>3100</v>
      </c>
      <c r="E555">
        <v>66</v>
      </c>
      <c r="F555">
        <v>21</v>
      </c>
      <c r="G555">
        <v>45</v>
      </c>
      <c r="H555" t="s">
        <v>3489</v>
      </c>
      <c r="I555" t="s">
        <v>3490</v>
      </c>
      <c r="J555" t="s">
        <v>2902</v>
      </c>
    </row>
    <row r="556" spans="1:10" x14ac:dyDescent="0.25">
      <c r="A556" t="s">
        <v>826</v>
      </c>
      <c r="B556" t="s">
        <v>159</v>
      </c>
      <c r="C556">
        <v>4</v>
      </c>
      <c r="D556" t="s">
        <v>3102</v>
      </c>
      <c r="E556">
        <v>62</v>
      </c>
      <c r="F556">
        <v>13</v>
      </c>
      <c r="G556">
        <v>49</v>
      </c>
      <c r="H556" t="s">
        <v>3489</v>
      </c>
      <c r="I556" t="s">
        <v>3490</v>
      </c>
      <c r="J556" t="s">
        <v>2902</v>
      </c>
    </row>
    <row r="557" spans="1:10" x14ac:dyDescent="0.25">
      <c r="A557" t="s">
        <v>832</v>
      </c>
      <c r="B557" t="s">
        <v>212</v>
      </c>
      <c r="C557">
        <v>8</v>
      </c>
      <c r="D557" t="s">
        <v>3474</v>
      </c>
      <c r="E557">
        <v>52</v>
      </c>
      <c r="F557">
        <v>27</v>
      </c>
      <c r="G557">
        <v>25</v>
      </c>
      <c r="H557" t="s">
        <v>3493</v>
      </c>
      <c r="I557" t="s">
        <v>3490</v>
      </c>
      <c r="J557" t="s">
        <v>3001</v>
      </c>
    </row>
    <row r="558" spans="1:10" x14ac:dyDescent="0.25">
      <c r="A558" t="s">
        <v>832</v>
      </c>
      <c r="B558" t="s">
        <v>212</v>
      </c>
      <c r="C558">
        <v>8</v>
      </c>
      <c r="D558" t="s">
        <v>3476</v>
      </c>
      <c r="E558">
        <v>44</v>
      </c>
      <c r="F558">
        <v>24</v>
      </c>
      <c r="G558">
        <v>20</v>
      </c>
      <c r="H558" t="s">
        <v>3491</v>
      </c>
      <c r="I558" t="s">
        <v>3492</v>
      </c>
      <c r="J558" t="s">
        <v>3001</v>
      </c>
    </row>
    <row r="559" spans="1:10" x14ac:dyDescent="0.25">
      <c r="A559" t="s">
        <v>832</v>
      </c>
      <c r="B559" t="s">
        <v>212</v>
      </c>
      <c r="C559">
        <v>8</v>
      </c>
      <c r="D559" t="s">
        <v>3478</v>
      </c>
      <c r="E559">
        <v>46</v>
      </c>
      <c r="F559">
        <v>16</v>
      </c>
      <c r="G559">
        <v>30</v>
      </c>
      <c r="H559" t="s">
        <v>3491</v>
      </c>
      <c r="I559" t="s">
        <v>3492</v>
      </c>
      <c r="J559" t="s">
        <v>3001</v>
      </c>
    </row>
    <row r="560" spans="1:10" x14ac:dyDescent="0.25">
      <c r="A560" t="s">
        <v>832</v>
      </c>
      <c r="B560" t="s">
        <v>212</v>
      </c>
      <c r="C560">
        <v>8</v>
      </c>
      <c r="D560" t="s">
        <v>3480</v>
      </c>
      <c r="E560">
        <v>38</v>
      </c>
      <c r="F560">
        <v>13</v>
      </c>
      <c r="G560">
        <v>25</v>
      </c>
      <c r="H560" t="s">
        <v>3491</v>
      </c>
      <c r="I560" t="s">
        <v>3492</v>
      </c>
      <c r="J560" t="s">
        <v>3001</v>
      </c>
    </row>
    <row r="561" spans="1:10" x14ac:dyDescent="0.25">
      <c r="A561" t="s">
        <v>832</v>
      </c>
      <c r="B561" t="s">
        <v>212</v>
      </c>
      <c r="C561">
        <v>8</v>
      </c>
      <c r="D561" t="s">
        <v>3482</v>
      </c>
      <c r="E561">
        <v>59</v>
      </c>
      <c r="F561">
        <v>29</v>
      </c>
      <c r="G561">
        <v>30</v>
      </c>
      <c r="H561" t="s">
        <v>3493</v>
      </c>
      <c r="I561" t="s">
        <v>3490</v>
      </c>
      <c r="J561" t="s">
        <v>3001</v>
      </c>
    </row>
    <row r="562" spans="1:10" x14ac:dyDescent="0.25">
      <c r="A562" t="s">
        <v>838</v>
      </c>
      <c r="B562" t="s">
        <v>30</v>
      </c>
      <c r="C562">
        <v>4</v>
      </c>
      <c r="D562" t="s">
        <v>3334</v>
      </c>
      <c r="E562">
        <v>54</v>
      </c>
      <c r="F562">
        <v>10</v>
      </c>
      <c r="G562">
        <v>44</v>
      </c>
      <c r="H562" t="s">
        <v>3493</v>
      </c>
      <c r="I562" t="s">
        <v>3490</v>
      </c>
      <c r="J562" t="s">
        <v>2895</v>
      </c>
    </row>
    <row r="563" spans="1:10" x14ac:dyDescent="0.25">
      <c r="A563" t="s">
        <v>838</v>
      </c>
      <c r="B563" t="s">
        <v>30</v>
      </c>
      <c r="C563">
        <v>4</v>
      </c>
      <c r="D563" t="s">
        <v>3336</v>
      </c>
      <c r="E563">
        <v>47</v>
      </c>
      <c r="F563">
        <v>13</v>
      </c>
      <c r="G563">
        <v>34</v>
      </c>
      <c r="H563" t="s">
        <v>3491</v>
      </c>
      <c r="I563" t="s">
        <v>3492</v>
      </c>
      <c r="J563" t="s">
        <v>2895</v>
      </c>
    </row>
    <row r="564" spans="1:10" x14ac:dyDescent="0.25">
      <c r="A564" t="s">
        <v>838</v>
      </c>
      <c r="B564" t="s">
        <v>30</v>
      </c>
      <c r="C564">
        <v>4</v>
      </c>
      <c r="D564" t="s">
        <v>3338</v>
      </c>
      <c r="E564">
        <v>58</v>
      </c>
      <c r="F564">
        <v>23</v>
      </c>
      <c r="G564">
        <v>35</v>
      </c>
      <c r="H564" t="s">
        <v>3493</v>
      </c>
      <c r="I564" t="s">
        <v>3490</v>
      </c>
      <c r="J564" t="s">
        <v>2895</v>
      </c>
    </row>
    <row r="565" spans="1:10" x14ac:dyDescent="0.25">
      <c r="A565" t="s">
        <v>838</v>
      </c>
      <c r="B565" t="s">
        <v>30</v>
      </c>
      <c r="C565">
        <v>4</v>
      </c>
      <c r="D565" t="s">
        <v>3340</v>
      </c>
      <c r="E565">
        <v>88</v>
      </c>
      <c r="F565">
        <v>26</v>
      </c>
      <c r="G565">
        <v>62</v>
      </c>
      <c r="H565" t="s">
        <v>196</v>
      </c>
      <c r="I565" t="s">
        <v>3490</v>
      </c>
      <c r="J565" t="s">
        <v>2895</v>
      </c>
    </row>
    <row r="566" spans="1:10" x14ac:dyDescent="0.25">
      <c r="A566" t="s">
        <v>838</v>
      </c>
      <c r="B566" t="s">
        <v>30</v>
      </c>
      <c r="C566">
        <v>4</v>
      </c>
      <c r="D566" t="s">
        <v>3342</v>
      </c>
      <c r="E566">
        <v>48</v>
      </c>
      <c r="F566">
        <v>20</v>
      </c>
      <c r="G566">
        <v>28</v>
      </c>
      <c r="H566" t="s">
        <v>3491</v>
      </c>
      <c r="I566" t="s">
        <v>3492</v>
      </c>
      <c r="J566" t="s">
        <v>2895</v>
      </c>
    </row>
    <row r="567" spans="1:10" x14ac:dyDescent="0.25">
      <c r="A567" t="s">
        <v>846</v>
      </c>
      <c r="B567" t="s">
        <v>122</v>
      </c>
      <c r="C567">
        <v>4</v>
      </c>
      <c r="D567" t="s">
        <v>3274</v>
      </c>
      <c r="E567">
        <v>75</v>
      </c>
      <c r="F567">
        <v>24</v>
      </c>
      <c r="G567">
        <v>51</v>
      </c>
      <c r="H567" t="s">
        <v>3494</v>
      </c>
      <c r="I567" t="s">
        <v>3490</v>
      </c>
      <c r="J567" t="s">
        <v>2919</v>
      </c>
    </row>
    <row r="568" spans="1:10" x14ac:dyDescent="0.25">
      <c r="A568" t="s">
        <v>846</v>
      </c>
      <c r="B568" t="s">
        <v>122</v>
      </c>
      <c r="C568">
        <v>4</v>
      </c>
      <c r="D568" t="s">
        <v>3276</v>
      </c>
      <c r="E568">
        <v>83</v>
      </c>
      <c r="F568">
        <v>27</v>
      </c>
      <c r="G568">
        <v>56</v>
      </c>
      <c r="H568" t="s">
        <v>196</v>
      </c>
      <c r="I568" t="s">
        <v>3490</v>
      </c>
      <c r="J568" t="s">
        <v>2919</v>
      </c>
    </row>
    <row r="569" spans="1:10" x14ac:dyDescent="0.25">
      <c r="A569" t="s">
        <v>846</v>
      </c>
      <c r="B569" t="s">
        <v>122</v>
      </c>
      <c r="C569">
        <v>4</v>
      </c>
      <c r="D569" t="s">
        <v>3278</v>
      </c>
      <c r="E569">
        <v>65</v>
      </c>
      <c r="F569">
        <v>21</v>
      </c>
      <c r="G569">
        <v>44</v>
      </c>
      <c r="H569" t="s">
        <v>3489</v>
      </c>
      <c r="I569" t="s">
        <v>3490</v>
      </c>
      <c r="J569" t="s">
        <v>2919</v>
      </c>
    </row>
    <row r="570" spans="1:10" x14ac:dyDescent="0.25">
      <c r="A570" t="s">
        <v>846</v>
      </c>
      <c r="B570" t="s">
        <v>122</v>
      </c>
      <c r="C570">
        <v>4</v>
      </c>
      <c r="D570" t="s">
        <v>3280</v>
      </c>
      <c r="E570">
        <v>45</v>
      </c>
      <c r="F570">
        <v>13</v>
      </c>
      <c r="G570">
        <v>32</v>
      </c>
      <c r="H570" t="s">
        <v>3491</v>
      </c>
      <c r="I570" t="s">
        <v>3492</v>
      </c>
      <c r="J570" t="s">
        <v>2919</v>
      </c>
    </row>
    <row r="571" spans="1:10" x14ac:dyDescent="0.25">
      <c r="A571" t="s">
        <v>846</v>
      </c>
      <c r="B571" t="s">
        <v>122</v>
      </c>
      <c r="C571">
        <v>4</v>
      </c>
      <c r="D571" t="s">
        <v>3282</v>
      </c>
      <c r="E571">
        <v>64</v>
      </c>
      <c r="F571">
        <v>16</v>
      </c>
      <c r="G571">
        <v>48</v>
      </c>
      <c r="H571" t="s">
        <v>3489</v>
      </c>
      <c r="I571" t="s">
        <v>3490</v>
      </c>
      <c r="J571" t="s">
        <v>2919</v>
      </c>
    </row>
    <row r="572" spans="1:10" x14ac:dyDescent="0.25">
      <c r="A572" t="s">
        <v>852</v>
      </c>
      <c r="B572" t="s">
        <v>75</v>
      </c>
      <c r="C572">
        <v>6</v>
      </c>
      <c r="D572" t="s">
        <v>3054</v>
      </c>
      <c r="E572">
        <v>74</v>
      </c>
      <c r="F572">
        <v>12</v>
      </c>
      <c r="G572">
        <v>62</v>
      </c>
      <c r="H572" t="s">
        <v>3494</v>
      </c>
      <c r="I572" t="s">
        <v>3490</v>
      </c>
      <c r="J572" t="s">
        <v>2961</v>
      </c>
    </row>
    <row r="573" spans="1:10" x14ac:dyDescent="0.25">
      <c r="A573" t="s">
        <v>852</v>
      </c>
      <c r="B573" t="s">
        <v>75</v>
      </c>
      <c r="C573">
        <v>6</v>
      </c>
      <c r="D573" t="s">
        <v>3056</v>
      </c>
      <c r="E573">
        <v>65</v>
      </c>
      <c r="F573">
        <v>27</v>
      </c>
      <c r="G573">
        <v>38</v>
      </c>
      <c r="H573" t="s">
        <v>3489</v>
      </c>
      <c r="I573" t="s">
        <v>3490</v>
      </c>
      <c r="J573" t="s">
        <v>2961</v>
      </c>
    </row>
    <row r="574" spans="1:10" x14ac:dyDescent="0.25">
      <c r="A574" t="s">
        <v>852</v>
      </c>
      <c r="B574" t="s">
        <v>75</v>
      </c>
      <c r="C574">
        <v>6</v>
      </c>
      <c r="D574" t="s">
        <v>3058</v>
      </c>
      <c r="E574">
        <v>55</v>
      </c>
      <c r="F574">
        <v>19</v>
      </c>
      <c r="G574">
        <v>36</v>
      </c>
      <c r="H574" t="s">
        <v>3493</v>
      </c>
      <c r="I574" t="s">
        <v>3490</v>
      </c>
      <c r="J574" t="s">
        <v>2961</v>
      </c>
    </row>
    <row r="575" spans="1:10" x14ac:dyDescent="0.25">
      <c r="A575" t="s">
        <v>852</v>
      </c>
      <c r="B575" t="s">
        <v>75</v>
      </c>
      <c r="C575">
        <v>6</v>
      </c>
      <c r="D575" t="s">
        <v>3060</v>
      </c>
      <c r="E575">
        <v>51</v>
      </c>
      <c r="F575">
        <v>28</v>
      </c>
      <c r="G575">
        <v>23</v>
      </c>
      <c r="H575" t="s">
        <v>3493</v>
      </c>
      <c r="I575" t="s">
        <v>3490</v>
      </c>
      <c r="J575" t="s">
        <v>2961</v>
      </c>
    </row>
    <row r="576" spans="1:10" x14ac:dyDescent="0.25">
      <c r="A576" t="s">
        <v>852</v>
      </c>
      <c r="B576" t="s">
        <v>75</v>
      </c>
      <c r="C576">
        <v>6</v>
      </c>
      <c r="D576" t="s">
        <v>3062</v>
      </c>
      <c r="E576">
        <v>72</v>
      </c>
      <c r="F576">
        <v>15</v>
      </c>
      <c r="G576">
        <v>57</v>
      </c>
      <c r="H576" t="s">
        <v>3494</v>
      </c>
      <c r="I576" t="s">
        <v>3490</v>
      </c>
      <c r="J576" t="s">
        <v>2961</v>
      </c>
    </row>
    <row r="577" spans="1:10" x14ac:dyDescent="0.25">
      <c r="A577" t="s">
        <v>858</v>
      </c>
      <c r="B577" t="s">
        <v>63</v>
      </c>
      <c r="C577">
        <v>8</v>
      </c>
      <c r="D577" t="s">
        <v>3414</v>
      </c>
      <c r="E577">
        <v>43</v>
      </c>
      <c r="F577">
        <v>20</v>
      </c>
      <c r="G577">
        <v>23</v>
      </c>
      <c r="H577" t="s">
        <v>3491</v>
      </c>
      <c r="I577" t="s">
        <v>3492</v>
      </c>
      <c r="J577" t="s">
        <v>2932</v>
      </c>
    </row>
    <row r="578" spans="1:10" x14ac:dyDescent="0.25">
      <c r="A578" t="s">
        <v>858</v>
      </c>
      <c r="B578" t="s">
        <v>63</v>
      </c>
      <c r="C578">
        <v>8</v>
      </c>
      <c r="D578" t="s">
        <v>3416</v>
      </c>
      <c r="E578">
        <v>59</v>
      </c>
      <c r="F578">
        <v>14</v>
      </c>
      <c r="G578">
        <v>45</v>
      </c>
      <c r="H578" t="s">
        <v>3493</v>
      </c>
      <c r="I578" t="s">
        <v>3490</v>
      </c>
      <c r="J578" t="s">
        <v>2932</v>
      </c>
    </row>
    <row r="579" spans="1:10" x14ac:dyDescent="0.25">
      <c r="A579" t="s">
        <v>858</v>
      </c>
      <c r="B579" t="s">
        <v>63</v>
      </c>
      <c r="C579">
        <v>8</v>
      </c>
      <c r="D579" t="s">
        <v>3418</v>
      </c>
      <c r="E579">
        <v>71</v>
      </c>
      <c r="F579">
        <v>19</v>
      </c>
      <c r="G579">
        <v>52</v>
      </c>
      <c r="H579" t="s">
        <v>3494</v>
      </c>
      <c r="I579" t="s">
        <v>3490</v>
      </c>
      <c r="J579" t="s">
        <v>2932</v>
      </c>
    </row>
    <row r="580" spans="1:10" x14ac:dyDescent="0.25">
      <c r="A580" t="s">
        <v>858</v>
      </c>
      <c r="B580" t="s">
        <v>63</v>
      </c>
      <c r="C580">
        <v>8</v>
      </c>
      <c r="D580" t="s">
        <v>3420</v>
      </c>
      <c r="E580">
        <v>37</v>
      </c>
      <c r="F580">
        <v>11</v>
      </c>
      <c r="G580">
        <v>26</v>
      </c>
      <c r="H580" t="s">
        <v>3491</v>
      </c>
      <c r="I580" t="s">
        <v>3492</v>
      </c>
      <c r="J580" t="s">
        <v>2932</v>
      </c>
    </row>
    <row r="581" spans="1:10" x14ac:dyDescent="0.25">
      <c r="A581" t="s">
        <v>858</v>
      </c>
      <c r="B581" t="s">
        <v>63</v>
      </c>
      <c r="C581">
        <v>8</v>
      </c>
      <c r="D581" t="s">
        <v>3422</v>
      </c>
      <c r="E581">
        <v>60</v>
      </c>
      <c r="F581">
        <v>23</v>
      </c>
      <c r="G581">
        <v>37</v>
      </c>
      <c r="H581" t="s">
        <v>3489</v>
      </c>
      <c r="I581" t="s">
        <v>3490</v>
      </c>
      <c r="J581" t="s">
        <v>2932</v>
      </c>
    </row>
    <row r="582" spans="1:10" x14ac:dyDescent="0.25">
      <c r="A582" t="s">
        <v>865</v>
      </c>
      <c r="B582" t="s">
        <v>63</v>
      </c>
      <c r="C582">
        <v>8</v>
      </c>
      <c r="D582" t="s">
        <v>3414</v>
      </c>
      <c r="E582">
        <v>42</v>
      </c>
      <c r="F582">
        <v>19</v>
      </c>
      <c r="G582">
        <v>23</v>
      </c>
      <c r="H582" t="s">
        <v>3491</v>
      </c>
      <c r="I582" t="s">
        <v>3492</v>
      </c>
      <c r="J582" t="s">
        <v>2932</v>
      </c>
    </row>
    <row r="583" spans="1:10" x14ac:dyDescent="0.25">
      <c r="A583" t="s">
        <v>865</v>
      </c>
      <c r="B583" t="s">
        <v>63</v>
      </c>
      <c r="C583">
        <v>8</v>
      </c>
      <c r="D583" t="s">
        <v>3416</v>
      </c>
      <c r="E583">
        <v>65</v>
      </c>
      <c r="F583">
        <v>17</v>
      </c>
      <c r="G583">
        <v>48</v>
      </c>
      <c r="H583" t="s">
        <v>3489</v>
      </c>
      <c r="I583" t="s">
        <v>3490</v>
      </c>
      <c r="J583" t="s">
        <v>2932</v>
      </c>
    </row>
    <row r="584" spans="1:10" x14ac:dyDescent="0.25">
      <c r="A584" t="s">
        <v>865</v>
      </c>
      <c r="B584" t="s">
        <v>63</v>
      </c>
      <c r="C584">
        <v>8</v>
      </c>
      <c r="D584" t="s">
        <v>3418</v>
      </c>
      <c r="E584">
        <v>79</v>
      </c>
      <c r="F584">
        <v>16</v>
      </c>
      <c r="G584">
        <v>63</v>
      </c>
      <c r="H584" t="s">
        <v>3494</v>
      </c>
      <c r="I584" t="s">
        <v>3490</v>
      </c>
      <c r="J584" t="s">
        <v>2932</v>
      </c>
    </row>
    <row r="585" spans="1:10" x14ac:dyDescent="0.25">
      <c r="A585" t="s">
        <v>865</v>
      </c>
      <c r="B585" t="s">
        <v>63</v>
      </c>
      <c r="C585">
        <v>8</v>
      </c>
      <c r="D585" t="s">
        <v>3420</v>
      </c>
      <c r="E585">
        <v>44</v>
      </c>
      <c r="F585">
        <v>18</v>
      </c>
      <c r="G585">
        <v>26</v>
      </c>
      <c r="H585" t="s">
        <v>3491</v>
      </c>
      <c r="I585" t="s">
        <v>3492</v>
      </c>
      <c r="J585" t="s">
        <v>2932</v>
      </c>
    </row>
    <row r="586" spans="1:10" x14ac:dyDescent="0.25">
      <c r="A586" t="s">
        <v>865</v>
      </c>
      <c r="B586" t="s">
        <v>63</v>
      </c>
      <c r="C586">
        <v>8</v>
      </c>
      <c r="D586" t="s">
        <v>3422</v>
      </c>
      <c r="E586">
        <v>72</v>
      </c>
      <c r="F586">
        <v>22</v>
      </c>
      <c r="G586">
        <v>50</v>
      </c>
      <c r="H586" t="s">
        <v>3494</v>
      </c>
      <c r="I586" t="s">
        <v>3490</v>
      </c>
      <c r="J586" t="s">
        <v>2932</v>
      </c>
    </row>
    <row r="587" spans="1:10" x14ac:dyDescent="0.25">
      <c r="A587" t="s">
        <v>870</v>
      </c>
      <c r="B587" t="s">
        <v>122</v>
      </c>
      <c r="C587">
        <v>6</v>
      </c>
      <c r="D587" t="s">
        <v>3294</v>
      </c>
      <c r="E587">
        <v>53</v>
      </c>
      <c r="F587">
        <v>27</v>
      </c>
      <c r="G587">
        <v>26</v>
      </c>
      <c r="H587" t="s">
        <v>3493</v>
      </c>
      <c r="I587" t="s">
        <v>3490</v>
      </c>
      <c r="J587" t="s">
        <v>2919</v>
      </c>
    </row>
    <row r="588" spans="1:10" x14ac:dyDescent="0.25">
      <c r="A588" t="s">
        <v>870</v>
      </c>
      <c r="B588" t="s">
        <v>122</v>
      </c>
      <c r="C588">
        <v>6</v>
      </c>
      <c r="D588" t="s">
        <v>3296</v>
      </c>
      <c r="E588">
        <v>63</v>
      </c>
      <c r="F588">
        <v>14</v>
      </c>
      <c r="G588">
        <v>49</v>
      </c>
      <c r="H588" t="s">
        <v>3489</v>
      </c>
      <c r="I588" t="s">
        <v>3490</v>
      </c>
      <c r="J588" t="s">
        <v>2919</v>
      </c>
    </row>
    <row r="589" spans="1:10" x14ac:dyDescent="0.25">
      <c r="A589" t="s">
        <v>870</v>
      </c>
      <c r="B589" t="s">
        <v>122</v>
      </c>
      <c r="C589">
        <v>6</v>
      </c>
      <c r="D589" t="s">
        <v>3298</v>
      </c>
      <c r="E589">
        <v>87</v>
      </c>
      <c r="F589">
        <v>25</v>
      </c>
      <c r="G589">
        <v>62</v>
      </c>
      <c r="H589" t="s">
        <v>196</v>
      </c>
      <c r="I589" t="s">
        <v>3490</v>
      </c>
      <c r="J589" t="s">
        <v>2919</v>
      </c>
    </row>
    <row r="590" spans="1:10" x14ac:dyDescent="0.25">
      <c r="A590" t="s">
        <v>870</v>
      </c>
      <c r="B590" t="s">
        <v>122</v>
      </c>
      <c r="C590">
        <v>6</v>
      </c>
      <c r="D590" t="s">
        <v>3300</v>
      </c>
      <c r="E590">
        <v>56</v>
      </c>
      <c r="F590">
        <v>26</v>
      </c>
      <c r="G590">
        <v>30</v>
      </c>
      <c r="H590" t="s">
        <v>3493</v>
      </c>
      <c r="I590" t="s">
        <v>3490</v>
      </c>
      <c r="J590" t="s">
        <v>2919</v>
      </c>
    </row>
    <row r="591" spans="1:10" x14ac:dyDescent="0.25">
      <c r="A591" t="s">
        <v>870</v>
      </c>
      <c r="B591" t="s">
        <v>122</v>
      </c>
      <c r="C591">
        <v>6</v>
      </c>
      <c r="D591" t="s">
        <v>3302</v>
      </c>
      <c r="E591">
        <v>39</v>
      </c>
      <c r="F591">
        <v>15</v>
      </c>
      <c r="G591">
        <v>24</v>
      </c>
      <c r="H591" t="s">
        <v>3491</v>
      </c>
      <c r="I591" t="s">
        <v>3492</v>
      </c>
      <c r="J591" t="s">
        <v>2919</v>
      </c>
    </row>
    <row r="592" spans="1:10" x14ac:dyDescent="0.25">
      <c r="A592" t="s">
        <v>877</v>
      </c>
      <c r="B592" t="s">
        <v>105</v>
      </c>
      <c r="C592">
        <v>8</v>
      </c>
      <c r="D592" t="s">
        <v>3174</v>
      </c>
      <c r="E592">
        <v>40</v>
      </c>
      <c r="F592">
        <v>10</v>
      </c>
      <c r="G592">
        <v>30</v>
      </c>
      <c r="H592" t="s">
        <v>3491</v>
      </c>
      <c r="I592" t="s">
        <v>3492</v>
      </c>
      <c r="J592" t="s">
        <v>2908</v>
      </c>
    </row>
    <row r="593" spans="1:10" x14ac:dyDescent="0.25">
      <c r="A593" t="s">
        <v>877</v>
      </c>
      <c r="B593" t="s">
        <v>105</v>
      </c>
      <c r="C593">
        <v>8</v>
      </c>
      <c r="D593" t="s">
        <v>3176</v>
      </c>
      <c r="E593">
        <v>55</v>
      </c>
      <c r="F593">
        <v>30</v>
      </c>
      <c r="G593">
        <v>25</v>
      </c>
      <c r="H593" t="s">
        <v>3493</v>
      </c>
      <c r="I593" t="s">
        <v>3490</v>
      </c>
      <c r="J593" t="s">
        <v>2908</v>
      </c>
    </row>
    <row r="594" spans="1:10" x14ac:dyDescent="0.25">
      <c r="A594" t="s">
        <v>877</v>
      </c>
      <c r="B594" t="s">
        <v>105</v>
      </c>
      <c r="C594">
        <v>8</v>
      </c>
      <c r="D594" t="s">
        <v>3178</v>
      </c>
      <c r="E594">
        <v>82</v>
      </c>
      <c r="F594">
        <v>25</v>
      </c>
      <c r="G594">
        <v>57</v>
      </c>
      <c r="H594" t="s">
        <v>196</v>
      </c>
      <c r="I594" t="s">
        <v>3490</v>
      </c>
      <c r="J594" t="s">
        <v>2908</v>
      </c>
    </row>
    <row r="595" spans="1:10" x14ac:dyDescent="0.25">
      <c r="A595" t="s">
        <v>877</v>
      </c>
      <c r="B595" t="s">
        <v>105</v>
      </c>
      <c r="C595">
        <v>8</v>
      </c>
      <c r="D595" t="s">
        <v>3180</v>
      </c>
      <c r="E595">
        <v>58</v>
      </c>
      <c r="F595">
        <v>27</v>
      </c>
      <c r="G595">
        <v>31</v>
      </c>
      <c r="H595" t="s">
        <v>3493</v>
      </c>
      <c r="I595" t="s">
        <v>3490</v>
      </c>
      <c r="J595" t="s">
        <v>2908</v>
      </c>
    </row>
    <row r="596" spans="1:10" x14ac:dyDescent="0.25">
      <c r="A596" t="s">
        <v>877</v>
      </c>
      <c r="B596" t="s">
        <v>105</v>
      </c>
      <c r="C596">
        <v>8</v>
      </c>
      <c r="D596" t="s">
        <v>3182</v>
      </c>
      <c r="E596">
        <v>73</v>
      </c>
      <c r="F596">
        <v>13</v>
      </c>
      <c r="G596">
        <v>60</v>
      </c>
      <c r="H596" t="s">
        <v>3494</v>
      </c>
      <c r="I596" t="s">
        <v>3490</v>
      </c>
      <c r="J596" t="s">
        <v>2908</v>
      </c>
    </row>
    <row r="597" spans="1:10" x14ac:dyDescent="0.25">
      <c r="A597" t="s">
        <v>883</v>
      </c>
      <c r="B597" t="s">
        <v>159</v>
      </c>
      <c r="C597">
        <v>6</v>
      </c>
      <c r="D597" t="s">
        <v>3114</v>
      </c>
      <c r="E597">
        <v>52</v>
      </c>
      <c r="F597">
        <v>16</v>
      </c>
      <c r="G597">
        <v>36</v>
      </c>
      <c r="H597" t="s">
        <v>3493</v>
      </c>
      <c r="I597" t="s">
        <v>3490</v>
      </c>
      <c r="J597" t="s">
        <v>2902</v>
      </c>
    </row>
    <row r="598" spans="1:10" x14ac:dyDescent="0.25">
      <c r="A598" t="s">
        <v>883</v>
      </c>
      <c r="B598" t="s">
        <v>159</v>
      </c>
      <c r="C598">
        <v>6</v>
      </c>
      <c r="D598" t="s">
        <v>3116</v>
      </c>
      <c r="E598">
        <v>72</v>
      </c>
      <c r="F598">
        <v>26</v>
      </c>
      <c r="G598">
        <v>46</v>
      </c>
      <c r="H598" t="s">
        <v>3494</v>
      </c>
      <c r="I598" t="s">
        <v>3490</v>
      </c>
      <c r="J598" t="s">
        <v>2902</v>
      </c>
    </row>
    <row r="599" spans="1:10" x14ac:dyDescent="0.25">
      <c r="A599" t="s">
        <v>883</v>
      </c>
      <c r="B599" t="s">
        <v>159</v>
      </c>
      <c r="C599">
        <v>6</v>
      </c>
      <c r="D599" t="s">
        <v>3118</v>
      </c>
      <c r="E599">
        <v>71</v>
      </c>
      <c r="F599">
        <v>15</v>
      </c>
      <c r="G599">
        <v>56</v>
      </c>
      <c r="H599" t="s">
        <v>3494</v>
      </c>
      <c r="I599" t="s">
        <v>3490</v>
      </c>
      <c r="J599" t="s">
        <v>2902</v>
      </c>
    </row>
    <row r="600" spans="1:10" x14ac:dyDescent="0.25">
      <c r="A600" t="s">
        <v>883</v>
      </c>
      <c r="B600" t="s">
        <v>159</v>
      </c>
      <c r="C600">
        <v>6</v>
      </c>
      <c r="D600" t="s">
        <v>3120</v>
      </c>
      <c r="E600">
        <v>68</v>
      </c>
      <c r="F600">
        <v>27</v>
      </c>
      <c r="G600">
        <v>41</v>
      </c>
      <c r="H600" t="s">
        <v>3489</v>
      </c>
      <c r="I600" t="s">
        <v>3490</v>
      </c>
      <c r="J600" t="s">
        <v>2902</v>
      </c>
    </row>
    <row r="601" spans="1:10" x14ac:dyDescent="0.25">
      <c r="A601" t="s">
        <v>883</v>
      </c>
      <c r="B601" t="s">
        <v>159</v>
      </c>
      <c r="C601">
        <v>6</v>
      </c>
      <c r="D601" t="s">
        <v>3122</v>
      </c>
      <c r="E601">
        <v>95</v>
      </c>
      <c r="F601">
        <v>25</v>
      </c>
      <c r="G601">
        <v>70</v>
      </c>
      <c r="H601" t="s">
        <v>3495</v>
      </c>
      <c r="I601" t="s">
        <v>3490</v>
      </c>
      <c r="J601" t="s">
        <v>2902</v>
      </c>
    </row>
    <row r="602" spans="1:10" x14ac:dyDescent="0.25">
      <c r="A602" t="s">
        <v>888</v>
      </c>
      <c r="B602" t="s">
        <v>30</v>
      </c>
      <c r="C602">
        <v>8</v>
      </c>
      <c r="D602" t="s">
        <v>3354</v>
      </c>
      <c r="E602">
        <v>77</v>
      </c>
      <c r="F602">
        <v>29</v>
      </c>
      <c r="G602">
        <v>48</v>
      </c>
      <c r="H602" t="s">
        <v>3494</v>
      </c>
      <c r="I602" t="s">
        <v>3490</v>
      </c>
      <c r="J602" t="s">
        <v>2895</v>
      </c>
    </row>
    <row r="603" spans="1:10" x14ac:dyDescent="0.25">
      <c r="A603" t="s">
        <v>888</v>
      </c>
      <c r="B603" t="s">
        <v>30</v>
      </c>
      <c r="C603">
        <v>8</v>
      </c>
      <c r="D603" t="s">
        <v>3356</v>
      </c>
      <c r="E603">
        <v>85</v>
      </c>
      <c r="F603">
        <v>17</v>
      </c>
      <c r="G603">
        <v>68</v>
      </c>
      <c r="H603" t="s">
        <v>196</v>
      </c>
      <c r="I603" t="s">
        <v>3490</v>
      </c>
      <c r="J603" t="s">
        <v>2895</v>
      </c>
    </row>
    <row r="604" spans="1:10" x14ac:dyDescent="0.25">
      <c r="A604" t="s">
        <v>888</v>
      </c>
      <c r="B604" t="s">
        <v>30</v>
      </c>
      <c r="C604">
        <v>8</v>
      </c>
      <c r="D604" t="s">
        <v>3358</v>
      </c>
      <c r="E604">
        <v>57</v>
      </c>
      <c r="F604">
        <v>23</v>
      </c>
      <c r="G604">
        <v>34</v>
      </c>
      <c r="H604" t="s">
        <v>3493</v>
      </c>
      <c r="I604" t="s">
        <v>3490</v>
      </c>
      <c r="J604" t="s">
        <v>2895</v>
      </c>
    </row>
    <row r="605" spans="1:10" x14ac:dyDescent="0.25">
      <c r="A605" t="s">
        <v>888</v>
      </c>
      <c r="B605" t="s">
        <v>30</v>
      </c>
      <c r="C605">
        <v>8</v>
      </c>
      <c r="D605" t="s">
        <v>3360</v>
      </c>
      <c r="E605">
        <v>62</v>
      </c>
      <c r="F605">
        <v>27</v>
      </c>
      <c r="G605">
        <v>35</v>
      </c>
      <c r="H605" t="s">
        <v>3489</v>
      </c>
      <c r="I605" t="s">
        <v>3490</v>
      </c>
      <c r="J605" t="s">
        <v>2895</v>
      </c>
    </row>
    <row r="606" spans="1:10" x14ac:dyDescent="0.25">
      <c r="A606" t="s">
        <v>888</v>
      </c>
      <c r="B606" t="s">
        <v>30</v>
      </c>
      <c r="C606">
        <v>8</v>
      </c>
      <c r="D606" t="s">
        <v>3362</v>
      </c>
      <c r="E606">
        <v>65</v>
      </c>
      <c r="F606">
        <v>13</v>
      </c>
      <c r="G606">
        <v>52</v>
      </c>
      <c r="H606" t="s">
        <v>3489</v>
      </c>
      <c r="I606" t="s">
        <v>3490</v>
      </c>
      <c r="J606" t="s">
        <v>2895</v>
      </c>
    </row>
    <row r="607" spans="1:10" x14ac:dyDescent="0.25">
      <c r="A607" t="s">
        <v>893</v>
      </c>
      <c r="B607" t="s">
        <v>159</v>
      </c>
      <c r="C607">
        <v>6</v>
      </c>
      <c r="D607" t="s">
        <v>3114</v>
      </c>
      <c r="E607">
        <v>69</v>
      </c>
      <c r="F607">
        <v>15</v>
      </c>
      <c r="G607">
        <v>54</v>
      </c>
      <c r="H607" t="s">
        <v>3489</v>
      </c>
      <c r="I607" t="s">
        <v>3490</v>
      </c>
      <c r="J607" t="s">
        <v>2902</v>
      </c>
    </row>
    <row r="608" spans="1:10" x14ac:dyDescent="0.25">
      <c r="A608" t="s">
        <v>893</v>
      </c>
      <c r="B608" t="s">
        <v>159</v>
      </c>
      <c r="C608">
        <v>6</v>
      </c>
      <c r="D608" t="s">
        <v>3116</v>
      </c>
      <c r="E608">
        <v>66</v>
      </c>
      <c r="F608">
        <v>20</v>
      </c>
      <c r="G608">
        <v>46</v>
      </c>
      <c r="H608" t="s">
        <v>3489</v>
      </c>
      <c r="I608" t="s">
        <v>3490</v>
      </c>
      <c r="J608" t="s">
        <v>2902</v>
      </c>
    </row>
    <row r="609" spans="1:10" x14ac:dyDescent="0.25">
      <c r="A609" t="s">
        <v>893</v>
      </c>
      <c r="B609" t="s">
        <v>159</v>
      </c>
      <c r="C609">
        <v>6</v>
      </c>
      <c r="D609" t="s">
        <v>3118</v>
      </c>
      <c r="E609">
        <v>51</v>
      </c>
      <c r="F609">
        <v>10</v>
      </c>
      <c r="G609">
        <v>41</v>
      </c>
      <c r="H609" t="s">
        <v>3493</v>
      </c>
      <c r="I609" t="s">
        <v>3490</v>
      </c>
      <c r="J609" t="s">
        <v>2902</v>
      </c>
    </row>
    <row r="610" spans="1:10" x14ac:dyDescent="0.25">
      <c r="A610" t="s">
        <v>893</v>
      </c>
      <c r="B610" t="s">
        <v>159</v>
      </c>
      <c r="C610">
        <v>6</v>
      </c>
      <c r="D610" t="s">
        <v>3120</v>
      </c>
      <c r="E610">
        <v>73</v>
      </c>
      <c r="F610">
        <v>17</v>
      </c>
      <c r="G610">
        <v>56</v>
      </c>
      <c r="H610" t="s">
        <v>3494</v>
      </c>
      <c r="I610" t="s">
        <v>3490</v>
      </c>
      <c r="J610" t="s">
        <v>2902</v>
      </c>
    </row>
    <row r="611" spans="1:10" x14ac:dyDescent="0.25">
      <c r="A611" t="s">
        <v>893</v>
      </c>
      <c r="B611" t="s">
        <v>159</v>
      </c>
      <c r="C611">
        <v>6</v>
      </c>
      <c r="D611" t="s">
        <v>3122</v>
      </c>
      <c r="E611">
        <v>91</v>
      </c>
      <c r="F611">
        <v>24</v>
      </c>
      <c r="G611">
        <v>67</v>
      </c>
      <c r="H611" t="s">
        <v>3495</v>
      </c>
      <c r="I611" t="s">
        <v>3490</v>
      </c>
      <c r="J611" t="s">
        <v>2902</v>
      </c>
    </row>
    <row r="612" spans="1:10" x14ac:dyDescent="0.25">
      <c r="A612" t="s">
        <v>898</v>
      </c>
      <c r="B612" t="s">
        <v>122</v>
      </c>
      <c r="C612">
        <v>8</v>
      </c>
      <c r="D612" t="s">
        <v>3294</v>
      </c>
      <c r="E612">
        <v>61</v>
      </c>
      <c r="F612">
        <v>10</v>
      </c>
      <c r="G612">
        <v>51</v>
      </c>
      <c r="H612" t="s">
        <v>3489</v>
      </c>
      <c r="I612" t="s">
        <v>3490</v>
      </c>
      <c r="J612" t="s">
        <v>2919</v>
      </c>
    </row>
    <row r="613" spans="1:10" x14ac:dyDescent="0.25">
      <c r="A613" t="s">
        <v>898</v>
      </c>
      <c r="B613" t="s">
        <v>122</v>
      </c>
      <c r="C613">
        <v>8</v>
      </c>
      <c r="D613" t="s">
        <v>3296</v>
      </c>
      <c r="E613">
        <v>82</v>
      </c>
      <c r="F613">
        <v>28</v>
      </c>
      <c r="G613">
        <v>54</v>
      </c>
      <c r="H613" t="s">
        <v>196</v>
      </c>
      <c r="I613" t="s">
        <v>3490</v>
      </c>
      <c r="J613" t="s">
        <v>2919</v>
      </c>
    </row>
    <row r="614" spans="1:10" x14ac:dyDescent="0.25">
      <c r="A614" t="s">
        <v>898</v>
      </c>
      <c r="B614" t="s">
        <v>122</v>
      </c>
      <c r="C614">
        <v>8</v>
      </c>
      <c r="D614" t="s">
        <v>3298</v>
      </c>
      <c r="E614">
        <v>77</v>
      </c>
      <c r="F614">
        <v>30</v>
      </c>
      <c r="G614">
        <v>47</v>
      </c>
      <c r="H614" t="s">
        <v>3494</v>
      </c>
      <c r="I614" t="s">
        <v>3490</v>
      </c>
      <c r="J614" t="s">
        <v>2919</v>
      </c>
    </row>
    <row r="615" spans="1:10" x14ac:dyDescent="0.25">
      <c r="A615" t="s">
        <v>898</v>
      </c>
      <c r="B615" t="s">
        <v>122</v>
      </c>
      <c r="C615">
        <v>8</v>
      </c>
      <c r="D615" t="s">
        <v>3300</v>
      </c>
      <c r="E615">
        <v>85</v>
      </c>
      <c r="F615">
        <v>22</v>
      </c>
      <c r="G615">
        <v>63</v>
      </c>
      <c r="H615" t="s">
        <v>196</v>
      </c>
      <c r="I615" t="s">
        <v>3490</v>
      </c>
      <c r="J615" t="s">
        <v>2919</v>
      </c>
    </row>
    <row r="616" spans="1:10" x14ac:dyDescent="0.25">
      <c r="A616" t="s">
        <v>898</v>
      </c>
      <c r="B616" t="s">
        <v>122</v>
      </c>
      <c r="C616">
        <v>8</v>
      </c>
      <c r="D616" t="s">
        <v>3302</v>
      </c>
      <c r="E616">
        <v>62</v>
      </c>
      <c r="F616">
        <v>13</v>
      </c>
      <c r="G616">
        <v>49</v>
      </c>
      <c r="H616" t="s">
        <v>3489</v>
      </c>
      <c r="I616" t="s">
        <v>3490</v>
      </c>
      <c r="J616" t="s">
        <v>2919</v>
      </c>
    </row>
    <row r="617" spans="1:10" x14ac:dyDescent="0.25">
      <c r="A617" t="s">
        <v>903</v>
      </c>
      <c r="B617" t="s">
        <v>75</v>
      </c>
      <c r="C617">
        <v>6</v>
      </c>
      <c r="D617" t="s">
        <v>3054</v>
      </c>
      <c r="E617">
        <v>89</v>
      </c>
      <c r="F617">
        <v>25</v>
      </c>
      <c r="G617">
        <v>64</v>
      </c>
      <c r="H617" t="s">
        <v>196</v>
      </c>
      <c r="I617" t="s">
        <v>3490</v>
      </c>
      <c r="J617" t="s">
        <v>2961</v>
      </c>
    </row>
    <row r="618" spans="1:10" x14ac:dyDescent="0.25">
      <c r="A618" t="s">
        <v>903</v>
      </c>
      <c r="B618" t="s">
        <v>75</v>
      </c>
      <c r="C618">
        <v>6</v>
      </c>
      <c r="D618" t="s">
        <v>3056</v>
      </c>
      <c r="E618">
        <v>56</v>
      </c>
      <c r="F618">
        <v>11</v>
      </c>
      <c r="G618">
        <v>45</v>
      </c>
      <c r="H618" t="s">
        <v>3493</v>
      </c>
      <c r="I618" t="s">
        <v>3490</v>
      </c>
      <c r="J618" t="s">
        <v>2961</v>
      </c>
    </row>
    <row r="619" spans="1:10" x14ac:dyDescent="0.25">
      <c r="A619" t="s">
        <v>903</v>
      </c>
      <c r="B619" t="s">
        <v>75</v>
      </c>
      <c r="C619">
        <v>6</v>
      </c>
      <c r="D619" t="s">
        <v>3058</v>
      </c>
      <c r="E619">
        <v>60</v>
      </c>
      <c r="F619">
        <v>25</v>
      </c>
      <c r="G619">
        <v>35</v>
      </c>
      <c r="H619" t="s">
        <v>3489</v>
      </c>
      <c r="I619" t="s">
        <v>3490</v>
      </c>
      <c r="J619" t="s">
        <v>2961</v>
      </c>
    </row>
    <row r="620" spans="1:10" x14ac:dyDescent="0.25">
      <c r="A620" t="s">
        <v>903</v>
      </c>
      <c r="B620" t="s">
        <v>75</v>
      </c>
      <c r="C620">
        <v>6</v>
      </c>
      <c r="D620" t="s">
        <v>3060</v>
      </c>
      <c r="E620">
        <v>75</v>
      </c>
      <c r="F620">
        <v>22</v>
      </c>
      <c r="G620">
        <v>53</v>
      </c>
      <c r="H620" t="s">
        <v>3494</v>
      </c>
      <c r="I620" t="s">
        <v>3490</v>
      </c>
      <c r="J620" t="s">
        <v>2961</v>
      </c>
    </row>
    <row r="621" spans="1:10" x14ac:dyDescent="0.25">
      <c r="A621" t="s">
        <v>903</v>
      </c>
      <c r="B621" t="s">
        <v>75</v>
      </c>
      <c r="C621">
        <v>6</v>
      </c>
      <c r="D621" t="s">
        <v>3062</v>
      </c>
      <c r="E621">
        <v>84</v>
      </c>
      <c r="F621">
        <v>14</v>
      </c>
      <c r="G621">
        <v>70</v>
      </c>
      <c r="H621" t="s">
        <v>196</v>
      </c>
      <c r="I621" t="s">
        <v>3490</v>
      </c>
      <c r="J621" t="s">
        <v>2961</v>
      </c>
    </row>
    <row r="622" spans="1:10" x14ac:dyDescent="0.25">
      <c r="A622" t="s">
        <v>909</v>
      </c>
      <c r="B622" t="s">
        <v>122</v>
      </c>
      <c r="C622">
        <v>6</v>
      </c>
      <c r="D622" t="s">
        <v>3294</v>
      </c>
      <c r="E622">
        <v>53</v>
      </c>
      <c r="F622">
        <v>10</v>
      </c>
      <c r="G622">
        <v>43</v>
      </c>
      <c r="H622" t="s">
        <v>3493</v>
      </c>
      <c r="I622" t="s">
        <v>3490</v>
      </c>
      <c r="J622" t="s">
        <v>2919</v>
      </c>
    </row>
    <row r="623" spans="1:10" x14ac:dyDescent="0.25">
      <c r="A623" t="s">
        <v>909</v>
      </c>
      <c r="B623" t="s">
        <v>122</v>
      </c>
      <c r="C623">
        <v>6</v>
      </c>
      <c r="D623" t="s">
        <v>3296</v>
      </c>
      <c r="E623">
        <v>54</v>
      </c>
      <c r="F623">
        <v>10</v>
      </c>
      <c r="G623">
        <v>44</v>
      </c>
      <c r="H623" t="s">
        <v>3493</v>
      </c>
      <c r="I623" t="s">
        <v>3490</v>
      </c>
      <c r="J623" t="s">
        <v>2919</v>
      </c>
    </row>
    <row r="624" spans="1:10" x14ac:dyDescent="0.25">
      <c r="A624" t="s">
        <v>909</v>
      </c>
      <c r="B624" t="s">
        <v>122</v>
      </c>
      <c r="C624">
        <v>6</v>
      </c>
      <c r="D624" t="s">
        <v>3298</v>
      </c>
      <c r="E624">
        <v>56</v>
      </c>
      <c r="F624">
        <v>27</v>
      </c>
      <c r="G624">
        <v>29</v>
      </c>
      <c r="H624" t="s">
        <v>3493</v>
      </c>
      <c r="I624" t="s">
        <v>3490</v>
      </c>
      <c r="J624" t="s">
        <v>2919</v>
      </c>
    </row>
    <row r="625" spans="1:10" x14ac:dyDescent="0.25">
      <c r="A625" t="s">
        <v>909</v>
      </c>
      <c r="B625" t="s">
        <v>122</v>
      </c>
      <c r="C625">
        <v>6</v>
      </c>
      <c r="D625" t="s">
        <v>3300</v>
      </c>
      <c r="E625">
        <v>74</v>
      </c>
      <c r="F625">
        <v>12</v>
      </c>
      <c r="G625">
        <v>62</v>
      </c>
      <c r="H625" t="s">
        <v>3494</v>
      </c>
      <c r="I625" t="s">
        <v>3490</v>
      </c>
      <c r="J625" t="s">
        <v>2919</v>
      </c>
    </row>
    <row r="626" spans="1:10" x14ac:dyDescent="0.25">
      <c r="A626" t="s">
        <v>909</v>
      </c>
      <c r="B626" t="s">
        <v>122</v>
      </c>
      <c r="C626">
        <v>6</v>
      </c>
      <c r="D626" t="s">
        <v>3302</v>
      </c>
      <c r="E626">
        <v>46</v>
      </c>
      <c r="F626">
        <v>15</v>
      </c>
      <c r="G626">
        <v>31</v>
      </c>
      <c r="H626" t="s">
        <v>3491</v>
      </c>
      <c r="I626" t="s">
        <v>3492</v>
      </c>
      <c r="J626" t="s">
        <v>2919</v>
      </c>
    </row>
    <row r="627" spans="1:10" x14ac:dyDescent="0.25">
      <c r="A627" t="s">
        <v>914</v>
      </c>
      <c r="B627" t="s">
        <v>63</v>
      </c>
      <c r="C627">
        <v>8</v>
      </c>
      <c r="D627" t="s">
        <v>3414</v>
      </c>
      <c r="E627">
        <v>77</v>
      </c>
      <c r="F627">
        <v>17</v>
      </c>
      <c r="G627">
        <v>60</v>
      </c>
      <c r="H627" t="s">
        <v>3494</v>
      </c>
      <c r="I627" t="s">
        <v>3490</v>
      </c>
      <c r="J627" t="s">
        <v>2932</v>
      </c>
    </row>
    <row r="628" spans="1:10" x14ac:dyDescent="0.25">
      <c r="A628" t="s">
        <v>914</v>
      </c>
      <c r="B628" t="s">
        <v>63</v>
      </c>
      <c r="C628">
        <v>8</v>
      </c>
      <c r="D628" t="s">
        <v>3416</v>
      </c>
      <c r="E628">
        <v>61</v>
      </c>
      <c r="F628">
        <v>21</v>
      </c>
      <c r="G628">
        <v>40</v>
      </c>
      <c r="H628" t="s">
        <v>3489</v>
      </c>
      <c r="I628" t="s">
        <v>3490</v>
      </c>
      <c r="J628" t="s">
        <v>2932</v>
      </c>
    </row>
    <row r="629" spans="1:10" x14ac:dyDescent="0.25">
      <c r="A629" t="s">
        <v>914</v>
      </c>
      <c r="B629" t="s">
        <v>63</v>
      </c>
      <c r="C629">
        <v>8</v>
      </c>
      <c r="D629" t="s">
        <v>3418</v>
      </c>
      <c r="E629">
        <v>40</v>
      </c>
      <c r="F629">
        <v>15</v>
      </c>
      <c r="G629">
        <v>25</v>
      </c>
      <c r="H629" t="s">
        <v>3491</v>
      </c>
      <c r="I629" t="s">
        <v>3492</v>
      </c>
      <c r="J629" t="s">
        <v>2932</v>
      </c>
    </row>
    <row r="630" spans="1:10" x14ac:dyDescent="0.25">
      <c r="A630" t="s">
        <v>914</v>
      </c>
      <c r="B630" t="s">
        <v>63</v>
      </c>
      <c r="C630">
        <v>8</v>
      </c>
      <c r="D630" t="s">
        <v>3420</v>
      </c>
      <c r="E630">
        <v>85</v>
      </c>
      <c r="F630">
        <v>22</v>
      </c>
      <c r="G630">
        <v>63</v>
      </c>
      <c r="H630" t="s">
        <v>196</v>
      </c>
      <c r="I630" t="s">
        <v>3490</v>
      </c>
      <c r="J630" t="s">
        <v>2932</v>
      </c>
    </row>
    <row r="631" spans="1:10" x14ac:dyDescent="0.25">
      <c r="A631" t="s">
        <v>914</v>
      </c>
      <c r="B631" t="s">
        <v>63</v>
      </c>
      <c r="C631">
        <v>8</v>
      </c>
      <c r="D631" t="s">
        <v>3422</v>
      </c>
      <c r="E631">
        <v>41</v>
      </c>
      <c r="F631">
        <v>21</v>
      </c>
      <c r="G631">
        <v>20</v>
      </c>
      <c r="H631" t="s">
        <v>3491</v>
      </c>
      <c r="I631" t="s">
        <v>3492</v>
      </c>
      <c r="J631" t="s">
        <v>2932</v>
      </c>
    </row>
    <row r="632" spans="1:10" x14ac:dyDescent="0.25">
      <c r="A632" t="s">
        <v>922</v>
      </c>
      <c r="B632" t="s">
        <v>212</v>
      </c>
      <c r="C632">
        <v>8</v>
      </c>
      <c r="D632" t="s">
        <v>3474</v>
      </c>
      <c r="E632">
        <v>74</v>
      </c>
      <c r="F632">
        <v>20</v>
      </c>
      <c r="G632">
        <v>54</v>
      </c>
      <c r="H632" t="s">
        <v>3494</v>
      </c>
      <c r="I632" t="s">
        <v>3490</v>
      </c>
      <c r="J632" t="s">
        <v>3001</v>
      </c>
    </row>
    <row r="633" spans="1:10" x14ac:dyDescent="0.25">
      <c r="A633" t="s">
        <v>922</v>
      </c>
      <c r="B633" t="s">
        <v>212</v>
      </c>
      <c r="C633">
        <v>8</v>
      </c>
      <c r="D633" t="s">
        <v>3476</v>
      </c>
      <c r="E633">
        <v>50</v>
      </c>
      <c r="F633">
        <v>24</v>
      </c>
      <c r="G633">
        <v>26</v>
      </c>
      <c r="H633" t="s">
        <v>3493</v>
      </c>
      <c r="I633" t="s">
        <v>3490</v>
      </c>
      <c r="J633" t="s">
        <v>3001</v>
      </c>
    </row>
    <row r="634" spans="1:10" x14ac:dyDescent="0.25">
      <c r="A634" t="s">
        <v>922</v>
      </c>
      <c r="B634" t="s">
        <v>212</v>
      </c>
      <c r="C634">
        <v>8</v>
      </c>
      <c r="D634" t="s">
        <v>3478</v>
      </c>
      <c r="E634">
        <v>63</v>
      </c>
      <c r="F634">
        <v>18</v>
      </c>
      <c r="G634">
        <v>45</v>
      </c>
      <c r="H634" t="s">
        <v>3489</v>
      </c>
      <c r="I634" t="s">
        <v>3490</v>
      </c>
      <c r="J634" t="s">
        <v>3001</v>
      </c>
    </row>
    <row r="635" spans="1:10" x14ac:dyDescent="0.25">
      <c r="A635" t="s">
        <v>922</v>
      </c>
      <c r="B635" t="s">
        <v>212</v>
      </c>
      <c r="C635">
        <v>8</v>
      </c>
      <c r="D635" t="s">
        <v>3480</v>
      </c>
      <c r="E635">
        <v>57</v>
      </c>
      <c r="F635">
        <v>28</v>
      </c>
      <c r="G635">
        <v>29</v>
      </c>
      <c r="H635" t="s">
        <v>3493</v>
      </c>
      <c r="I635" t="s">
        <v>3490</v>
      </c>
      <c r="J635" t="s">
        <v>3001</v>
      </c>
    </row>
    <row r="636" spans="1:10" x14ac:dyDescent="0.25">
      <c r="A636" t="s">
        <v>922</v>
      </c>
      <c r="B636" t="s">
        <v>212</v>
      </c>
      <c r="C636">
        <v>8</v>
      </c>
      <c r="D636" t="s">
        <v>3482</v>
      </c>
      <c r="E636">
        <v>65</v>
      </c>
      <c r="F636">
        <v>12</v>
      </c>
      <c r="G636">
        <v>53</v>
      </c>
      <c r="H636" t="s">
        <v>3489</v>
      </c>
      <c r="I636" t="s">
        <v>3490</v>
      </c>
      <c r="J636" t="s">
        <v>3001</v>
      </c>
    </row>
    <row r="637" spans="1:10" x14ac:dyDescent="0.25">
      <c r="A637" t="s">
        <v>929</v>
      </c>
      <c r="B637" t="s">
        <v>159</v>
      </c>
      <c r="C637">
        <v>8</v>
      </c>
      <c r="D637" t="s">
        <v>3114</v>
      </c>
      <c r="E637">
        <v>99</v>
      </c>
      <c r="F637">
        <v>30</v>
      </c>
      <c r="G637">
        <v>69</v>
      </c>
      <c r="H637" t="s">
        <v>3495</v>
      </c>
      <c r="I637" t="s">
        <v>3490</v>
      </c>
      <c r="J637" t="s">
        <v>2902</v>
      </c>
    </row>
    <row r="638" spans="1:10" x14ac:dyDescent="0.25">
      <c r="A638" t="s">
        <v>929</v>
      </c>
      <c r="B638" t="s">
        <v>159</v>
      </c>
      <c r="C638">
        <v>8</v>
      </c>
      <c r="D638" t="s">
        <v>3116</v>
      </c>
      <c r="E638">
        <v>39</v>
      </c>
      <c r="F638">
        <v>15</v>
      </c>
      <c r="G638">
        <v>24</v>
      </c>
      <c r="H638" t="s">
        <v>3491</v>
      </c>
      <c r="I638" t="s">
        <v>3492</v>
      </c>
      <c r="J638" t="s">
        <v>2902</v>
      </c>
    </row>
    <row r="639" spans="1:10" x14ac:dyDescent="0.25">
      <c r="A639" t="s">
        <v>929</v>
      </c>
      <c r="B639" t="s">
        <v>159</v>
      </c>
      <c r="C639">
        <v>8</v>
      </c>
      <c r="D639" t="s">
        <v>3118</v>
      </c>
      <c r="E639">
        <v>56</v>
      </c>
      <c r="F639">
        <v>28</v>
      </c>
      <c r="G639">
        <v>28</v>
      </c>
      <c r="H639" t="s">
        <v>3493</v>
      </c>
      <c r="I639" t="s">
        <v>3490</v>
      </c>
      <c r="J639" t="s">
        <v>2902</v>
      </c>
    </row>
    <row r="640" spans="1:10" x14ac:dyDescent="0.25">
      <c r="A640" t="s">
        <v>929</v>
      </c>
      <c r="B640" t="s">
        <v>159</v>
      </c>
      <c r="C640">
        <v>8</v>
      </c>
      <c r="D640" t="s">
        <v>3120</v>
      </c>
      <c r="E640">
        <v>76</v>
      </c>
      <c r="F640">
        <v>20</v>
      </c>
      <c r="G640">
        <v>56</v>
      </c>
      <c r="H640" t="s">
        <v>3494</v>
      </c>
      <c r="I640" t="s">
        <v>3490</v>
      </c>
      <c r="J640" t="s">
        <v>2902</v>
      </c>
    </row>
    <row r="641" spans="1:10" x14ac:dyDescent="0.25">
      <c r="A641" t="s">
        <v>929</v>
      </c>
      <c r="B641" t="s">
        <v>159</v>
      </c>
      <c r="C641">
        <v>8</v>
      </c>
      <c r="D641" t="s">
        <v>3122</v>
      </c>
      <c r="E641">
        <v>71</v>
      </c>
      <c r="F641">
        <v>22</v>
      </c>
      <c r="G641">
        <v>49</v>
      </c>
      <c r="H641" t="s">
        <v>3494</v>
      </c>
      <c r="I641" t="s">
        <v>3490</v>
      </c>
      <c r="J641" t="s">
        <v>2902</v>
      </c>
    </row>
    <row r="642" spans="1:10" x14ac:dyDescent="0.25">
      <c r="A642" t="s">
        <v>935</v>
      </c>
      <c r="B642" t="s">
        <v>122</v>
      </c>
      <c r="C642">
        <v>4</v>
      </c>
      <c r="D642" t="s">
        <v>3274</v>
      </c>
      <c r="E642">
        <v>51</v>
      </c>
      <c r="F642">
        <v>29</v>
      </c>
      <c r="G642">
        <v>22</v>
      </c>
      <c r="H642" t="s">
        <v>3493</v>
      </c>
      <c r="I642" t="s">
        <v>3490</v>
      </c>
      <c r="J642" t="s">
        <v>2919</v>
      </c>
    </row>
    <row r="643" spans="1:10" x14ac:dyDescent="0.25">
      <c r="A643" t="s">
        <v>935</v>
      </c>
      <c r="B643" t="s">
        <v>122</v>
      </c>
      <c r="C643">
        <v>4</v>
      </c>
      <c r="D643" t="s">
        <v>3276</v>
      </c>
      <c r="E643">
        <v>84</v>
      </c>
      <c r="F643">
        <v>27</v>
      </c>
      <c r="G643">
        <v>57</v>
      </c>
      <c r="H643" t="s">
        <v>196</v>
      </c>
      <c r="I643" t="s">
        <v>3490</v>
      </c>
      <c r="J643" t="s">
        <v>2919</v>
      </c>
    </row>
    <row r="644" spans="1:10" x14ac:dyDescent="0.25">
      <c r="A644" t="s">
        <v>935</v>
      </c>
      <c r="B644" t="s">
        <v>122</v>
      </c>
      <c r="C644">
        <v>4</v>
      </c>
      <c r="D644" t="s">
        <v>3278</v>
      </c>
      <c r="E644">
        <v>96</v>
      </c>
      <c r="F644">
        <v>27</v>
      </c>
      <c r="G644">
        <v>69</v>
      </c>
      <c r="H644" t="s">
        <v>3495</v>
      </c>
      <c r="I644" t="s">
        <v>3490</v>
      </c>
      <c r="J644" t="s">
        <v>2919</v>
      </c>
    </row>
    <row r="645" spans="1:10" x14ac:dyDescent="0.25">
      <c r="A645" t="s">
        <v>935</v>
      </c>
      <c r="B645" t="s">
        <v>122</v>
      </c>
      <c r="C645">
        <v>4</v>
      </c>
      <c r="D645" t="s">
        <v>3280</v>
      </c>
      <c r="E645">
        <v>53</v>
      </c>
      <c r="F645">
        <v>18</v>
      </c>
      <c r="G645">
        <v>35</v>
      </c>
      <c r="H645" t="s">
        <v>3493</v>
      </c>
      <c r="I645" t="s">
        <v>3490</v>
      </c>
      <c r="J645" t="s">
        <v>2919</v>
      </c>
    </row>
    <row r="646" spans="1:10" x14ac:dyDescent="0.25">
      <c r="A646" t="s">
        <v>935</v>
      </c>
      <c r="B646" t="s">
        <v>122</v>
      </c>
      <c r="C646">
        <v>4</v>
      </c>
      <c r="D646" t="s">
        <v>3282</v>
      </c>
      <c r="E646">
        <v>82</v>
      </c>
      <c r="F646">
        <v>23</v>
      </c>
      <c r="G646">
        <v>59</v>
      </c>
      <c r="H646" t="s">
        <v>196</v>
      </c>
      <c r="I646" t="s">
        <v>3490</v>
      </c>
      <c r="J646" t="s">
        <v>2919</v>
      </c>
    </row>
    <row r="647" spans="1:10" x14ac:dyDescent="0.25">
      <c r="A647" t="s">
        <v>941</v>
      </c>
      <c r="B647" t="s">
        <v>30</v>
      </c>
      <c r="C647">
        <v>6</v>
      </c>
      <c r="D647" t="s">
        <v>3354</v>
      </c>
      <c r="E647">
        <v>83</v>
      </c>
      <c r="F647">
        <v>29</v>
      </c>
      <c r="G647">
        <v>54</v>
      </c>
      <c r="H647" t="s">
        <v>196</v>
      </c>
      <c r="I647" t="s">
        <v>3490</v>
      </c>
      <c r="J647" t="s">
        <v>2895</v>
      </c>
    </row>
    <row r="648" spans="1:10" x14ac:dyDescent="0.25">
      <c r="A648" t="s">
        <v>941</v>
      </c>
      <c r="B648" t="s">
        <v>30</v>
      </c>
      <c r="C648">
        <v>6</v>
      </c>
      <c r="D648" t="s">
        <v>3356</v>
      </c>
      <c r="E648">
        <v>89</v>
      </c>
      <c r="F648">
        <v>19</v>
      </c>
      <c r="G648">
        <v>70</v>
      </c>
      <c r="H648" t="s">
        <v>196</v>
      </c>
      <c r="I648" t="s">
        <v>3490</v>
      </c>
      <c r="J648" t="s">
        <v>2895</v>
      </c>
    </row>
    <row r="649" spans="1:10" x14ac:dyDescent="0.25">
      <c r="A649" t="s">
        <v>941</v>
      </c>
      <c r="B649" t="s">
        <v>30</v>
      </c>
      <c r="C649">
        <v>6</v>
      </c>
      <c r="D649" t="s">
        <v>3358</v>
      </c>
      <c r="E649">
        <v>48</v>
      </c>
      <c r="F649">
        <v>27</v>
      </c>
      <c r="G649">
        <v>21</v>
      </c>
      <c r="H649" t="s">
        <v>3491</v>
      </c>
      <c r="I649" t="s">
        <v>3492</v>
      </c>
      <c r="J649" t="s">
        <v>2895</v>
      </c>
    </row>
    <row r="650" spans="1:10" x14ac:dyDescent="0.25">
      <c r="A650" t="s">
        <v>941</v>
      </c>
      <c r="B650" t="s">
        <v>30</v>
      </c>
      <c r="C650">
        <v>6</v>
      </c>
      <c r="D650" t="s">
        <v>3360</v>
      </c>
      <c r="E650">
        <v>43</v>
      </c>
      <c r="F650">
        <v>15</v>
      </c>
      <c r="G650">
        <v>28</v>
      </c>
      <c r="H650" t="s">
        <v>3491</v>
      </c>
      <c r="I650" t="s">
        <v>3492</v>
      </c>
      <c r="J650" t="s">
        <v>2895</v>
      </c>
    </row>
    <row r="651" spans="1:10" x14ac:dyDescent="0.25">
      <c r="A651" t="s">
        <v>941</v>
      </c>
      <c r="B651" t="s">
        <v>30</v>
      </c>
      <c r="C651">
        <v>6</v>
      </c>
      <c r="D651" t="s">
        <v>3362</v>
      </c>
      <c r="E651">
        <v>52</v>
      </c>
      <c r="F651">
        <v>11</v>
      </c>
      <c r="G651">
        <v>41</v>
      </c>
      <c r="H651" t="s">
        <v>3493</v>
      </c>
      <c r="I651" t="s">
        <v>3490</v>
      </c>
      <c r="J651" t="s">
        <v>2895</v>
      </c>
    </row>
    <row r="652" spans="1:10" x14ac:dyDescent="0.25">
      <c r="A652" t="s">
        <v>948</v>
      </c>
      <c r="B652" t="s">
        <v>63</v>
      </c>
      <c r="C652">
        <v>4</v>
      </c>
      <c r="D652" t="s">
        <v>3394</v>
      </c>
      <c r="E652">
        <v>69</v>
      </c>
      <c r="F652">
        <v>11</v>
      </c>
      <c r="G652">
        <v>58</v>
      </c>
      <c r="H652" t="s">
        <v>3489</v>
      </c>
      <c r="I652" t="s">
        <v>3490</v>
      </c>
      <c r="J652" t="s">
        <v>2932</v>
      </c>
    </row>
    <row r="653" spans="1:10" x14ac:dyDescent="0.25">
      <c r="A653" t="s">
        <v>948</v>
      </c>
      <c r="B653" t="s">
        <v>63</v>
      </c>
      <c r="C653">
        <v>4</v>
      </c>
      <c r="D653" t="s">
        <v>3396</v>
      </c>
      <c r="E653">
        <v>79</v>
      </c>
      <c r="F653">
        <v>17</v>
      </c>
      <c r="G653">
        <v>62</v>
      </c>
      <c r="H653" t="s">
        <v>3494</v>
      </c>
      <c r="I653" t="s">
        <v>3490</v>
      </c>
      <c r="J653" t="s">
        <v>2932</v>
      </c>
    </row>
    <row r="654" spans="1:10" x14ac:dyDescent="0.25">
      <c r="A654" t="s">
        <v>948</v>
      </c>
      <c r="B654" t="s">
        <v>63</v>
      </c>
      <c r="C654">
        <v>4</v>
      </c>
      <c r="D654" t="s">
        <v>3398</v>
      </c>
      <c r="E654">
        <v>74</v>
      </c>
      <c r="F654">
        <v>27</v>
      </c>
      <c r="G654">
        <v>47</v>
      </c>
      <c r="H654" t="s">
        <v>3494</v>
      </c>
      <c r="I654" t="s">
        <v>3490</v>
      </c>
      <c r="J654" t="s">
        <v>2932</v>
      </c>
    </row>
    <row r="655" spans="1:10" x14ac:dyDescent="0.25">
      <c r="A655" t="s">
        <v>948</v>
      </c>
      <c r="B655" t="s">
        <v>63</v>
      </c>
      <c r="C655">
        <v>4</v>
      </c>
      <c r="D655" t="s">
        <v>3400</v>
      </c>
      <c r="E655">
        <v>94</v>
      </c>
      <c r="F655">
        <v>29</v>
      </c>
      <c r="G655">
        <v>65</v>
      </c>
      <c r="H655" t="s">
        <v>3495</v>
      </c>
      <c r="I655" t="s">
        <v>3490</v>
      </c>
      <c r="J655" t="s">
        <v>2932</v>
      </c>
    </row>
    <row r="656" spans="1:10" x14ac:dyDescent="0.25">
      <c r="A656" t="s">
        <v>948</v>
      </c>
      <c r="B656" t="s">
        <v>63</v>
      </c>
      <c r="C656">
        <v>4</v>
      </c>
      <c r="D656" t="s">
        <v>3402</v>
      </c>
      <c r="E656">
        <v>70</v>
      </c>
      <c r="F656">
        <v>18</v>
      </c>
      <c r="G656">
        <v>52</v>
      </c>
      <c r="H656" t="s">
        <v>3494</v>
      </c>
      <c r="I656" t="s">
        <v>3490</v>
      </c>
      <c r="J656" t="s">
        <v>2932</v>
      </c>
    </row>
    <row r="657" spans="1:10" x14ac:dyDescent="0.25">
      <c r="A657" t="s">
        <v>955</v>
      </c>
      <c r="B657" t="s">
        <v>75</v>
      </c>
      <c r="C657">
        <v>8</v>
      </c>
      <c r="D657" t="s">
        <v>3054</v>
      </c>
      <c r="E657">
        <v>80</v>
      </c>
      <c r="F657">
        <v>19</v>
      </c>
      <c r="G657">
        <v>61</v>
      </c>
      <c r="H657" t="s">
        <v>196</v>
      </c>
      <c r="I657" t="s">
        <v>3490</v>
      </c>
      <c r="J657" t="s">
        <v>2961</v>
      </c>
    </row>
    <row r="658" spans="1:10" x14ac:dyDescent="0.25">
      <c r="A658" t="s">
        <v>955</v>
      </c>
      <c r="B658" t="s">
        <v>75</v>
      </c>
      <c r="C658">
        <v>8</v>
      </c>
      <c r="D658" t="s">
        <v>3056</v>
      </c>
      <c r="E658">
        <v>53</v>
      </c>
      <c r="F658">
        <v>14</v>
      </c>
      <c r="G658">
        <v>39</v>
      </c>
      <c r="H658" t="s">
        <v>3493</v>
      </c>
      <c r="I658" t="s">
        <v>3490</v>
      </c>
      <c r="J658" t="s">
        <v>2961</v>
      </c>
    </row>
    <row r="659" spans="1:10" x14ac:dyDescent="0.25">
      <c r="A659" t="s">
        <v>955</v>
      </c>
      <c r="B659" t="s">
        <v>75</v>
      </c>
      <c r="C659">
        <v>8</v>
      </c>
      <c r="D659" t="s">
        <v>3058</v>
      </c>
      <c r="E659">
        <v>70</v>
      </c>
      <c r="F659">
        <v>29</v>
      </c>
      <c r="G659">
        <v>41</v>
      </c>
      <c r="H659" t="s">
        <v>3494</v>
      </c>
      <c r="I659" t="s">
        <v>3490</v>
      </c>
      <c r="J659" t="s">
        <v>2961</v>
      </c>
    </row>
    <row r="660" spans="1:10" x14ac:dyDescent="0.25">
      <c r="A660" t="s">
        <v>955</v>
      </c>
      <c r="B660" t="s">
        <v>75</v>
      </c>
      <c r="C660">
        <v>8</v>
      </c>
      <c r="D660" t="s">
        <v>3060</v>
      </c>
      <c r="E660">
        <v>81</v>
      </c>
      <c r="F660">
        <v>29</v>
      </c>
      <c r="G660">
        <v>52</v>
      </c>
      <c r="H660" t="s">
        <v>196</v>
      </c>
      <c r="I660" t="s">
        <v>3490</v>
      </c>
      <c r="J660" t="s">
        <v>2961</v>
      </c>
    </row>
    <row r="661" spans="1:10" x14ac:dyDescent="0.25">
      <c r="A661" t="s">
        <v>955</v>
      </c>
      <c r="B661" t="s">
        <v>75</v>
      </c>
      <c r="C661">
        <v>8</v>
      </c>
      <c r="D661" t="s">
        <v>3062</v>
      </c>
      <c r="E661">
        <v>87</v>
      </c>
      <c r="F661">
        <v>27</v>
      </c>
      <c r="G661">
        <v>60</v>
      </c>
      <c r="H661" t="s">
        <v>196</v>
      </c>
      <c r="I661" t="s">
        <v>3490</v>
      </c>
      <c r="J661" t="s">
        <v>2961</v>
      </c>
    </row>
    <row r="662" spans="1:10" x14ac:dyDescent="0.25">
      <c r="A662" t="s">
        <v>960</v>
      </c>
      <c r="B662" t="s">
        <v>95</v>
      </c>
      <c r="C662">
        <v>4</v>
      </c>
      <c r="D662" t="s">
        <v>3214</v>
      </c>
      <c r="E662">
        <v>73</v>
      </c>
      <c r="F662">
        <v>12</v>
      </c>
      <c r="G662">
        <v>61</v>
      </c>
      <c r="H662" t="s">
        <v>3494</v>
      </c>
      <c r="I662" t="s">
        <v>3490</v>
      </c>
      <c r="J662" t="s">
        <v>2889</v>
      </c>
    </row>
    <row r="663" spans="1:10" x14ac:dyDescent="0.25">
      <c r="A663" t="s">
        <v>960</v>
      </c>
      <c r="B663" t="s">
        <v>95</v>
      </c>
      <c r="C663">
        <v>4</v>
      </c>
      <c r="D663" t="s">
        <v>3216</v>
      </c>
      <c r="E663">
        <v>50</v>
      </c>
      <c r="F663">
        <v>12</v>
      </c>
      <c r="G663">
        <v>38</v>
      </c>
      <c r="H663" t="s">
        <v>3493</v>
      </c>
      <c r="I663" t="s">
        <v>3490</v>
      </c>
      <c r="J663" t="s">
        <v>2889</v>
      </c>
    </row>
    <row r="664" spans="1:10" x14ac:dyDescent="0.25">
      <c r="A664" t="s">
        <v>960</v>
      </c>
      <c r="B664" t="s">
        <v>95</v>
      </c>
      <c r="C664">
        <v>4</v>
      </c>
      <c r="D664" t="s">
        <v>3218</v>
      </c>
      <c r="E664">
        <v>69</v>
      </c>
      <c r="F664">
        <v>21</v>
      </c>
      <c r="G664">
        <v>48</v>
      </c>
      <c r="H664" t="s">
        <v>3489</v>
      </c>
      <c r="I664" t="s">
        <v>3490</v>
      </c>
      <c r="J664" t="s">
        <v>2889</v>
      </c>
    </row>
    <row r="665" spans="1:10" x14ac:dyDescent="0.25">
      <c r="A665" t="s">
        <v>960</v>
      </c>
      <c r="B665" t="s">
        <v>95</v>
      </c>
      <c r="C665">
        <v>4</v>
      </c>
      <c r="D665" t="s">
        <v>3220</v>
      </c>
      <c r="E665">
        <v>84</v>
      </c>
      <c r="F665">
        <v>30</v>
      </c>
      <c r="G665">
        <v>54</v>
      </c>
      <c r="H665" t="s">
        <v>196</v>
      </c>
      <c r="I665" t="s">
        <v>3490</v>
      </c>
      <c r="J665" t="s">
        <v>2889</v>
      </c>
    </row>
    <row r="666" spans="1:10" x14ac:dyDescent="0.25">
      <c r="A666" t="s">
        <v>960</v>
      </c>
      <c r="B666" t="s">
        <v>95</v>
      </c>
      <c r="C666">
        <v>4</v>
      </c>
      <c r="D666" t="s">
        <v>3222</v>
      </c>
      <c r="E666">
        <v>75</v>
      </c>
      <c r="F666">
        <v>26</v>
      </c>
      <c r="G666">
        <v>49</v>
      </c>
      <c r="H666" t="s">
        <v>3494</v>
      </c>
      <c r="I666" t="s">
        <v>3490</v>
      </c>
      <c r="J666" t="s">
        <v>2889</v>
      </c>
    </row>
    <row r="667" spans="1:10" x14ac:dyDescent="0.25">
      <c r="A667" t="s">
        <v>965</v>
      </c>
      <c r="B667" t="s">
        <v>95</v>
      </c>
      <c r="C667">
        <v>6</v>
      </c>
      <c r="D667" t="s">
        <v>3234</v>
      </c>
      <c r="E667">
        <v>75</v>
      </c>
      <c r="F667">
        <v>11</v>
      </c>
      <c r="G667">
        <v>64</v>
      </c>
      <c r="H667" t="s">
        <v>3494</v>
      </c>
      <c r="I667" t="s">
        <v>3490</v>
      </c>
      <c r="J667" t="s">
        <v>2889</v>
      </c>
    </row>
    <row r="668" spans="1:10" x14ac:dyDescent="0.25">
      <c r="A668" t="s">
        <v>965</v>
      </c>
      <c r="B668" t="s">
        <v>95</v>
      </c>
      <c r="C668">
        <v>6</v>
      </c>
      <c r="D668" t="s">
        <v>3236</v>
      </c>
      <c r="E668">
        <v>78</v>
      </c>
      <c r="F668">
        <v>30</v>
      </c>
      <c r="G668">
        <v>48</v>
      </c>
      <c r="H668" t="s">
        <v>3494</v>
      </c>
      <c r="I668" t="s">
        <v>3490</v>
      </c>
      <c r="J668" t="s">
        <v>2889</v>
      </c>
    </row>
    <row r="669" spans="1:10" x14ac:dyDescent="0.25">
      <c r="A669" t="s">
        <v>965</v>
      </c>
      <c r="B669" t="s">
        <v>95</v>
      </c>
      <c r="C669">
        <v>6</v>
      </c>
      <c r="D669" t="s">
        <v>3238</v>
      </c>
      <c r="E669">
        <v>54</v>
      </c>
      <c r="F669">
        <v>12</v>
      </c>
      <c r="G669">
        <v>42</v>
      </c>
      <c r="H669" t="s">
        <v>3493</v>
      </c>
      <c r="I669" t="s">
        <v>3490</v>
      </c>
      <c r="J669" t="s">
        <v>2889</v>
      </c>
    </row>
    <row r="670" spans="1:10" x14ac:dyDescent="0.25">
      <c r="A670" t="s">
        <v>965</v>
      </c>
      <c r="B670" t="s">
        <v>95</v>
      </c>
      <c r="C670">
        <v>6</v>
      </c>
      <c r="D670" t="s">
        <v>3240</v>
      </c>
      <c r="E670">
        <v>50</v>
      </c>
      <c r="F670">
        <v>15</v>
      </c>
      <c r="G670">
        <v>35</v>
      </c>
      <c r="H670" t="s">
        <v>3493</v>
      </c>
      <c r="I670" t="s">
        <v>3490</v>
      </c>
      <c r="J670" t="s">
        <v>2889</v>
      </c>
    </row>
    <row r="671" spans="1:10" x14ac:dyDescent="0.25">
      <c r="A671" t="s">
        <v>965</v>
      </c>
      <c r="B671" t="s">
        <v>95</v>
      </c>
      <c r="C671">
        <v>6</v>
      </c>
      <c r="D671" t="s">
        <v>3242</v>
      </c>
      <c r="E671">
        <v>72</v>
      </c>
      <c r="F671">
        <v>27</v>
      </c>
      <c r="G671">
        <v>45</v>
      </c>
      <c r="H671" t="s">
        <v>3494</v>
      </c>
      <c r="I671" t="s">
        <v>3490</v>
      </c>
      <c r="J671" t="s">
        <v>2889</v>
      </c>
    </row>
    <row r="672" spans="1:10" x14ac:dyDescent="0.25">
      <c r="A672" t="s">
        <v>971</v>
      </c>
      <c r="B672" t="s">
        <v>212</v>
      </c>
      <c r="C672">
        <v>6</v>
      </c>
      <c r="D672" t="s">
        <v>3474</v>
      </c>
      <c r="E672">
        <v>68</v>
      </c>
      <c r="F672">
        <v>24</v>
      </c>
      <c r="G672">
        <v>44</v>
      </c>
      <c r="H672" t="s">
        <v>3489</v>
      </c>
      <c r="I672" t="s">
        <v>3490</v>
      </c>
      <c r="J672" t="s">
        <v>3001</v>
      </c>
    </row>
    <row r="673" spans="1:10" x14ac:dyDescent="0.25">
      <c r="A673" t="s">
        <v>971</v>
      </c>
      <c r="B673" t="s">
        <v>212</v>
      </c>
      <c r="C673">
        <v>6</v>
      </c>
      <c r="D673" t="s">
        <v>3476</v>
      </c>
      <c r="E673">
        <v>57</v>
      </c>
      <c r="F673">
        <v>25</v>
      </c>
      <c r="G673">
        <v>32</v>
      </c>
      <c r="H673" t="s">
        <v>3493</v>
      </c>
      <c r="I673" t="s">
        <v>3490</v>
      </c>
      <c r="J673" t="s">
        <v>3001</v>
      </c>
    </row>
    <row r="674" spans="1:10" x14ac:dyDescent="0.25">
      <c r="A674" t="s">
        <v>971</v>
      </c>
      <c r="B674" t="s">
        <v>212</v>
      </c>
      <c r="C674">
        <v>6</v>
      </c>
      <c r="D674" t="s">
        <v>3478</v>
      </c>
      <c r="E674">
        <v>96</v>
      </c>
      <c r="F674">
        <v>27</v>
      </c>
      <c r="G674">
        <v>69</v>
      </c>
      <c r="H674" t="s">
        <v>3495</v>
      </c>
      <c r="I674" t="s">
        <v>3490</v>
      </c>
      <c r="J674" t="s">
        <v>3001</v>
      </c>
    </row>
    <row r="675" spans="1:10" x14ac:dyDescent="0.25">
      <c r="A675" t="s">
        <v>971</v>
      </c>
      <c r="B675" t="s">
        <v>212</v>
      </c>
      <c r="C675">
        <v>6</v>
      </c>
      <c r="D675" t="s">
        <v>3480</v>
      </c>
      <c r="E675">
        <v>36</v>
      </c>
      <c r="F675">
        <v>15</v>
      </c>
      <c r="G675">
        <v>21</v>
      </c>
      <c r="H675" t="s">
        <v>3491</v>
      </c>
      <c r="I675" t="s">
        <v>3492</v>
      </c>
      <c r="J675" t="s">
        <v>3001</v>
      </c>
    </row>
    <row r="676" spans="1:10" x14ac:dyDescent="0.25">
      <c r="A676" t="s">
        <v>971</v>
      </c>
      <c r="B676" t="s">
        <v>212</v>
      </c>
      <c r="C676">
        <v>6</v>
      </c>
      <c r="D676" t="s">
        <v>3482</v>
      </c>
      <c r="E676">
        <v>77</v>
      </c>
      <c r="F676">
        <v>29</v>
      </c>
      <c r="G676">
        <v>48</v>
      </c>
      <c r="H676" t="s">
        <v>3494</v>
      </c>
      <c r="I676" t="s">
        <v>3490</v>
      </c>
      <c r="J676" t="s">
        <v>3001</v>
      </c>
    </row>
    <row r="677" spans="1:10" x14ac:dyDescent="0.25">
      <c r="A677" t="s">
        <v>979</v>
      </c>
      <c r="B677" t="s">
        <v>30</v>
      </c>
      <c r="C677">
        <v>6</v>
      </c>
      <c r="D677" t="s">
        <v>3354</v>
      </c>
      <c r="E677">
        <v>62</v>
      </c>
      <c r="F677">
        <v>18</v>
      </c>
      <c r="G677">
        <v>44</v>
      </c>
      <c r="H677" t="s">
        <v>3489</v>
      </c>
      <c r="I677" t="s">
        <v>3490</v>
      </c>
      <c r="J677" t="s">
        <v>2895</v>
      </c>
    </row>
    <row r="678" spans="1:10" x14ac:dyDescent="0.25">
      <c r="A678" t="s">
        <v>979</v>
      </c>
      <c r="B678" t="s">
        <v>30</v>
      </c>
      <c r="C678">
        <v>6</v>
      </c>
      <c r="D678" t="s">
        <v>3356</v>
      </c>
      <c r="E678">
        <v>71</v>
      </c>
      <c r="F678">
        <v>12</v>
      </c>
      <c r="G678">
        <v>59</v>
      </c>
      <c r="H678" t="s">
        <v>3494</v>
      </c>
      <c r="I678" t="s">
        <v>3490</v>
      </c>
      <c r="J678" t="s">
        <v>2895</v>
      </c>
    </row>
    <row r="679" spans="1:10" x14ac:dyDescent="0.25">
      <c r="A679" t="s">
        <v>979</v>
      </c>
      <c r="B679" t="s">
        <v>30</v>
      </c>
      <c r="C679">
        <v>6</v>
      </c>
      <c r="D679" t="s">
        <v>3358</v>
      </c>
      <c r="E679">
        <v>78</v>
      </c>
      <c r="F679">
        <v>12</v>
      </c>
      <c r="G679">
        <v>66</v>
      </c>
      <c r="H679" t="s">
        <v>3494</v>
      </c>
      <c r="I679" t="s">
        <v>3490</v>
      </c>
      <c r="J679" t="s">
        <v>2895</v>
      </c>
    </row>
    <row r="680" spans="1:10" x14ac:dyDescent="0.25">
      <c r="A680" t="s">
        <v>979</v>
      </c>
      <c r="B680" t="s">
        <v>30</v>
      </c>
      <c r="C680">
        <v>6</v>
      </c>
      <c r="D680" t="s">
        <v>3360</v>
      </c>
      <c r="E680">
        <v>92</v>
      </c>
      <c r="F680">
        <v>30</v>
      </c>
      <c r="G680">
        <v>62</v>
      </c>
      <c r="H680" t="s">
        <v>3495</v>
      </c>
      <c r="I680" t="s">
        <v>3490</v>
      </c>
      <c r="J680" t="s">
        <v>2895</v>
      </c>
    </row>
    <row r="681" spans="1:10" x14ac:dyDescent="0.25">
      <c r="A681" t="s">
        <v>979</v>
      </c>
      <c r="B681" t="s">
        <v>30</v>
      </c>
      <c r="C681">
        <v>6</v>
      </c>
      <c r="D681" t="s">
        <v>3362</v>
      </c>
      <c r="E681">
        <v>75</v>
      </c>
      <c r="F681">
        <v>24</v>
      </c>
      <c r="G681">
        <v>51</v>
      </c>
      <c r="H681" t="s">
        <v>3494</v>
      </c>
      <c r="I681" t="s">
        <v>3490</v>
      </c>
      <c r="J681" t="s">
        <v>2895</v>
      </c>
    </row>
    <row r="682" spans="1:10" x14ac:dyDescent="0.25">
      <c r="A682" t="s">
        <v>986</v>
      </c>
      <c r="B682" t="s">
        <v>122</v>
      </c>
      <c r="C682">
        <v>4</v>
      </c>
      <c r="D682" t="s">
        <v>3274</v>
      </c>
      <c r="E682">
        <v>83</v>
      </c>
      <c r="F682">
        <v>29</v>
      </c>
      <c r="G682">
        <v>54</v>
      </c>
      <c r="H682" t="s">
        <v>196</v>
      </c>
      <c r="I682" t="s">
        <v>3490</v>
      </c>
      <c r="J682" t="s">
        <v>2919</v>
      </c>
    </row>
    <row r="683" spans="1:10" x14ac:dyDescent="0.25">
      <c r="A683" t="s">
        <v>986</v>
      </c>
      <c r="B683" t="s">
        <v>122</v>
      </c>
      <c r="C683">
        <v>4</v>
      </c>
      <c r="D683" t="s">
        <v>3276</v>
      </c>
      <c r="E683">
        <v>69</v>
      </c>
      <c r="F683">
        <v>25</v>
      </c>
      <c r="G683">
        <v>44</v>
      </c>
      <c r="H683" t="s">
        <v>3489</v>
      </c>
      <c r="I683" t="s">
        <v>3490</v>
      </c>
      <c r="J683" t="s">
        <v>2919</v>
      </c>
    </row>
    <row r="684" spans="1:10" x14ac:dyDescent="0.25">
      <c r="A684" t="s">
        <v>986</v>
      </c>
      <c r="B684" t="s">
        <v>122</v>
      </c>
      <c r="C684">
        <v>4</v>
      </c>
      <c r="D684" t="s">
        <v>3278</v>
      </c>
      <c r="E684">
        <v>56</v>
      </c>
      <c r="F684">
        <v>27</v>
      </c>
      <c r="G684">
        <v>29</v>
      </c>
      <c r="H684" t="s">
        <v>3493</v>
      </c>
      <c r="I684" t="s">
        <v>3490</v>
      </c>
      <c r="J684" t="s">
        <v>2919</v>
      </c>
    </row>
    <row r="685" spans="1:10" x14ac:dyDescent="0.25">
      <c r="A685" t="s">
        <v>986</v>
      </c>
      <c r="B685" t="s">
        <v>122</v>
      </c>
      <c r="C685">
        <v>4</v>
      </c>
      <c r="D685" t="s">
        <v>3280</v>
      </c>
      <c r="E685">
        <v>85</v>
      </c>
      <c r="F685">
        <v>29</v>
      </c>
      <c r="G685">
        <v>56</v>
      </c>
      <c r="H685" t="s">
        <v>196</v>
      </c>
      <c r="I685" t="s">
        <v>3490</v>
      </c>
      <c r="J685" t="s">
        <v>2919</v>
      </c>
    </row>
    <row r="686" spans="1:10" x14ac:dyDescent="0.25">
      <c r="A686" t="s">
        <v>986</v>
      </c>
      <c r="B686" t="s">
        <v>122</v>
      </c>
      <c r="C686">
        <v>4</v>
      </c>
      <c r="D686" t="s">
        <v>3282</v>
      </c>
      <c r="E686">
        <v>75</v>
      </c>
      <c r="F686">
        <v>23</v>
      </c>
      <c r="G686">
        <v>52</v>
      </c>
      <c r="H686" t="s">
        <v>3494</v>
      </c>
      <c r="I686" t="s">
        <v>3490</v>
      </c>
      <c r="J686" t="s">
        <v>2919</v>
      </c>
    </row>
    <row r="687" spans="1:10" x14ac:dyDescent="0.25">
      <c r="A687" t="s">
        <v>992</v>
      </c>
      <c r="B687" t="s">
        <v>212</v>
      </c>
      <c r="C687">
        <v>6</v>
      </c>
      <c r="D687" t="s">
        <v>3474</v>
      </c>
      <c r="E687">
        <v>90</v>
      </c>
      <c r="F687">
        <v>25</v>
      </c>
      <c r="G687">
        <v>65</v>
      </c>
      <c r="H687" t="s">
        <v>3495</v>
      </c>
      <c r="I687" t="s">
        <v>3490</v>
      </c>
      <c r="J687" t="s">
        <v>3001</v>
      </c>
    </row>
    <row r="688" spans="1:10" x14ac:dyDescent="0.25">
      <c r="A688" t="s">
        <v>992</v>
      </c>
      <c r="B688" t="s">
        <v>212</v>
      </c>
      <c r="C688">
        <v>6</v>
      </c>
      <c r="D688" t="s">
        <v>3476</v>
      </c>
      <c r="E688">
        <v>42</v>
      </c>
      <c r="F688">
        <v>14</v>
      </c>
      <c r="G688">
        <v>28</v>
      </c>
      <c r="H688" t="s">
        <v>3491</v>
      </c>
      <c r="I688" t="s">
        <v>3492</v>
      </c>
      <c r="J688" t="s">
        <v>3001</v>
      </c>
    </row>
    <row r="689" spans="1:10" x14ac:dyDescent="0.25">
      <c r="A689" t="s">
        <v>992</v>
      </c>
      <c r="B689" t="s">
        <v>212</v>
      </c>
      <c r="C689">
        <v>6</v>
      </c>
      <c r="D689" t="s">
        <v>3478</v>
      </c>
      <c r="E689">
        <v>73</v>
      </c>
      <c r="F689">
        <v>20</v>
      </c>
      <c r="G689">
        <v>53</v>
      </c>
      <c r="H689" t="s">
        <v>3494</v>
      </c>
      <c r="I689" t="s">
        <v>3490</v>
      </c>
      <c r="J689" t="s">
        <v>3001</v>
      </c>
    </row>
    <row r="690" spans="1:10" x14ac:dyDescent="0.25">
      <c r="A690" t="s">
        <v>992</v>
      </c>
      <c r="B690" t="s">
        <v>212</v>
      </c>
      <c r="C690">
        <v>6</v>
      </c>
      <c r="D690" t="s">
        <v>3480</v>
      </c>
      <c r="E690">
        <v>60</v>
      </c>
      <c r="F690">
        <v>28</v>
      </c>
      <c r="G690">
        <v>32</v>
      </c>
      <c r="H690" t="s">
        <v>3489</v>
      </c>
      <c r="I690" t="s">
        <v>3490</v>
      </c>
      <c r="J690" t="s">
        <v>3001</v>
      </c>
    </row>
    <row r="691" spans="1:10" x14ac:dyDescent="0.25">
      <c r="A691" t="s">
        <v>992</v>
      </c>
      <c r="B691" t="s">
        <v>212</v>
      </c>
      <c r="C691">
        <v>6</v>
      </c>
      <c r="D691" t="s">
        <v>3482</v>
      </c>
      <c r="E691">
        <v>92</v>
      </c>
      <c r="F691">
        <v>25</v>
      </c>
      <c r="G691">
        <v>67</v>
      </c>
      <c r="H691" t="s">
        <v>3495</v>
      </c>
      <c r="I691" t="s">
        <v>3490</v>
      </c>
      <c r="J691" t="s">
        <v>3001</v>
      </c>
    </row>
    <row r="692" spans="1:10" x14ac:dyDescent="0.25">
      <c r="A692" t="s">
        <v>997</v>
      </c>
      <c r="B692" t="s">
        <v>105</v>
      </c>
      <c r="C692">
        <v>8</v>
      </c>
      <c r="D692" t="s">
        <v>3174</v>
      </c>
      <c r="E692">
        <v>81</v>
      </c>
      <c r="F692">
        <v>11</v>
      </c>
      <c r="G692">
        <v>70</v>
      </c>
      <c r="H692" t="s">
        <v>196</v>
      </c>
      <c r="I692" t="s">
        <v>3490</v>
      </c>
      <c r="J692" t="s">
        <v>2908</v>
      </c>
    </row>
    <row r="693" spans="1:10" x14ac:dyDescent="0.25">
      <c r="A693" t="s">
        <v>997</v>
      </c>
      <c r="B693" t="s">
        <v>105</v>
      </c>
      <c r="C693">
        <v>8</v>
      </c>
      <c r="D693" t="s">
        <v>3176</v>
      </c>
      <c r="E693">
        <v>84</v>
      </c>
      <c r="F693">
        <v>30</v>
      </c>
      <c r="G693">
        <v>54</v>
      </c>
      <c r="H693" t="s">
        <v>196</v>
      </c>
      <c r="I693" t="s">
        <v>3490</v>
      </c>
      <c r="J693" t="s">
        <v>2908</v>
      </c>
    </row>
    <row r="694" spans="1:10" x14ac:dyDescent="0.25">
      <c r="A694" t="s">
        <v>997</v>
      </c>
      <c r="B694" t="s">
        <v>105</v>
      </c>
      <c r="C694">
        <v>8</v>
      </c>
      <c r="D694" t="s">
        <v>3178</v>
      </c>
      <c r="E694">
        <v>83</v>
      </c>
      <c r="F694">
        <v>20</v>
      </c>
      <c r="G694">
        <v>63</v>
      </c>
      <c r="H694" t="s">
        <v>196</v>
      </c>
      <c r="I694" t="s">
        <v>3490</v>
      </c>
      <c r="J694" t="s">
        <v>2908</v>
      </c>
    </row>
    <row r="695" spans="1:10" x14ac:dyDescent="0.25">
      <c r="A695" t="s">
        <v>997</v>
      </c>
      <c r="B695" t="s">
        <v>105</v>
      </c>
      <c r="C695">
        <v>8</v>
      </c>
      <c r="D695" t="s">
        <v>3180</v>
      </c>
      <c r="E695">
        <v>46</v>
      </c>
      <c r="F695">
        <v>26</v>
      </c>
      <c r="G695">
        <v>20</v>
      </c>
      <c r="H695" t="s">
        <v>3491</v>
      </c>
      <c r="I695" t="s">
        <v>3492</v>
      </c>
      <c r="J695" t="s">
        <v>2908</v>
      </c>
    </row>
    <row r="696" spans="1:10" x14ac:dyDescent="0.25">
      <c r="A696" t="s">
        <v>997</v>
      </c>
      <c r="B696" t="s">
        <v>105</v>
      </c>
      <c r="C696">
        <v>8</v>
      </c>
      <c r="D696" t="s">
        <v>3182</v>
      </c>
      <c r="E696">
        <v>83</v>
      </c>
      <c r="F696">
        <v>22</v>
      </c>
      <c r="G696">
        <v>61</v>
      </c>
      <c r="H696" t="s">
        <v>196</v>
      </c>
      <c r="I696" t="s">
        <v>3490</v>
      </c>
      <c r="J696" t="s">
        <v>2908</v>
      </c>
    </row>
    <row r="697" spans="1:10" x14ac:dyDescent="0.25">
      <c r="A697" t="s">
        <v>1002</v>
      </c>
      <c r="B697" t="s">
        <v>75</v>
      </c>
      <c r="C697">
        <v>8</v>
      </c>
      <c r="D697" t="s">
        <v>3054</v>
      </c>
      <c r="E697">
        <v>78</v>
      </c>
      <c r="F697">
        <v>15</v>
      </c>
      <c r="G697">
        <v>63</v>
      </c>
      <c r="H697" t="s">
        <v>3494</v>
      </c>
      <c r="I697" t="s">
        <v>3490</v>
      </c>
      <c r="J697" t="s">
        <v>2961</v>
      </c>
    </row>
    <row r="698" spans="1:10" x14ac:dyDescent="0.25">
      <c r="A698" t="s">
        <v>1002</v>
      </c>
      <c r="B698" t="s">
        <v>75</v>
      </c>
      <c r="C698">
        <v>8</v>
      </c>
      <c r="D698" t="s">
        <v>3056</v>
      </c>
      <c r="E698">
        <v>100</v>
      </c>
      <c r="F698">
        <v>30</v>
      </c>
      <c r="G698">
        <v>70</v>
      </c>
      <c r="H698" t="s">
        <v>3495</v>
      </c>
      <c r="I698" t="s">
        <v>3490</v>
      </c>
      <c r="J698" t="s">
        <v>2961</v>
      </c>
    </row>
    <row r="699" spans="1:10" x14ac:dyDescent="0.25">
      <c r="A699" t="s">
        <v>1002</v>
      </c>
      <c r="B699" t="s">
        <v>75</v>
      </c>
      <c r="C699">
        <v>8</v>
      </c>
      <c r="D699" t="s">
        <v>3058</v>
      </c>
      <c r="E699">
        <v>60</v>
      </c>
      <c r="F699">
        <v>17</v>
      </c>
      <c r="G699">
        <v>43</v>
      </c>
      <c r="H699" t="s">
        <v>3489</v>
      </c>
      <c r="I699" t="s">
        <v>3490</v>
      </c>
      <c r="J699" t="s">
        <v>2961</v>
      </c>
    </row>
    <row r="700" spans="1:10" x14ac:dyDescent="0.25">
      <c r="A700" t="s">
        <v>1002</v>
      </c>
      <c r="B700" t="s">
        <v>75</v>
      </c>
      <c r="C700">
        <v>8</v>
      </c>
      <c r="D700" t="s">
        <v>3060</v>
      </c>
      <c r="E700">
        <v>75</v>
      </c>
      <c r="F700">
        <v>11</v>
      </c>
      <c r="G700">
        <v>64</v>
      </c>
      <c r="H700" t="s">
        <v>3494</v>
      </c>
      <c r="I700" t="s">
        <v>3490</v>
      </c>
      <c r="J700" t="s">
        <v>2961</v>
      </c>
    </row>
    <row r="701" spans="1:10" x14ac:dyDescent="0.25">
      <c r="A701" t="s">
        <v>1002</v>
      </c>
      <c r="B701" t="s">
        <v>75</v>
      </c>
      <c r="C701">
        <v>8</v>
      </c>
      <c r="D701" t="s">
        <v>3062</v>
      </c>
      <c r="E701">
        <v>39</v>
      </c>
      <c r="F701">
        <v>18</v>
      </c>
      <c r="G701">
        <v>21</v>
      </c>
      <c r="H701" t="s">
        <v>3491</v>
      </c>
      <c r="I701" t="s">
        <v>3492</v>
      </c>
      <c r="J701" t="s">
        <v>2961</v>
      </c>
    </row>
    <row r="702" spans="1:10" x14ac:dyDescent="0.25">
      <c r="A702" t="s">
        <v>1007</v>
      </c>
      <c r="B702" t="s">
        <v>75</v>
      </c>
      <c r="C702">
        <v>6</v>
      </c>
      <c r="D702" t="s">
        <v>3054</v>
      </c>
      <c r="E702">
        <v>89</v>
      </c>
      <c r="F702">
        <v>21</v>
      </c>
      <c r="G702">
        <v>68</v>
      </c>
      <c r="H702" t="s">
        <v>196</v>
      </c>
      <c r="I702" t="s">
        <v>3490</v>
      </c>
      <c r="J702" t="s">
        <v>2961</v>
      </c>
    </row>
    <row r="703" spans="1:10" x14ac:dyDescent="0.25">
      <c r="A703" t="s">
        <v>1007</v>
      </c>
      <c r="B703" t="s">
        <v>75</v>
      </c>
      <c r="C703">
        <v>6</v>
      </c>
      <c r="D703" t="s">
        <v>3056</v>
      </c>
      <c r="E703">
        <v>66</v>
      </c>
      <c r="F703">
        <v>22</v>
      </c>
      <c r="G703">
        <v>44</v>
      </c>
      <c r="H703" t="s">
        <v>3489</v>
      </c>
      <c r="I703" t="s">
        <v>3490</v>
      </c>
      <c r="J703" t="s">
        <v>2961</v>
      </c>
    </row>
    <row r="704" spans="1:10" x14ac:dyDescent="0.25">
      <c r="A704" t="s">
        <v>1007</v>
      </c>
      <c r="B704" t="s">
        <v>75</v>
      </c>
      <c r="C704">
        <v>6</v>
      </c>
      <c r="D704" t="s">
        <v>3058</v>
      </c>
      <c r="E704">
        <v>70</v>
      </c>
      <c r="F704">
        <v>29</v>
      </c>
      <c r="G704">
        <v>41</v>
      </c>
      <c r="H704" t="s">
        <v>3494</v>
      </c>
      <c r="I704" t="s">
        <v>3490</v>
      </c>
      <c r="J704" t="s">
        <v>2961</v>
      </c>
    </row>
    <row r="705" spans="1:10" x14ac:dyDescent="0.25">
      <c r="A705" t="s">
        <v>1007</v>
      </c>
      <c r="B705" t="s">
        <v>75</v>
      </c>
      <c r="C705">
        <v>6</v>
      </c>
      <c r="D705" t="s">
        <v>3060</v>
      </c>
      <c r="E705">
        <v>80</v>
      </c>
      <c r="F705">
        <v>24</v>
      </c>
      <c r="G705">
        <v>56</v>
      </c>
      <c r="H705" t="s">
        <v>196</v>
      </c>
      <c r="I705" t="s">
        <v>3490</v>
      </c>
      <c r="J705" t="s">
        <v>2961</v>
      </c>
    </row>
    <row r="706" spans="1:10" x14ac:dyDescent="0.25">
      <c r="A706" t="s">
        <v>1007</v>
      </c>
      <c r="B706" t="s">
        <v>75</v>
      </c>
      <c r="C706">
        <v>6</v>
      </c>
      <c r="D706" t="s">
        <v>3062</v>
      </c>
      <c r="E706">
        <v>32</v>
      </c>
      <c r="F706">
        <v>11</v>
      </c>
      <c r="G706">
        <v>21</v>
      </c>
      <c r="H706" t="s">
        <v>3491</v>
      </c>
      <c r="I706" t="s">
        <v>3492</v>
      </c>
      <c r="J706" t="s">
        <v>2961</v>
      </c>
    </row>
    <row r="707" spans="1:10" x14ac:dyDescent="0.25">
      <c r="A707" t="s">
        <v>1012</v>
      </c>
      <c r="B707" t="s">
        <v>63</v>
      </c>
      <c r="C707">
        <v>6</v>
      </c>
      <c r="D707" t="s">
        <v>3414</v>
      </c>
      <c r="E707">
        <v>43</v>
      </c>
      <c r="F707">
        <v>13</v>
      </c>
      <c r="G707">
        <v>30</v>
      </c>
      <c r="H707" t="s">
        <v>3491</v>
      </c>
      <c r="I707" t="s">
        <v>3492</v>
      </c>
      <c r="J707" t="s">
        <v>2932</v>
      </c>
    </row>
    <row r="708" spans="1:10" x14ac:dyDescent="0.25">
      <c r="A708" t="s">
        <v>1012</v>
      </c>
      <c r="B708" t="s">
        <v>63</v>
      </c>
      <c r="C708">
        <v>6</v>
      </c>
      <c r="D708" t="s">
        <v>3416</v>
      </c>
      <c r="E708">
        <v>72</v>
      </c>
      <c r="F708">
        <v>18</v>
      </c>
      <c r="G708">
        <v>54</v>
      </c>
      <c r="H708" t="s">
        <v>3494</v>
      </c>
      <c r="I708" t="s">
        <v>3490</v>
      </c>
      <c r="J708" t="s">
        <v>2932</v>
      </c>
    </row>
    <row r="709" spans="1:10" x14ac:dyDescent="0.25">
      <c r="A709" t="s">
        <v>1012</v>
      </c>
      <c r="B709" t="s">
        <v>63</v>
      </c>
      <c r="C709">
        <v>6</v>
      </c>
      <c r="D709" t="s">
        <v>3418</v>
      </c>
      <c r="E709">
        <v>84</v>
      </c>
      <c r="F709">
        <v>15</v>
      </c>
      <c r="G709">
        <v>69</v>
      </c>
      <c r="H709" t="s">
        <v>196</v>
      </c>
      <c r="I709" t="s">
        <v>3490</v>
      </c>
      <c r="J709" t="s">
        <v>2932</v>
      </c>
    </row>
    <row r="710" spans="1:10" x14ac:dyDescent="0.25">
      <c r="A710" t="s">
        <v>1012</v>
      </c>
      <c r="B710" t="s">
        <v>63</v>
      </c>
      <c r="C710">
        <v>6</v>
      </c>
      <c r="D710" t="s">
        <v>3420</v>
      </c>
      <c r="E710">
        <v>63</v>
      </c>
      <c r="F710">
        <v>20</v>
      </c>
      <c r="G710">
        <v>43</v>
      </c>
      <c r="H710" t="s">
        <v>3489</v>
      </c>
      <c r="I710" t="s">
        <v>3490</v>
      </c>
      <c r="J710" t="s">
        <v>2932</v>
      </c>
    </row>
    <row r="711" spans="1:10" x14ac:dyDescent="0.25">
      <c r="A711" t="s">
        <v>1012</v>
      </c>
      <c r="B711" t="s">
        <v>63</v>
      </c>
      <c r="C711">
        <v>6</v>
      </c>
      <c r="D711" t="s">
        <v>3422</v>
      </c>
      <c r="E711">
        <v>54</v>
      </c>
      <c r="F711">
        <v>18</v>
      </c>
      <c r="G711">
        <v>36</v>
      </c>
      <c r="H711" t="s">
        <v>3493</v>
      </c>
      <c r="I711" t="s">
        <v>3490</v>
      </c>
      <c r="J711" t="s">
        <v>2932</v>
      </c>
    </row>
    <row r="712" spans="1:10" x14ac:dyDescent="0.25">
      <c r="A712" t="s">
        <v>1017</v>
      </c>
      <c r="B712" t="s">
        <v>30</v>
      </c>
      <c r="C712">
        <v>8</v>
      </c>
      <c r="D712" t="s">
        <v>3354</v>
      </c>
      <c r="E712">
        <v>68</v>
      </c>
      <c r="F712">
        <v>15</v>
      </c>
      <c r="G712">
        <v>53</v>
      </c>
      <c r="H712" t="s">
        <v>3489</v>
      </c>
      <c r="I712" t="s">
        <v>3490</v>
      </c>
      <c r="J712" t="s">
        <v>2895</v>
      </c>
    </row>
    <row r="713" spans="1:10" x14ac:dyDescent="0.25">
      <c r="A713" t="s">
        <v>1017</v>
      </c>
      <c r="B713" t="s">
        <v>30</v>
      </c>
      <c r="C713">
        <v>8</v>
      </c>
      <c r="D713" t="s">
        <v>3356</v>
      </c>
      <c r="E713">
        <v>71</v>
      </c>
      <c r="F713">
        <v>22</v>
      </c>
      <c r="G713">
        <v>49</v>
      </c>
      <c r="H713" t="s">
        <v>3494</v>
      </c>
      <c r="I713" t="s">
        <v>3490</v>
      </c>
      <c r="J713" t="s">
        <v>2895</v>
      </c>
    </row>
    <row r="714" spans="1:10" x14ac:dyDescent="0.25">
      <c r="A714" t="s">
        <v>1017</v>
      </c>
      <c r="B714" t="s">
        <v>30</v>
      </c>
      <c r="C714">
        <v>8</v>
      </c>
      <c r="D714" t="s">
        <v>3358</v>
      </c>
      <c r="E714">
        <v>73</v>
      </c>
      <c r="F714">
        <v>28</v>
      </c>
      <c r="G714">
        <v>45</v>
      </c>
      <c r="H714" t="s">
        <v>3494</v>
      </c>
      <c r="I714" t="s">
        <v>3490</v>
      </c>
      <c r="J714" t="s">
        <v>2895</v>
      </c>
    </row>
    <row r="715" spans="1:10" x14ac:dyDescent="0.25">
      <c r="A715" t="s">
        <v>1017</v>
      </c>
      <c r="B715" t="s">
        <v>30</v>
      </c>
      <c r="C715">
        <v>8</v>
      </c>
      <c r="D715" t="s">
        <v>3360</v>
      </c>
      <c r="E715">
        <v>44</v>
      </c>
      <c r="F715">
        <v>16</v>
      </c>
      <c r="G715">
        <v>28</v>
      </c>
      <c r="H715" t="s">
        <v>3491</v>
      </c>
      <c r="I715" t="s">
        <v>3492</v>
      </c>
      <c r="J715" t="s">
        <v>2895</v>
      </c>
    </row>
    <row r="716" spans="1:10" x14ac:dyDescent="0.25">
      <c r="A716" t="s">
        <v>1017</v>
      </c>
      <c r="B716" t="s">
        <v>30</v>
      </c>
      <c r="C716">
        <v>8</v>
      </c>
      <c r="D716" t="s">
        <v>3362</v>
      </c>
      <c r="E716">
        <v>80</v>
      </c>
      <c r="F716">
        <v>21</v>
      </c>
      <c r="G716">
        <v>59</v>
      </c>
      <c r="H716" t="s">
        <v>196</v>
      </c>
      <c r="I716" t="s">
        <v>3490</v>
      </c>
      <c r="J716" t="s">
        <v>2895</v>
      </c>
    </row>
    <row r="717" spans="1:10" x14ac:dyDescent="0.25">
      <c r="A717" t="s">
        <v>1023</v>
      </c>
      <c r="B717" t="s">
        <v>159</v>
      </c>
      <c r="C717">
        <v>8</v>
      </c>
      <c r="D717" t="s">
        <v>3114</v>
      </c>
      <c r="E717">
        <v>50</v>
      </c>
      <c r="F717">
        <v>19</v>
      </c>
      <c r="G717">
        <v>31</v>
      </c>
      <c r="H717" t="s">
        <v>3493</v>
      </c>
      <c r="I717" t="s">
        <v>3490</v>
      </c>
      <c r="J717" t="s">
        <v>2902</v>
      </c>
    </row>
    <row r="718" spans="1:10" x14ac:dyDescent="0.25">
      <c r="A718" t="s">
        <v>1023</v>
      </c>
      <c r="B718" t="s">
        <v>159</v>
      </c>
      <c r="C718">
        <v>8</v>
      </c>
      <c r="D718" t="s">
        <v>3116</v>
      </c>
      <c r="E718">
        <v>65</v>
      </c>
      <c r="F718">
        <v>30</v>
      </c>
      <c r="G718">
        <v>35</v>
      </c>
      <c r="H718" t="s">
        <v>3489</v>
      </c>
      <c r="I718" t="s">
        <v>3490</v>
      </c>
      <c r="J718" t="s">
        <v>2902</v>
      </c>
    </row>
    <row r="719" spans="1:10" x14ac:dyDescent="0.25">
      <c r="A719" t="s">
        <v>1023</v>
      </c>
      <c r="B719" t="s">
        <v>159</v>
      </c>
      <c r="C719">
        <v>8</v>
      </c>
      <c r="D719" t="s">
        <v>3118</v>
      </c>
      <c r="E719">
        <v>58</v>
      </c>
      <c r="F719">
        <v>30</v>
      </c>
      <c r="G719">
        <v>28</v>
      </c>
      <c r="H719" t="s">
        <v>3493</v>
      </c>
      <c r="I719" t="s">
        <v>3490</v>
      </c>
      <c r="J719" t="s">
        <v>2902</v>
      </c>
    </row>
    <row r="720" spans="1:10" x14ac:dyDescent="0.25">
      <c r="A720" t="s">
        <v>1023</v>
      </c>
      <c r="B720" t="s">
        <v>159</v>
      </c>
      <c r="C720">
        <v>8</v>
      </c>
      <c r="D720" t="s">
        <v>3120</v>
      </c>
      <c r="E720">
        <v>94</v>
      </c>
      <c r="F720">
        <v>27</v>
      </c>
      <c r="G720">
        <v>67</v>
      </c>
      <c r="H720" t="s">
        <v>3495</v>
      </c>
      <c r="I720" t="s">
        <v>3490</v>
      </c>
      <c r="J720" t="s">
        <v>2902</v>
      </c>
    </row>
    <row r="721" spans="1:10" x14ac:dyDescent="0.25">
      <c r="A721" t="s">
        <v>1023</v>
      </c>
      <c r="B721" t="s">
        <v>159</v>
      </c>
      <c r="C721">
        <v>8</v>
      </c>
      <c r="D721" t="s">
        <v>3122</v>
      </c>
      <c r="E721">
        <v>65</v>
      </c>
      <c r="F721">
        <v>28</v>
      </c>
      <c r="G721">
        <v>37</v>
      </c>
      <c r="H721" t="s">
        <v>3489</v>
      </c>
      <c r="I721" t="s">
        <v>3490</v>
      </c>
      <c r="J721" t="s">
        <v>2902</v>
      </c>
    </row>
    <row r="722" spans="1:10" x14ac:dyDescent="0.25">
      <c r="A722" t="s">
        <v>1028</v>
      </c>
      <c r="B722" t="s">
        <v>75</v>
      </c>
      <c r="C722">
        <v>8</v>
      </c>
      <c r="D722" t="s">
        <v>3054</v>
      </c>
      <c r="E722">
        <v>56</v>
      </c>
      <c r="F722">
        <v>22</v>
      </c>
      <c r="G722">
        <v>34</v>
      </c>
      <c r="H722" t="s">
        <v>3493</v>
      </c>
      <c r="I722" t="s">
        <v>3490</v>
      </c>
      <c r="J722" t="s">
        <v>2961</v>
      </c>
    </row>
    <row r="723" spans="1:10" x14ac:dyDescent="0.25">
      <c r="A723" t="s">
        <v>1028</v>
      </c>
      <c r="B723" t="s">
        <v>75</v>
      </c>
      <c r="C723">
        <v>8</v>
      </c>
      <c r="D723" t="s">
        <v>3056</v>
      </c>
      <c r="E723">
        <v>70</v>
      </c>
      <c r="F723">
        <v>16</v>
      </c>
      <c r="G723">
        <v>54</v>
      </c>
      <c r="H723" t="s">
        <v>3494</v>
      </c>
      <c r="I723" t="s">
        <v>3490</v>
      </c>
      <c r="J723" t="s">
        <v>2961</v>
      </c>
    </row>
    <row r="724" spans="1:10" x14ac:dyDescent="0.25">
      <c r="A724" t="s">
        <v>1028</v>
      </c>
      <c r="B724" t="s">
        <v>75</v>
      </c>
      <c r="C724">
        <v>8</v>
      </c>
      <c r="D724" t="s">
        <v>3058</v>
      </c>
      <c r="E724">
        <v>54</v>
      </c>
      <c r="F724">
        <v>28</v>
      </c>
      <c r="G724">
        <v>26</v>
      </c>
      <c r="H724" t="s">
        <v>3493</v>
      </c>
      <c r="I724" t="s">
        <v>3490</v>
      </c>
      <c r="J724" t="s">
        <v>2961</v>
      </c>
    </row>
    <row r="725" spans="1:10" x14ac:dyDescent="0.25">
      <c r="A725" t="s">
        <v>1028</v>
      </c>
      <c r="B725" t="s">
        <v>75</v>
      </c>
      <c r="C725">
        <v>8</v>
      </c>
      <c r="D725" t="s">
        <v>3060</v>
      </c>
      <c r="E725">
        <v>65</v>
      </c>
      <c r="F725">
        <v>20</v>
      </c>
      <c r="G725">
        <v>45</v>
      </c>
      <c r="H725" t="s">
        <v>3489</v>
      </c>
      <c r="I725" t="s">
        <v>3490</v>
      </c>
      <c r="J725" t="s">
        <v>2961</v>
      </c>
    </row>
    <row r="726" spans="1:10" x14ac:dyDescent="0.25">
      <c r="A726" t="s">
        <v>1028</v>
      </c>
      <c r="B726" t="s">
        <v>75</v>
      </c>
      <c r="C726">
        <v>8</v>
      </c>
      <c r="D726" t="s">
        <v>3062</v>
      </c>
      <c r="E726">
        <v>51</v>
      </c>
      <c r="F726">
        <v>15</v>
      </c>
      <c r="G726">
        <v>36</v>
      </c>
      <c r="H726" t="s">
        <v>3493</v>
      </c>
      <c r="I726" t="s">
        <v>3490</v>
      </c>
      <c r="J726" t="s">
        <v>2961</v>
      </c>
    </row>
    <row r="727" spans="1:10" x14ac:dyDescent="0.25">
      <c r="A727" t="s">
        <v>1036</v>
      </c>
      <c r="B727" t="s">
        <v>212</v>
      </c>
      <c r="C727">
        <v>8</v>
      </c>
      <c r="D727" t="s">
        <v>3474</v>
      </c>
      <c r="E727">
        <v>75</v>
      </c>
      <c r="F727">
        <v>12</v>
      </c>
      <c r="G727">
        <v>63</v>
      </c>
      <c r="H727" t="s">
        <v>3494</v>
      </c>
      <c r="I727" t="s">
        <v>3490</v>
      </c>
      <c r="J727" t="s">
        <v>3001</v>
      </c>
    </row>
    <row r="728" spans="1:10" x14ac:dyDescent="0.25">
      <c r="A728" t="s">
        <v>1036</v>
      </c>
      <c r="B728" t="s">
        <v>212</v>
      </c>
      <c r="C728">
        <v>8</v>
      </c>
      <c r="D728" t="s">
        <v>3476</v>
      </c>
      <c r="E728">
        <v>51</v>
      </c>
      <c r="F728">
        <v>20</v>
      </c>
      <c r="G728">
        <v>31</v>
      </c>
      <c r="H728" t="s">
        <v>3493</v>
      </c>
      <c r="I728" t="s">
        <v>3490</v>
      </c>
      <c r="J728" t="s">
        <v>3001</v>
      </c>
    </row>
    <row r="729" spans="1:10" x14ac:dyDescent="0.25">
      <c r="A729" t="s">
        <v>1036</v>
      </c>
      <c r="B729" t="s">
        <v>212</v>
      </c>
      <c r="C729">
        <v>8</v>
      </c>
      <c r="D729" t="s">
        <v>3478</v>
      </c>
      <c r="E729">
        <v>95</v>
      </c>
      <c r="F729">
        <v>27</v>
      </c>
      <c r="G729">
        <v>68</v>
      </c>
      <c r="H729" t="s">
        <v>3495</v>
      </c>
      <c r="I729" t="s">
        <v>3490</v>
      </c>
      <c r="J729" t="s">
        <v>3001</v>
      </c>
    </row>
    <row r="730" spans="1:10" x14ac:dyDescent="0.25">
      <c r="A730" t="s">
        <v>1036</v>
      </c>
      <c r="B730" t="s">
        <v>212</v>
      </c>
      <c r="C730">
        <v>8</v>
      </c>
      <c r="D730" t="s">
        <v>3480</v>
      </c>
      <c r="E730">
        <v>86</v>
      </c>
      <c r="F730">
        <v>20</v>
      </c>
      <c r="G730">
        <v>66</v>
      </c>
      <c r="H730" t="s">
        <v>196</v>
      </c>
      <c r="I730" t="s">
        <v>3490</v>
      </c>
      <c r="J730" t="s">
        <v>3001</v>
      </c>
    </row>
    <row r="731" spans="1:10" x14ac:dyDescent="0.25">
      <c r="A731" t="s">
        <v>1036</v>
      </c>
      <c r="B731" t="s">
        <v>212</v>
      </c>
      <c r="C731">
        <v>8</v>
      </c>
      <c r="D731" t="s">
        <v>3482</v>
      </c>
      <c r="E731">
        <v>56</v>
      </c>
      <c r="F731">
        <v>25</v>
      </c>
      <c r="G731">
        <v>31</v>
      </c>
      <c r="H731" t="s">
        <v>3493</v>
      </c>
      <c r="I731" t="s">
        <v>3490</v>
      </c>
      <c r="J731" t="s">
        <v>3001</v>
      </c>
    </row>
    <row r="732" spans="1:10" x14ac:dyDescent="0.25">
      <c r="A732" t="s">
        <v>1041</v>
      </c>
      <c r="B732" t="s">
        <v>105</v>
      </c>
      <c r="C732">
        <v>8</v>
      </c>
      <c r="D732" t="s">
        <v>3174</v>
      </c>
      <c r="E732">
        <v>64</v>
      </c>
      <c r="F732">
        <v>20</v>
      </c>
      <c r="G732">
        <v>44</v>
      </c>
      <c r="H732" t="s">
        <v>3489</v>
      </c>
      <c r="I732" t="s">
        <v>3490</v>
      </c>
      <c r="J732" t="s">
        <v>2908</v>
      </c>
    </row>
    <row r="733" spans="1:10" x14ac:dyDescent="0.25">
      <c r="A733" t="s">
        <v>1041</v>
      </c>
      <c r="B733" t="s">
        <v>105</v>
      </c>
      <c r="C733">
        <v>8</v>
      </c>
      <c r="D733" t="s">
        <v>3176</v>
      </c>
      <c r="E733">
        <v>71</v>
      </c>
      <c r="F733">
        <v>15</v>
      </c>
      <c r="G733">
        <v>56</v>
      </c>
      <c r="H733" t="s">
        <v>3494</v>
      </c>
      <c r="I733" t="s">
        <v>3490</v>
      </c>
      <c r="J733" t="s">
        <v>2908</v>
      </c>
    </row>
    <row r="734" spans="1:10" x14ac:dyDescent="0.25">
      <c r="A734" t="s">
        <v>1041</v>
      </c>
      <c r="B734" t="s">
        <v>105</v>
      </c>
      <c r="C734">
        <v>8</v>
      </c>
      <c r="D734" t="s">
        <v>3178</v>
      </c>
      <c r="E734">
        <v>60</v>
      </c>
      <c r="F734">
        <v>15</v>
      </c>
      <c r="G734">
        <v>45</v>
      </c>
      <c r="H734" t="s">
        <v>3489</v>
      </c>
      <c r="I734" t="s">
        <v>3490</v>
      </c>
      <c r="J734" t="s">
        <v>2908</v>
      </c>
    </row>
    <row r="735" spans="1:10" x14ac:dyDescent="0.25">
      <c r="A735" t="s">
        <v>1041</v>
      </c>
      <c r="B735" t="s">
        <v>105</v>
      </c>
      <c r="C735">
        <v>8</v>
      </c>
      <c r="D735" t="s">
        <v>3180</v>
      </c>
      <c r="E735">
        <v>62</v>
      </c>
      <c r="F735">
        <v>28</v>
      </c>
      <c r="G735">
        <v>34</v>
      </c>
      <c r="H735" t="s">
        <v>3489</v>
      </c>
      <c r="I735" t="s">
        <v>3490</v>
      </c>
      <c r="J735" t="s">
        <v>2908</v>
      </c>
    </row>
    <row r="736" spans="1:10" x14ac:dyDescent="0.25">
      <c r="A736" t="s">
        <v>1041</v>
      </c>
      <c r="B736" t="s">
        <v>105</v>
      </c>
      <c r="C736">
        <v>8</v>
      </c>
      <c r="D736" t="s">
        <v>3182</v>
      </c>
      <c r="E736">
        <v>58</v>
      </c>
      <c r="F736">
        <v>17</v>
      </c>
      <c r="G736">
        <v>41</v>
      </c>
      <c r="H736" t="s">
        <v>3493</v>
      </c>
      <c r="I736" t="s">
        <v>3490</v>
      </c>
      <c r="J736" t="s">
        <v>2908</v>
      </c>
    </row>
    <row r="737" spans="1:10" x14ac:dyDescent="0.25">
      <c r="A737" t="s">
        <v>1048</v>
      </c>
      <c r="B737" t="s">
        <v>159</v>
      </c>
      <c r="C737">
        <v>8</v>
      </c>
      <c r="D737" t="s">
        <v>3114</v>
      </c>
      <c r="E737">
        <v>84</v>
      </c>
      <c r="F737">
        <v>26</v>
      </c>
      <c r="G737">
        <v>58</v>
      </c>
      <c r="H737" t="s">
        <v>196</v>
      </c>
      <c r="I737" t="s">
        <v>3490</v>
      </c>
      <c r="J737" t="s">
        <v>2902</v>
      </c>
    </row>
    <row r="738" spans="1:10" x14ac:dyDescent="0.25">
      <c r="A738" t="s">
        <v>1048</v>
      </c>
      <c r="B738" t="s">
        <v>159</v>
      </c>
      <c r="C738">
        <v>8</v>
      </c>
      <c r="D738" t="s">
        <v>3116</v>
      </c>
      <c r="E738">
        <v>47</v>
      </c>
      <c r="F738">
        <v>21</v>
      </c>
      <c r="G738">
        <v>26</v>
      </c>
      <c r="H738" t="s">
        <v>3491</v>
      </c>
      <c r="I738" t="s">
        <v>3492</v>
      </c>
      <c r="J738" t="s">
        <v>2902</v>
      </c>
    </row>
    <row r="739" spans="1:10" x14ac:dyDescent="0.25">
      <c r="A739" t="s">
        <v>1048</v>
      </c>
      <c r="B739" t="s">
        <v>159</v>
      </c>
      <c r="C739">
        <v>8</v>
      </c>
      <c r="D739" t="s">
        <v>3118</v>
      </c>
      <c r="E739">
        <v>69</v>
      </c>
      <c r="F739">
        <v>17</v>
      </c>
      <c r="G739">
        <v>52</v>
      </c>
      <c r="H739" t="s">
        <v>3489</v>
      </c>
      <c r="I739" t="s">
        <v>3490</v>
      </c>
      <c r="J739" t="s">
        <v>2902</v>
      </c>
    </row>
    <row r="740" spans="1:10" x14ac:dyDescent="0.25">
      <c r="A740" t="s">
        <v>1048</v>
      </c>
      <c r="B740" t="s">
        <v>159</v>
      </c>
      <c r="C740">
        <v>8</v>
      </c>
      <c r="D740" t="s">
        <v>3120</v>
      </c>
      <c r="E740">
        <v>68</v>
      </c>
      <c r="F740">
        <v>13</v>
      </c>
      <c r="G740">
        <v>55</v>
      </c>
      <c r="H740" t="s">
        <v>3489</v>
      </c>
      <c r="I740" t="s">
        <v>3490</v>
      </c>
      <c r="J740" t="s">
        <v>2902</v>
      </c>
    </row>
    <row r="741" spans="1:10" x14ac:dyDescent="0.25">
      <c r="A741" t="s">
        <v>1048</v>
      </c>
      <c r="B741" t="s">
        <v>159</v>
      </c>
      <c r="C741">
        <v>8</v>
      </c>
      <c r="D741" t="s">
        <v>3122</v>
      </c>
      <c r="E741">
        <v>65</v>
      </c>
      <c r="F741">
        <v>22</v>
      </c>
      <c r="G741">
        <v>43</v>
      </c>
      <c r="H741" t="s">
        <v>3489</v>
      </c>
      <c r="I741" t="s">
        <v>3490</v>
      </c>
      <c r="J741" t="s">
        <v>2902</v>
      </c>
    </row>
    <row r="742" spans="1:10" x14ac:dyDescent="0.25">
      <c r="A742" t="s">
        <v>1053</v>
      </c>
      <c r="B742" t="s">
        <v>30</v>
      </c>
      <c r="C742">
        <v>4</v>
      </c>
      <c r="D742" t="s">
        <v>3334</v>
      </c>
      <c r="E742">
        <v>42</v>
      </c>
      <c r="F742">
        <v>21</v>
      </c>
      <c r="G742">
        <v>21</v>
      </c>
      <c r="H742" t="s">
        <v>3491</v>
      </c>
      <c r="I742" t="s">
        <v>3492</v>
      </c>
      <c r="J742" t="s">
        <v>2895</v>
      </c>
    </row>
    <row r="743" spans="1:10" x14ac:dyDescent="0.25">
      <c r="A743" t="s">
        <v>1053</v>
      </c>
      <c r="B743" t="s">
        <v>30</v>
      </c>
      <c r="C743">
        <v>4</v>
      </c>
      <c r="D743" t="s">
        <v>3336</v>
      </c>
      <c r="E743">
        <v>81</v>
      </c>
      <c r="F743">
        <v>30</v>
      </c>
      <c r="G743">
        <v>51</v>
      </c>
      <c r="H743" t="s">
        <v>196</v>
      </c>
      <c r="I743" t="s">
        <v>3490</v>
      </c>
      <c r="J743" t="s">
        <v>2895</v>
      </c>
    </row>
    <row r="744" spans="1:10" x14ac:dyDescent="0.25">
      <c r="A744" t="s">
        <v>1053</v>
      </c>
      <c r="B744" t="s">
        <v>30</v>
      </c>
      <c r="C744">
        <v>4</v>
      </c>
      <c r="D744" t="s">
        <v>3338</v>
      </c>
      <c r="E744">
        <v>62</v>
      </c>
      <c r="F744">
        <v>26</v>
      </c>
      <c r="G744">
        <v>36</v>
      </c>
      <c r="H744" t="s">
        <v>3489</v>
      </c>
      <c r="I744" t="s">
        <v>3490</v>
      </c>
      <c r="J744" t="s">
        <v>2895</v>
      </c>
    </row>
    <row r="745" spans="1:10" x14ac:dyDescent="0.25">
      <c r="A745" t="s">
        <v>1053</v>
      </c>
      <c r="B745" t="s">
        <v>30</v>
      </c>
      <c r="C745">
        <v>4</v>
      </c>
      <c r="D745" t="s">
        <v>3340</v>
      </c>
      <c r="E745">
        <v>77</v>
      </c>
      <c r="F745">
        <v>22</v>
      </c>
      <c r="G745">
        <v>55</v>
      </c>
      <c r="H745" t="s">
        <v>3494</v>
      </c>
      <c r="I745" t="s">
        <v>3490</v>
      </c>
      <c r="J745" t="s">
        <v>2895</v>
      </c>
    </row>
    <row r="746" spans="1:10" x14ac:dyDescent="0.25">
      <c r="A746" t="s">
        <v>1053</v>
      </c>
      <c r="B746" t="s">
        <v>30</v>
      </c>
      <c r="C746">
        <v>4</v>
      </c>
      <c r="D746" t="s">
        <v>3342</v>
      </c>
      <c r="E746">
        <v>41</v>
      </c>
      <c r="F746">
        <v>20</v>
      </c>
      <c r="G746">
        <v>21</v>
      </c>
      <c r="H746" t="s">
        <v>3491</v>
      </c>
      <c r="I746" t="s">
        <v>3492</v>
      </c>
      <c r="J746" t="s">
        <v>2895</v>
      </c>
    </row>
    <row r="747" spans="1:10" x14ac:dyDescent="0.25">
      <c r="A747" t="s">
        <v>1060</v>
      </c>
      <c r="B747" t="s">
        <v>75</v>
      </c>
      <c r="C747">
        <v>6</v>
      </c>
      <c r="D747" t="s">
        <v>3054</v>
      </c>
      <c r="E747">
        <v>69</v>
      </c>
      <c r="F747">
        <v>29</v>
      </c>
      <c r="G747">
        <v>40</v>
      </c>
      <c r="H747" t="s">
        <v>3489</v>
      </c>
      <c r="I747" t="s">
        <v>3490</v>
      </c>
      <c r="J747" t="s">
        <v>2961</v>
      </c>
    </row>
    <row r="748" spans="1:10" x14ac:dyDescent="0.25">
      <c r="A748" t="s">
        <v>1060</v>
      </c>
      <c r="B748" t="s">
        <v>75</v>
      </c>
      <c r="C748">
        <v>6</v>
      </c>
      <c r="D748" t="s">
        <v>3056</v>
      </c>
      <c r="E748">
        <v>94</v>
      </c>
      <c r="F748">
        <v>25</v>
      </c>
      <c r="G748">
        <v>69</v>
      </c>
      <c r="H748" t="s">
        <v>3495</v>
      </c>
      <c r="I748" t="s">
        <v>3490</v>
      </c>
      <c r="J748" t="s">
        <v>2961</v>
      </c>
    </row>
    <row r="749" spans="1:10" x14ac:dyDescent="0.25">
      <c r="A749" t="s">
        <v>1060</v>
      </c>
      <c r="B749" t="s">
        <v>75</v>
      </c>
      <c r="C749">
        <v>6</v>
      </c>
      <c r="D749" t="s">
        <v>3058</v>
      </c>
      <c r="E749">
        <v>55</v>
      </c>
      <c r="F749">
        <v>19</v>
      </c>
      <c r="G749">
        <v>36</v>
      </c>
      <c r="H749" t="s">
        <v>3493</v>
      </c>
      <c r="I749" t="s">
        <v>3490</v>
      </c>
      <c r="J749" t="s">
        <v>2961</v>
      </c>
    </row>
    <row r="750" spans="1:10" x14ac:dyDescent="0.25">
      <c r="A750" t="s">
        <v>1060</v>
      </c>
      <c r="B750" t="s">
        <v>75</v>
      </c>
      <c r="C750">
        <v>6</v>
      </c>
      <c r="D750" t="s">
        <v>3060</v>
      </c>
      <c r="E750">
        <v>37</v>
      </c>
      <c r="F750">
        <v>17</v>
      </c>
      <c r="G750">
        <v>20</v>
      </c>
      <c r="H750" t="s">
        <v>3491</v>
      </c>
      <c r="I750" t="s">
        <v>3492</v>
      </c>
      <c r="J750" t="s">
        <v>2961</v>
      </c>
    </row>
    <row r="751" spans="1:10" x14ac:dyDescent="0.25">
      <c r="A751" t="s">
        <v>1060</v>
      </c>
      <c r="B751" t="s">
        <v>75</v>
      </c>
      <c r="C751">
        <v>6</v>
      </c>
      <c r="D751" t="s">
        <v>3062</v>
      </c>
      <c r="E751">
        <v>55</v>
      </c>
      <c r="F751">
        <v>16</v>
      </c>
      <c r="G751">
        <v>39</v>
      </c>
      <c r="H751" t="s">
        <v>3493</v>
      </c>
      <c r="I751" t="s">
        <v>3490</v>
      </c>
      <c r="J751" t="s">
        <v>2961</v>
      </c>
    </row>
    <row r="752" spans="1:10" x14ac:dyDescent="0.25">
      <c r="A752" t="s">
        <v>1066</v>
      </c>
      <c r="B752" t="s">
        <v>75</v>
      </c>
      <c r="C752">
        <v>6</v>
      </c>
      <c r="D752" t="s">
        <v>3054</v>
      </c>
      <c r="E752">
        <v>89</v>
      </c>
      <c r="F752">
        <v>30</v>
      </c>
      <c r="G752">
        <v>59</v>
      </c>
      <c r="H752" t="s">
        <v>196</v>
      </c>
      <c r="I752" t="s">
        <v>3490</v>
      </c>
      <c r="J752" t="s">
        <v>2961</v>
      </c>
    </row>
    <row r="753" spans="1:10" x14ac:dyDescent="0.25">
      <c r="A753" t="s">
        <v>1066</v>
      </c>
      <c r="B753" t="s">
        <v>75</v>
      </c>
      <c r="C753">
        <v>6</v>
      </c>
      <c r="D753" t="s">
        <v>3056</v>
      </c>
      <c r="E753">
        <v>76</v>
      </c>
      <c r="F753">
        <v>13</v>
      </c>
      <c r="G753">
        <v>63</v>
      </c>
      <c r="H753" t="s">
        <v>3494</v>
      </c>
      <c r="I753" t="s">
        <v>3490</v>
      </c>
      <c r="J753" t="s">
        <v>2961</v>
      </c>
    </row>
    <row r="754" spans="1:10" x14ac:dyDescent="0.25">
      <c r="A754" t="s">
        <v>1066</v>
      </c>
      <c r="B754" t="s">
        <v>75</v>
      </c>
      <c r="C754">
        <v>6</v>
      </c>
      <c r="D754" t="s">
        <v>3058</v>
      </c>
      <c r="E754">
        <v>82</v>
      </c>
      <c r="F754">
        <v>26</v>
      </c>
      <c r="G754">
        <v>56</v>
      </c>
      <c r="H754" t="s">
        <v>196</v>
      </c>
      <c r="I754" t="s">
        <v>3490</v>
      </c>
      <c r="J754" t="s">
        <v>2961</v>
      </c>
    </row>
    <row r="755" spans="1:10" x14ac:dyDescent="0.25">
      <c r="A755" t="s">
        <v>1066</v>
      </c>
      <c r="B755" t="s">
        <v>75</v>
      </c>
      <c r="C755">
        <v>6</v>
      </c>
      <c r="D755" t="s">
        <v>3060</v>
      </c>
      <c r="E755">
        <v>39</v>
      </c>
      <c r="F755">
        <v>12</v>
      </c>
      <c r="G755">
        <v>27</v>
      </c>
      <c r="H755" t="s">
        <v>3491</v>
      </c>
      <c r="I755" t="s">
        <v>3492</v>
      </c>
      <c r="J755" t="s">
        <v>2961</v>
      </c>
    </row>
    <row r="756" spans="1:10" x14ac:dyDescent="0.25">
      <c r="A756" t="s">
        <v>1066</v>
      </c>
      <c r="B756" t="s">
        <v>75</v>
      </c>
      <c r="C756">
        <v>6</v>
      </c>
      <c r="D756" t="s">
        <v>3062</v>
      </c>
      <c r="E756">
        <v>83</v>
      </c>
      <c r="F756">
        <v>25</v>
      </c>
      <c r="G756">
        <v>58</v>
      </c>
      <c r="H756" t="s">
        <v>196</v>
      </c>
      <c r="I756" t="s">
        <v>3490</v>
      </c>
      <c r="J756" t="s">
        <v>2961</v>
      </c>
    </row>
    <row r="757" spans="1:10" x14ac:dyDescent="0.25">
      <c r="A757" t="s">
        <v>1072</v>
      </c>
      <c r="B757" t="s">
        <v>95</v>
      </c>
      <c r="C757">
        <v>8</v>
      </c>
      <c r="D757" t="s">
        <v>3234</v>
      </c>
      <c r="E757">
        <v>55</v>
      </c>
      <c r="F757">
        <v>25</v>
      </c>
      <c r="G757">
        <v>30</v>
      </c>
      <c r="H757" t="s">
        <v>3493</v>
      </c>
      <c r="I757" t="s">
        <v>3490</v>
      </c>
      <c r="J757" t="s">
        <v>2889</v>
      </c>
    </row>
    <row r="758" spans="1:10" x14ac:dyDescent="0.25">
      <c r="A758" t="s">
        <v>1072</v>
      </c>
      <c r="B758" t="s">
        <v>95</v>
      </c>
      <c r="C758">
        <v>8</v>
      </c>
      <c r="D758" t="s">
        <v>3236</v>
      </c>
      <c r="E758">
        <v>43</v>
      </c>
      <c r="F758">
        <v>11</v>
      </c>
      <c r="G758">
        <v>32</v>
      </c>
      <c r="H758" t="s">
        <v>3491</v>
      </c>
      <c r="I758" t="s">
        <v>3492</v>
      </c>
      <c r="J758" t="s">
        <v>2889</v>
      </c>
    </row>
    <row r="759" spans="1:10" x14ac:dyDescent="0.25">
      <c r="A759" t="s">
        <v>1072</v>
      </c>
      <c r="B759" t="s">
        <v>95</v>
      </c>
      <c r="C759">
        <v>8</v>
      </c>
      <c r="D759" t="s">
        <v>3238</v>
      </c>
      <c r="E759">
        <v>91</v>
      </c>
      <c r="F759">
        <v>26</v>
      </c>
      <c r="G759">
        <v>65</v>
      </c>
      <c r="H759" t="s">
        <v>3495</v>
      </c>
      <c r="I759" t="s">
        <v>3490</v>
      </c>
      <c r="J759" t="s">
        <v>2889</v>
      </c>
    </row>
    <row r="760" spans="1:10" x14ac:dyDescent="0.25">
      <c r="A760" t="s">
        <v>1072</v>
      </c>
      <c r="B760" t="s">
        <v>95</v>
      </c>
      <c r="C760">
        <v>8</v>
      </c>
      <c r="D760" t="s">
        <v>3240</v>
      </c>
      <c r="E760">
        <v>77</v>
      </c>
      <c r="F760">
        <v>20</v>
      </c>
      <c r="G760">
        <v>57</v>
      </c>
      <c r="H760" t="s">
        <v>3494</v>
      </c>
      <c r="I760" t="s">
        <v>3490</v>
      </c>
      <c r="J760" t="s">
        <v>2889</v>
      </c>
    </row>
    <row r="761" spans="1:10" x14ac:dyDescent="0.25">
      <c r="A761" t="s">
        <v>1072</v>
      </c>
      <c r="B761" t="s">
        <v>95</v>
      </c>
      <c r="C761">
        <v>8</v>
      </c>
      <c r="D761" t="s">
        <v>3242</v>
      </c>
      <c r="E761">
        <v>54</v>
      </c>
      <c r="F761">
        <v>17</v>
      </c>
      <c r="G761">
        <v>37</v>
      </c>
      <c r="H761" t="s">
        <v>3493</v>
      </c>
      <c r="I761" t="s">
        <v>3490</v>
      </c>
      <c r="J761" t="s">
        <v>2889</v>
      </c>
    </row>
    <row r="762" spans="1:10" x14ac:dyDescent="0.25">
      <c r="A762" t="s">
        <v>1077</v>
      </c>
      <c r="B762" t="s">
        <v>63</v>
      </c>
      <c r="C762">
        <v>4</v>
      </c>
      <c r="D762" t="s">
        <v>3394</v>
      </c>
      <c r="E762">
        <v>36</v>
      </c>
      <c r="F762">
        <v>11</v>
      </c>
      <c r="G762">
        <v>25</v>
      </c>
      <c r="H762" t="s">
        <v>3491</v>
      </c>
      <c r="I762" t="s">
        <v>3492</v>
      </c>
      <c r="J762" t="s">
        <v>2932</v>
      </c>
    </row>
    <row r="763" spans="1:10" x14ac:dyDescent="0.25">
      <c r="A763" t="s">
        <v>1077</v>
      </c>
      <c r="B763" t="s">
        <v>63</v>
      </c>
      <c r="C763">
        <v>4</v>
      </c>
      <c r="D763" t="s">
        <v>3396</v>
      </c>
      <c r="E763">
        <v>54</v>
      </c>
      <c r="F763">
        <v>21</v>
      </c>
      <c r="G763">
        <v>33</v>
      </c>
      <c r="H763" t="s">
        <v>3493</v>
      </c>
      <c r="I763" t="s">
        <v>3490</v>
      </c>
      <c r="J763" t="s">
        <v>2932</v>
      </c>
    </row>
    <row r="764" spans="1:10" x14ac:dyDescent="0.25">
      <c r="A764" t="s">
        <v>1077</v>
      </c>
      <c r="B764" t="s">
        <v>63</v>
      </c>
      <c r="C764">
        <v>4</v>
      </c>
      <c r="D764" t="s">
        <v>3398</v>
      </c>
      <c r="E764">
        <v>61</v>
      </c>
      <c r="F764">
        <v>22</v>
      </c>
      <c r="G764">
        <v>39</v>
      </c>
      <c r="H764" t="s">
        <v>3489</v>
      </c>
      <c r="I764" t="s">
        <v>3490</v>
      </c>
      <c r="J764" t="s">
        <v>2932</v>
      </c>
    </row>
    <row r="765" spans="1:10" x14ac:dyDescent="0.25">
      <c r="A765" t="s">
        <v>1077</v>
      </c>
      <c r="B765" t="s">
        <v>63</v>
      </c>
      <c r="C765">
        <v>4</v>
      </c>
      <c r="D765" t="s">
        <v>3400</v>
      </c>
      <c r="E765">
        <v>52</v>
      </c>
      <c r="F765">
        <v>12</v>
      </c>
      <c r="G765">
        <v>40</v>
      </c>
      <c r="H765" t="s">
        <v>3493</v>
      </c>
      <c r="I765" t="s">
        <v>3490</v>
      </c>
      <c r="J765" t="s">
        <v>2932</v>
      </c>
    </row>
    <row r="766" spans="1:10" x14ac:dyDescent="0.25">
      <c r="A766" t="s">
        <v>1077</v>
      </c>
      <c r="B766" t="s">
        <v>63</v>
      </c>
      <c r="C766">
        <v>4</v>
      </c>
      <c r="D766" t="s">
        <v>3402</v>
      </c>
      <c r="E766">
        <v>68</v>
      </c>
      <c r="F766">
        <v>19</v>
      </c>
      <c r="G766">
        <v>49</v>
      </c>
      <c r="H766" t="s">
        <v>3489</v>
      </c>
      <c r="I766" t="s">
        <v>3490</v>
      </c>
      <c r="J766" t="s">
        <v>2932</v>
      </c>
    </row>
    <row r="767" spans="1:10" x14ac:dyDescent="0.25">
      <c r="A767" t="s">
        <v>1084</v>
      </c>
      <c r="B767" t="s">
        <v>159</v>
      </c>
      <c r="C767">
        <v>6</v>
      </c>
      <c r="D767" t="s">
        <v>3114</v>
      </c>
      <c r="E767">
        <v>53</v>
      </c>
      <c r="F767">
        <v>13</v>
      </c>
      <c r="G767">
        <v>40</v>
      </c>
      <c r="H767" t="s">
        <v>3493</v>
      </c>
      <c r="I767" t="s">
        <v>3490</v>
      </c>
      <c r="J767" t="s">
        <v>2902</v>
      </c>
    </row>
    <row r="768" spans="1:10" x14ac:dyDescent="0.25">
      <c r="A768" t="s">
        <v>1084</v>
      </c>
      <c r="B768" t="s">
        <v>159</v>
      </c>
      <c r="C768">
        <v>6</v>
      </c>
      <c r="D768" t="s">
        <v>3116</v>
      </c>
      <c r="E768">
        <v>52</v>
      </c>
      <c r="F768">
        <v>20</v>
      </c>
      <c r="G768">
        <v>32</v>
      </c>
      <c r="H768" t="s">
        <v>3493</v>
      </c>
      <c r="I768" t="s">
        <v>3490</v>
      </c>
      <c r="J768" t="s">
        <v>2902</v>
      </c>
    </row>
    <row r="769" spans="1:10" x14ac:dyDescent="0.25">
      <c r="A769" t="s">
        <v>1084</v>
      </c>
      <c r="B769" t="s">
        <v>159</v>
      </c>
      <c r="C769">
        <v>6</v>
      </c>
      <c r="D769" t="s">
        <v>3118</v>
      </c>
      <c r="E769">
        <v>46</v>
      </c>
      <c r="F769">
        <v>13</v>
      </c>
      <c r="G769">
        <v>33</v>
      </c>
      <c r="H769" t="s">
        <v>3491</v>
      </c>
      <c r="I769" t="s">
        <v>3492</v>
      </c>
      <c r="J769" t="s">
        <v>2902</v>
      </c>
    </row>
    <row r="770" spans="1:10" x14ac:dyDescent="0.25">
      <c r="A770" t="s">
        <v>1084</v>
      </c>
      <c r="B770" t="s">
        <v>159</v>
      </c>
      <c r="C770">
        <v>6</v>
      </c>
      <c r="D770" t="s">
        <v>3120</v>
      </c>
      <c r="E770">
        <v>58</v>
      </c>
      <c r="F770">
        <v>15</v>
      </c>
      <c r="G770">
        <v>43</v>
      </c>
      <c r="H770" t="s">
        <v>3493</v>
      </c>
      <c r="I770" t="s">
        <v>3490</v>
      </c>
      <c r="J770" t="s">
        <v>2902</v>
      </c>
    </row>
    <row r="771" spans="1:10" x14ac:dyDescent="0.25">
      <c r="A771" t="s">
        <v>1084</v>
      </c>
      <c r="B771" t="s">
        <v>159</v>
      </c>
      <c r="C771">
        <v>6</v>
      </c>
      <c r="D771" t="s">
        <v>3122</v>
      </c>
      <c r="E771">
        <v>62</v>
      </c>
      <c r="F771">
        <v>29</v>
      </c>
      <c r="G771">
        <v>33</v>
      </c>
      <c r="H771" t="s">
        <v>3489</v>
      </c>
      <c r="I771" t="s">
        <v>3490</v>
      </c>
      <c r="J771" t="s">
        <v>2902</v>
      </c>
    </row>
    <row r="772" spans="1:10" x14ac:dyDescent="0.25">
      <c r="A772" t="s">
        <v>1090</v>
      </c>
      <c r="B772" t="s">
        <v>30</v>
      </c>
      <c r="C772">
        <v>6</v>
      </c>
      <c r="D772" t="s">
        <v>3354</v>
      </c>
      <c r="E772">
        <v>73</v>
      </c>
      <c r="F772">
        <v>23</v>
      </c>
      <c r="G772">
        <v>50</v>
      </c>
      <c r="H772" t="s">
        <v>3494</v>
      </c>
      <c r="I772" t="s">
        <v>3490</v>
      </c>
      <c r="J772" t="s">
        <v>2895</v>
      </c>
    </row>
    <row r="773" spans="1:10" x14ac:dyDescent="0.25">
      <c r="A773" t="s">
        <v>1090</v>
      </c>
      <c r="B773" t="s">
        <v>30</v>
      </c>
      <c r="C773">
        <v>6</v>
      </c>
      <c r="D773" t="s">
        <v>3356</v>
      </c>
      <c r="E773">
        <v>52</v>
      </c>
      <c r="F773">
        <v>26</v>
      </c>
      <c r="G773">
        <v>26</v>
      </c>
      <c r="H773" t="s">
        <v>3493</v>
      </c>
      <c r="I773" t="s">
        <v>3490</v>
      </c>
      <c r="J773" t="s">
        <v>2895</v>
      </c>
    </row>
    <row r="774" spans="1:10" x14ac:dyDescent="0.25">
      <c r="A774" t="s">
        <v>1090</v>
      </c>
      <c r="B774" t="s">
        <v>30</v>
      </c>
      <c r="C774">
        <v>6</v>
      </c>
      <c r="D774" t="s">
        <v>3358</v>
      </c>
      <c r="E774">
        <v>64</v>
      </c>
      <c r="F774">
        <v>17</v>
      </c>
      <c r="G774">
        <v>47</v>
      </c>
      <c r="H774" t="s">
        <v>3489</v>
      </c>
      <c r="I774" t="s">
        <v>3490</v>
      </c>
      <c r="J774" t="s">
        <v>2895</v>
      </c>
    </row>
    <row r="775" spans="1:10" x14ac:dyDescent="0.25">
      <c r="A775" t="s">
        <v>1090</v>
      </c>
      <c r="B775" t="s">
        <v>30</v>
      </c>
      <c r="C775">
        <v>6</v>
      </c>
      <c r="D775" t="s">
        <v>3360</v>
      </c>
      <c r="E775">
        <v>64</v>
      </c>
      <c r="F775">
        <v>24</v>
      </c>
      <c r="G775">
        <v>40</v>
      </c>
      <c r="H775" t="s">
        <v>3489</v>
      </c>
      <c r="I775" t="s">
        <v>3490</v>
      </c>
      <c r="J775" t="s">
        <v>2895</v>
      </c>
    </row>
    <row r="776" spans="1:10" x14ac:dyDescent="0.25">
      <c r="A776" t="s">
        <v>1090</v>
      </c>
      <c r="B776" t="s">
        <v>30</v>
      </c>
      <c r="C776">
        <v>6</v>
      </c>
      <c r="D776" t="s">
        <v>3362</v>
      </c>
      <c r="E776">
        <v>32</v>
      </c>
      <c r="F776">
        <v>11</v>
      </c>
      <c r="G776">
        <v>21</v>
      </c>
      <c r="H776" t="s">
        <v>3491</v>
      </c>
      <c r="I776" t="s">
        <v>3492</v>
      </c>
      <c r="J776" t="s">
        <v>2895</v>
      </c>
    </row>
    <row r="777" spans="1:10" x14ac:dyDescent="0.25">
      <c r="A777" t="s">
        <v>1095</v>
      </c>
      <c r="B777" t="s">
        <v>122</v>
      </c>
      <c r="C777">
        <v>8</v>
      </c>
      <c r="D777" t="s">
        <v>3294</v>
      </c>
      <c r="E777">
        <v>66</v>
      </c>
      <c r="F777">
        <v>29</v>
      </c>
      <c r="G777">
        <v>37</v>
      </c>
      <c r="H777" t="s">
        <v>3489</v>
      </c>
      <c r="I777" t="s">
        <v>3490</v>
      </c>
      <c r="J777" t="s">
        <v>2919</v>
      </c>
    </row>
    <row r="778" spans="1:10" x14ac:dyDescent="0.25">
      <c r="A778" t="s">
        <v>1095</v>
      </c>
      <c r="B778" t="s">
        <v>122</v>
      </c>
      <c r="C778">
        <v>8</v>
      </c>
      <c r="D778" t="s">
        <v>3296</v>
      </c>
      <c r="E778">
        <v>78</v>
      </c>
      <c r="F778">
        <v>14</v>
      </c>
      <c r="G778">
        <v>64</v>
      </c>
      <c r="H778" t="s">
        <v>3494</v>
      </c>
      <c r="I778" t="s">
        <v>3490</v>
      </c>
      <c r="J778" t="s">
        <v>2919</v>
      </c>
    </row>
    <row r="779" spans="1:10" x14ac:dyDescent="0.25">
      <c r="A779" t="s">
        <v>1095</v>
      </c>
      <c r="B779" t="s">
        <v>122</v>
      </c>
      <c r="C779">
        <v>8</v>
      </c>
      <c r="D779" t="s">
        <v>3298</v>
      </c>
      <c r="E779">
        <v>56</v>
      </c>
      <c r="F779">
        <v>30</v>
      </c>
      <c r="G779">
        <v>26</v>
      </c>
      <c r="H779" t="s">
        <v>3493</v>
      </c>
      <c r="I779" t="s">
        <v>3490</v>
      </c>
      <c r="J779" t="s">
        <v>2919</v>
      </c>
    </row>
    <row r="780" spans="1:10" x14ac:dyDescent="0.25">
      <c r="A780" t="s">
        <v>1095</v>
      </c>
      <c r="B780" t="s">
        <v>122</v>
      </c>
      <c r="C780">
        <v>8</v>
      </c>
      <c r="D780" t="s">
        <v>3300</v>
      </c>
      <c r="E780">
        <v>88</v>
      </c>
      <c r="F780">
        <v>19</v>
      </c>
      <c r="G780">
        <v>69</v>
      </c>
      <c r="H780" t="s">
        <v>196</v>
      </c>
      <c r="I780" t="s">
        <v>3490</v>
      </c>
      <c r="J780" t="s">
        <v>2919</v>
      </c>
    </row>
    <row r="781" spans="1:10" x14ac:dyDescent="0.25">
      <c r="A781" t="s">
        <v>1095</v>
      </c>
      <c r="B781" t="s">
        <v>122</v>
      </c>
      <c r="C781">
        <v>8</v>
      </c>
      <c r="D781" t="s">
        <v>3302</v>
      </c>
      <c r="E781">
        <v>34</v>
      </c>
      <c r="F781">
        <v>12</v>
      </c>
      <c r="G781">
        <v>22</v>
      </c>
      <c r="H781" t="s">
        <v>3491</v>
      </c>
      <c r="I781" t="s">
        <v>3492</v>
      </c>
      <c r="J781" t="s">
        <v>2919</v>
      </c>
    </row>
    <row r="782" spans="1:10" x14ac:dyDescent="0.25">
      <c r="A782" t="s">
        <v>1100</v>
      </c>
      <c r="B782" t="s">
        <v>63</v>
      </c>
      <c r="C782">
        <v>8</v>
      </c>
      <c r="D782" t="s">
        <v>3414</v>
      </c>
      <c r="E782">
        <v>52</v>
      </c>
      <c r="F782">
        <v>21</v>
      </c>
      <c r="G782">
        <v>31</v>
      </c>
      <c r="H782" t="s">
        <v>3493</v>
      </c>
      <c r="I782" t="s">
        <v>3490</v>
      </c>
      <c r="J782" t="s">
        <v>2932</v>
      </c>
    </row>
    <row r="783" spans="1:10" x14ac:dyDescent="0.25">
      <c r="A783" t="s">
        <v>1100</v>
      </c>
      <c r="B783" t="s">
        <v>63</v>
      </c>
      <c r="C783">
        <v>8</v>
      </c>
      <c r="D783" t="s">
        <v>3416</v>
      </c>
      <c r="E783">
        <v>68</v>
      </c>
      <c r="F783">
        <v>24</v>
      </c>
      <c r="G783">
        <v>44</v>
      </c>
      <c r="H783" t="s">
        <v>3489</v>
      </c>
      <c r="I783" t="s">
        <v>3490</v>
      </c>
      <c r="J783" t="s">
        <v>2932</v>
      </c>
    </row>
    <row r="784" spans="1:10" x14ac:dyDescent="0.25">
      <c r="A784" t="s">
        <v>1100</v>
      </c>
      <c r="B784" t="s">
        <v>63</v>
      </c>
      <c r="C784">
        <v>8</v>
      </c>
      <c r="D784" t="s">
        <v>3418</v>
      </c>
      <c r="E784">
        <v>82</v>
      </c>
      <c r="F784">
        <v>29</v>
      </c>
      <c r="G784">
        <v>53</v>
      </c>
      <c r="H784" t="s">
        <v>196</v>
      </c>
      <c r="I784" t="s">
        <v>3490</v>
      </c>
      <c r="J784" t="s">
        <v>2932</v>
      </c>
    </row>
    <row r="785" spans="1:10" x14ac:dyDescent="0.25">
      <c r="A785" t="s">
        <v>1100</v>
      </c>
      <c r="B785" t="s">
        <v>63</v>
      </c>
      <c r="C785">
        <v>8</v>
      </c>
      <c r="D785" t="s">
        <v>3420</v>
      </c>
      <c r="E785">
        <v>77</v>
      </c>
      <c r="F785">
        <v>13</v>
      </c>
      <c r="G785">
        <v>64</v>
      </c>
      <c r="H785" t="s">
        <v>3494</v>
      </c>
      <c r="I785" t="s">
        <v>3490</v>
      </c>
      <c r="J785" t="s">
        <v>2932</v>
      </c>
    </row>
    <row r="786" spans="1:10" x14ac:dyDescent="0.25">
      <c r="A786" t="s">
        <v>1100</v>
      </c>
      <c r="B786" t="s">
        <v>63</v>
      </c>
      <c r="C786">
        <v>8</v>
      </c>
      <c r="D786" t="s">
        <v>3422</v>
      </c>
      <c r="E786">
        <v>81</v>
      </c>
      <c r="F786">
        <v>28</v>
      </c>
      <c r="G786">
        <v>53</v>
      </c>
      <c r="H786" t="s">
        <v>196</v>
      </c>
      <c r="I786" t="s">
        <v>3490</v>
      </c>
      <c r="J786" t="s">
        <v>2932</v>
      </c>
    </row>
    <row r="787" spans="1:10" x14ac:dyDescent="0.25">
      <c r="A787" t="s">
        <v>1105</v>
      </c>
      <c r="B787" t="s">
        <v>95</v>
      </c>
      <c r="C787">
        <v>8</v>
      </c>
      <c r="D787" t="s">
        <v>3234</v>
      </c>
      <c r="E787">
        <v>80</v>
      </c>
      <c r="F787">
        <v>25</v>
      </c>
      <c r="G787">
        <v>55</v>
      </c>
      <c r="H787" t="s">
        <v>196</v>
      </c>
      <c r="I787" t="s">
        <v>3490</v>
      </c>
      <c r="J787" t="s">
        <v>2889</v>
      </c>
    </row>
    <row r="788" spans="1:10" x14ac:dyDescent="0.25">
      <c r="A788" t="s">
        <v>1105</v>
      </c>
      <c r="B788" t="s">
        <v>95</v>
      </c>
      <c r="C788">
        <v>8</v>
      </c>
      <c r="D788" t="s">
        <v>3236</v>
      </c>
      <c r="E788">
        <v>69</v>
      </c>
      <c r="F788">
        <v>11</v>
      </c>
      <c r="G788">
        <v>58</v>
      </c>
      <c r="H788" t="s">
        <v>3489</v>
      </c>
      <c r="I788" t="s">
        <v>3490</v>
      </c>
      <c r="J788" t="s">
        <v>2889</v>
      </c>
    </row>
    <row r="789" spans="1:10" x14ac:dyDescent="0.25">
      <c r="A789" t="s">
        <v>1105</v>
      </c>
      <c r="B789" t="s">
        <v>95</v>
      </c>
      <c r="C789">
        <v>8</v>
      </c>
      <c r="D789" t="s">
        <v>3238</v>
      </c>
      <c r="E789">
        <v>82</v>
      </c>
      <c r="F789">
        <v>14</v>
      </c>
      <c r="G789">
        <v>68</v>
      </c>
      <c r="H789" t="s">
        <v>196</v>
      </c>
      <c r="I789" t="s">
        <v>3490</v>
      </c>
      <c r="J789" t="s">
        <v>2889</v>
      </c>
    </row>
    <row r="790" spans="1:10" x14ac:dyDescent="0.25">
      <c r="A790" t="s">
        <v>1105</v>
      </c>
      <c r="B790" t="s">
        <v>95</v>
      </c>
      <c r="C790">
        <v>8</v>
      </c>
      <c r="D790" t="s">
        <v>3240</v>
      </c>
      <c r="E790">
        <v>45</v>
      </c>
      <c r="F790">
        <v>25</v>
      </c>
      <c r="G790">
        <v>20</v>
      </c>
      <c r="H790" t="s">
        <v>3491</v>
      </c>
      <c r="I790" t="s">
        <v>3492</v>
      </c>
      <c r="J790" t="s">
        <v>2889</v>
      </c>
    </row>
    <row r="791" spans="1:10" x14ac:dyDescent="0.25">
      <c r="A791" t="s">
        <v>1105</v>
      </c>
      <c r="B791" t="s">
        <v>95</v>
      </c>
      <c r="C791">
        <v>8</v>
      </c>
      <c r="D791" t="s">
        <v>3242</v>
      </c>
      <c r="E791">
        <v>61</v>
      </c>
      <c r="F791">
        <v>18</v>
      </c>
      <c r="G791">
        <v>43</v>
      </c>
      <c r="H791" t="s">
        <v>3489</v>
      </c>
      <c r="I791" t="s">
        <v>3490</v>
      </c>
      <c r="J791" t="s">
        <v>2889</v>
      </c>
    </row>
    <row r="792" spans="1:10" x14ac:dyDescent="0.25">
      <c r="A792" t="s">
        <v>1110</v>
      </c>
      <c r="B792" t="s">
        <v>212</v>
      </c>
      <c r="C792">
        <v>6</v>
      </c>
      <c r="D792" t="s">
        <v>3474</v>
      </c>
      <c r="E792">
        <v>49</v>
      </c>
      <c r="F792">
        <v>14</v>
      </c>
      <c r="G792">
        <v>35</v>
      </c>
      <c r="H792" t="s">
        <v>3491</v>
      </c>
      <c r="I792" t="s">
        <v>3492</v>
      </c>
      <c r="J792" t="s">
        <v>3001</v>
      </c>
    </row>
    <row r="793" spans="1:10" x14ac:dyDescent="0.25">
      <c r="A793" t="s">
        <v>1110</v>
      </c>
      <c r="B793" t="s">
        <v>212</v>
      </c>
      <c r="C793">
        <v>6</v>
      </c>
      <c r="D793" t="s">
        <v>3476</v>
      </c>
      <c r="E793">
        <v>79</v>
      </c>
      <c r="F793">
        <v>26</v>
      </c>
      <c r="G793">
        <v>53</v>
      </c>
      <c r="H793" t="s">
        <v>3494</v>
      </c>
      <c r="I793" t="s">
        <v>3490</v>
      </c>
      <c r="J793" t="s">
        <v>3001</v>
      </c>
    </row>
    <row r="794" spans="1:10" x14ac:dyDescent="0.25">
      <c r="A794" t="s">
        <v>1110</v>
      </c>
      <c r="B794" t="s">
        <v>212</v>
      </c>
      <c r="C794">
        <v>6</v>
      </c>
      <c r="D794" t="s">
        <v>3478</v>
      </c>
      <c r="E794">
        <v>96</v>
      </c>
      <c r="F794">
        <v>27</v>
      </c>
      <c r="G794">
        <v>69</v>
      </c>
      <c r="H794" t="s">
        <v>3495</v>
      </c>
      <c r="I794" t="s">
        <v>3490</v>
      </c>
      <c r="J794" t="s">
        <v>3001</v>
      </c>
    </row>
    <row r="795" spans="1:10" x14ac:dyDescent="0.25">
      <c r="A795" t="s">
        <v>1110</v>
      </c>
      <c r="B795" t="s">
        <v>212</v>
      </c>
      <c r="C795">
        <v>6</v>
      </c>
      <c r="D795" t="s">
        <v>3480</v>
      </c>
      <c r="E795">
        <v>66</v>
      </c>
      <c r="F795">
        <v>21</v>
      </c>
      <c r="G795">
        <v>45</v>
      </c>
      <c r="H795" t="s">
        <v>3489</v>
      </c>
      <c r="I795" t="s">
        <v>3490</v>
      </c>
      <c r="J795" t="s">
        <v>3001</v>
      </c>
    </row>
    <row r="796" spans="1:10" x14ac:dyDescent="0.25">
      <c r="A796" t="s">
        <v>1110</v>
      </c>
      <c r="B796" t="s">
        <v>212</v>
      </c>
      <c r="C796">
        <v>6</v>
      </c>
      <c r="D796" t="s">
        <v>3482</v>
      </c>
      <c r="E796">
        <v>43</v>
      </c>
      <c r="F796">
        <v>15</v>
      </c>
      <c r="G796">
        <v>28</v>
      </c>
      <c r="H796" t="s">
        <v>3491</v>
      </c>
      <c r="I796" t="s">
        <v>3492</v>
      </c>
      <c r="J796" t="s">
        <v>3001</v>
      </c>
    </row>
    <row r="797" spans="1:10" x14ac:dyDescent="0.25">
      <c r="A797" t="s">
        <v>1116</v>
      </c>
      <c r="B797" t="s">
        <v>212</v>
      </c>
      <c r="C797">
        <v>6</v>
      </c>
      <c r="D797" t="s">
        <v>3474</v>
      </c>
      <c r="E797">
        <v>75</v>
      </c>
      <c r="F797">
        <v>20</v>
      </c>
      <c r="G797">
        <v>55</v>
      </c>
      <c r="H797" t="s">
        <v>3494</v>
      </c>
      <c r="I797" t="s">
        <v>3490</v>
      </c>
      <c r="J797" t="s">
        <v>3001</v>
      </c>
    </row>
    <row r="798" spans="1:10" x14ac:dyDescent="0.25">
      <c r="A798" t="s">
        <v>1116</v>
      </c>
      <c r="B798" t="s">
        <v>212</v>
      </c>
      <c r="C798">
        <v>6</v>
      </c>
      <c r="D798" t="s">
        <v>3476</v>
      </c>
      <c r="E798">
        <v>69</v>
      </c>
      <c r="F798">
        <v>23</v>
      </c>
      <c r="G798">
        <v>46</v>
      </c>
      <c r="H798" t="s">
        <v>3489</v>
      </c>
      <c r="I798" t="s">
        <v>3490</v>
      </c>
      <c r="J798" t="s">
        <v>3001</v>
      </c>
    </row>
    <row r="799" spans="1:10" x14ac:dyDescent="0.25">
      <c r="A799" t="s">
        <v>1116</v>
      </c>
      <c r="B799" t="s">
        <v>212</v>
      </c>
      <c r="C799">
        <v>6</v>
      </c>
      <c r="D799" t="s">
        <v>3478</v>
      </c>
      <c r="E799">
        <v>51</v>
      </c>
      <c r="F799">
        <v>11</v>
      </c>
      <c r="G799">
        <v>40</v>
      </c>
      <c r="H799" t="s">
        <v>3493</v>
      </c>
      <c r="I799" t="s">
        <v>3490</v>
      </c>
      <c r="J799" t="s">
        <v>3001</v>
      </c>
    </row>
    <row r="800" spans="1:10" x14ac:dyDescent="0.25">
      <c r="A800" t="s">
        <v>1116</v>
      </c>
      <c r="B800" t="s">
        <v>212</v>
      </c>
      <c r="C800">
        <v>6</v>
      </c>
      <c r="D800" t="s">
        <v>3480</v>
      </c>
      <c r="E800">
        <v>80</v>
      </c>
      <c r="F800">
        <v>28</v>
      </c>
      <c r="G800">
        <v>52</v>
      </c>
      <c r="H800" t="s">
        <v>196</v>
      </c>
      <c r="I800" t="s">
        <v>3490</v>
      </c>
      <c r="J800" t="s">
        <v>3001</v>
      </c>
    </row>
    <row r="801" spans="1:10" x14ac:dyDescent="0.25">
      <c r="A801" t="s">
        <v>1116</v>
      </c>
      <c r="B801" t="s">
        <v>212</v>
      </c>
      <c r="C801">
        <v>6</v>
      </c>
      <c r="D801" t="s">
        <v>3482</v>
      </c>
      <c r="E801">
        <v>93</v>
      </c>
      <c r="F801">
        <v>23</v>
      </c>
      <c r="G801">
        <v>70</v>
      </c>
      <c r="H801" t="s">
        <v>3495</v>
      </c>
      <c r="I801" t="s">
        <v>3490</v>
      </c>
      <c r="J801" t="s">
        <v>3001</v>
      </c>
    </row>
    <row r="802" spans="1:10" x14ac:dyDescent="0.25">
      <c r="A802" t="s">
        <v>1121</v>
      </c>
      <c r="B802" t="s">
        <v>159</v>
      </c>
      <c r="C802">
        <v>8</v>
      </c>
      <c r="D802" t="s">
        <v>3114</v>
      </c>
      <c r="E802">
        <v>78</v>
      </c>
      <c r="F802">
        <v>24</v>
      </c>
      <c r="G802">
        <v>54</v>
      </c>
      <c r="H802" t="s">
        <v>3494</v>
      </c>
      <c r="I802" t="s">
        <v>3490</v>
      </c>
      <c r="J802" t="s">
        <v>2902</v>
      </c>
    </row>
    <row r="803" spans="1:10" x14ac:dyDescent="0.25">
      <c r="A803" t="s">
        <v>1121</v>
      </c>
      <c r="B803" t="s">
        <v>159</v>
      </c>
      <c r="C803">
        <v>8</v>
      </c>
      <c r="D803" t="s">
        <v>3116</v>
      </c>
      <c r="E803">
        <v>61</v>
      </c>
      <c r="F803">
        <v>24</v>
      </c>
      <c r="G803">
        <v>37</v>
      </c>
      <c r="H803" t="s">
        <v>3489</v>
      </c>
      <c r="I803" t="s">
        <v>3490</v>
      </c>
      <c r="J803" t="s">
        <v>2902</v>
      </c>
    </row>
    <row r="804" spans="1:10" x14ac:dyDescent="0.25">
      <c r="A804" t="s">
        <v>1121</v>
      </c>
      <c r="B804" t="s">
        <v>159</v>
      </c>
      <c r="C804">
        <v>8</v>
      </c>
      <c r="D804" t="s">
        <v>3118</v>
      </c>
      <c r="E804">
        <v>49</v>
      </c>
      <c r="F804">
        <v>19</v>
      </c>
      <c r="G804">
        <v>30</v>
      </c>
      <c r="H804" t="s">
        <v>3491</v>
      </c>
      <c r="I804" t="s">
        <v>3492</v>
      </c>
      <c r="J804" t="s">
        <v>2902</v>
      </c>
    </row>
    <row r="805" spans="1:10" x14ac:dyDescent="0.25">
      <c r="A805" t="s">
        <v>1121</v>
      </c>
      <c r="B805" t="s">
        <v>159</v>
      </c>
      <c r="C805">
        <v>8</v>
      </c>
      <c r="D805" t="s">
        <v>3120</v>
      </c>
      <c r="E805">
        <v>65</v>
      </c>
      <c r="F805">
        <v>14</v>
      </c>
      <c r="G805">
        <v>51</v>
      </c>
      <c r="H805" t="s">
        <v>3489</v>
      </c>
      <c r="I805" t="s">
        <v>3490</v>
      </c>
      <c r="J805" t="s">
        <v>2902</v>
      </c>
    </row>
    <row r="806" spans="1:10" x14ac:dyDescent="0.25">
      <c r="A806" t="s">
        <v>1121</v>
      </c>
      <c r="B806" t="s">
        <v>159</v>
      </c>
      <c r="C806">
        <v>8</v>
      </c>
      <c r="D806" t="s">
        <v>3122</v>
      </c>
      <c r="E806">
        <v>72</v>
      </c>
      <c r="F806">
        <v>20</v>
      </c>
      <c r="G806">
        <v>52</v>
      </c>
      <c r="H806" t="s">
        <v>3494</v>
      </c>
      <c r="I806" t="s">
        <v>3490</v>
      </c>
      <c r="J806" t="s">
        <v>2902</v>
      </c>
    </row>
    <row r="807" spans="1:10" x14ac:dyDescent="0.25">
      <c r="A807" t="s">
        <v>1128</v>
      </c>
      <c r="B807" t="s">
        <v>122</v>
      </c>
      <c r="C807">
        <v>8</v>
      </c>
      <c r="D807" t="s">
        <v>3294</v>
      </c>
      <c r="E807">
        <v>87</v>
      </c>
      <c r="F807">
        <v>20</v>
      </c>
      <c r="G807">
        <v>67</v>
      </c>
      <c r="H807" t="s">
        <v>196</v>
      </c>
      <c r="I807" t="s">
        <v>3490</v>
      </c>
      <c r="J807" t="s">
        <v>2919</v>
      </c>
    </row>
    <row r="808" spans="1:10" x14ac:dyDescent="0.25">
      <c r="A808" t="s">
        <v>1128</v>
      </c>
      <c r="B808" t="s">
        <v>122</v>
      </c>
      <c r="C808">
        <v>8</v>
      </c>
      <c r="D808" t="s">
        <v>3296</v>
      </c>
      <c r="E808">
        <v>72</v>
      </c>
      <c r="F808">
        <v>18</v>
      </c>
      <c r="G808">
        <v>54</v>
      </c>
      <c r="H808" t="s">
        <v>3494</v>
      </c>
      <c r="I808" t="s">
        <v>3490</v>
      </c>
      <c r="J808" t="s">
        <v>2919</v>
      </c>
    </row>
    <row r="809" spans="1:10" x14ac:dyDescent="0.25">
      <c r="A809" t="s">
        <v>1128</v>
      </c>
      <c r="B809" t="s">
        <v>122</v>
      </c>
      <c r="C809">
        <v>8</v>
      </c>
      <c r="D809" t="s">
        <v>3298</v>
      </c>
      <c r="E809">
        <v>71</v>
      </c>
      <c r="F809">
        <v>30</v>
      </c>
      <c r="G809">
        <v>41</v>
      </c>
      <c r="H809" t="s">
        <v>3494</v>
      </c>
      <c r="I809" t="s">
        <v>3490</v>
      </c>
      <c r="J809" t="s">
        <v>2919</v>
      </c>
    </row>
    <row r="810" spans="1:10" x14ac:dyDescent="0.25">
      <c r="A810" t="s">
        <v>1128</v>
      </c>
      <c r="B810" t="s">
        <v>122</v>
      </c>
      <c r="C810">
        <v>8</v>
      </c>
      <c r="D810" t="s">
        <v>3300</v>
      </c>
      <c r="E810">
        <v>75</v>
      </c>
      <c r="F810">
        <v>28</v>
      </c>
      <c r="G810">
        <v>47</v>
      </c>
      <c r="H810" t="s">
        <v>3494</v>
      </c>
      <c r="I810" t="s">
        <v>3490</v>
      </c>
      <c r="J810" t="s">
        <v>2919</v>
      </c>
    </row>
    <row r="811" spans="1:10" x14ac:dyDescent="0.25">
      <c r="A811" t="s">
        <v>1128</v>
      </c>
      <c r="B811" t="s">
        <v>122</v>
      </c>
      <c r="C811">
        <v>8</v>
      </c>
      <c r="D811" t="s">
        <v>3302</v>
      </c>
      <c r="E811">
        <v>91</v>
      </c>
      <c r="F811">
        <v>21</v>
      </c>
      <c r="G811">
        <v>70</v>
      </c>
      <c r="H811" t="s">
        <v>3495</v>
      </c>
      <c r="I811" t="s">
        <v>3490</v>
      </c>
      <c r="J811" t="s">
        <v>2919</v>
      </c>
    </row>
    <row r="812" spans="1:10" x14ac:dyDescent="0.25">
      <c r="A812" t="s">
        <v>1135</v>
      </c>
      <c r="B812" t="s">
        <v>75</v>
      </c>
      <c r="C812">
        <v>8</v>
      </c>
      <c r="D812" t="s">
        <v>3054</v>
      </c>
      <c r="E812">
        <v>90</v>
      </c>
      <c r="F812">
        <v>20</v>
      </c>
      <c r="G812">
        <v>70</v>
      </c>
      <c r="H812" t="s">
        <v>3495</v>
      </c>
      <c r="I812" t="s">
        <v>3490</v>
      </c>
      <c r="J812" t="s">
        <v>2961</v>
      </c>
    </row>
    <row r="813" spans="1:10" x14ac:dyDescent="0.25">
      <c r="A813" t="s">
        <v>1135</v>
      </c>
      <c r="B813" t="s">
        <v>75</v>
      </c>
      <c r="C813">
        <v>8</v>
      </c>
      <c r="D813" t="s">
        <v>3056</v>
      </c>
      <c r="E813">
        <v>67</v>
      </c>
      <c r="F813">
        <v>29</v>
      </c>
      <c r="G813">
        <v>38</v>
      </c>
      <c r="H813" t="s">
        <v>3489</v>
      </c>
      <c r="I813" t="s">
        <v>3490</v>
      </c>
      <c r="J813" t="s">
        <v>2961</v>
      </c>
    </row>
    <row r="814" spans="1:10" x14ac:dyDescent="0.25">
      <c r="A814" t="s">
        <v>1135</v>
      </c>
      <c r="B814" t="s">
        <v>75</v>
      </c>
      <c r="C814">
        <v>8</v>
      </c>
      <c r="D814" t="s">
        <v>3058</v>
      </c>
      <c r="E814">
        <v>67</v>
      </c>
      <c r="F814">
        <v>15</v>
      </c>
      <c r="G814">
        <v>52</v>
      </c>
      <c r="H814" t="s">
        <v>3489</v>
      </c>
      <c r="I814" t="s">
        <v>3490</v>
      </c>
      <c r="J814" t="s">
        <v>2961</v>
      </c>
    </row>
    <row r="815" spans="1:10" x14ac:dyDescent="0.25">
      <c r="A815" t="s">
        <v>1135</v>
      </c>
      <c r="B815" t="s">
        <v>75</v>
      </c>
      <c r="C815">
        <v>8</v>
      </c>
      <c r="D815" t="s">
        <v>3060</v>
      </c>
      <c r="E815">
        <v>53</v>
      </c>
      <c r="F815">
        <v>14</v>
      </c>
      <c r="G815">
        <v>39</v>
      </c>
      <c r="H815" t="s">
        <v>3493</v>
      </c>
      <c r="I815" t="s">
        <v>3490</v>
      </c>
      <c r="J815" t="s">
        <v>2961</v>
      </c>
    </row>
    <row r="816" spans="1:10" x14ac:dyDescent="0.25">
      <c r="A816" t="s">
        <v>1135</v>
      </c>
      <c r="B816" t="s">
        <v>75</v>
      </c>
      <c r="C816">
        <v>8</v>
      </c>
      <c r="D816" t="s">
        <v>3062</v>
      </c>
      <c r="E816">
        <v>56</v>
      </c>
      <c r="F816">
        <v>29</v>
      </c>
      <c r="G816">
        <v>27</v>
      </c>
      <c r="H816" t="s">
        <v>3493</v>
      </c>
      <c r="I816" t="s">
        <v>3490</v>
      </c>
      <c r="J816" t="s">
        <v>2961</v>
      </c>
    </row>
    <row r="817" spans="1:10" x14ac:dyDescent="0.25">
      <c r="A817" t="s">
        <v>1140</v>
      </c>
      <c r="B817" t="s">
        <v>212</v>
      </c>
      <c r="C817">
        <v>8</v>
      </c>
      <c r="D817" t="s">
        <v>3474</v>
      </c>
      <c r="E817">
        <v>76</v>
      </c>
      <c r="F817">
        <v>12</v>
      </c>
      <c r="G817">
        <v>64</v>
      </c>
      <c r="H817" t="s">
        <v>3494</v>
      </c>
      <c r="I817" t="s">
        <v>3490</v>
      </c>
      <c r="J817" t="s">
        <v>3001</v>
      </c>
    </row>
    <row r="818" spans="1:10" x14ac:dyDescent="0.25">
      <c r="A818" t="s">
        <v>1140</v>
      </c>
      <c r="B818" t="s">
        <v>212</v>
      </c>
      <c r="C818">
        <v>8</v>
      </c>
      <c r="D818" t="s">
        <v>3476</v>
      </c>
      <c r="E818">
        <v>64</v>
      </c>
      <c r="F818">
        <v>23</v>
      </c>
      <c r="G818">
        <v>41</v>
      </c>
      <c r="H818" t="s">
        <v>3489</v>
      </c>
      <c r="I818" t="s">
        <v>3490</v>
      </c>
      <c r="J818" t="s">
        <v>3001</v>
      </c>
    </row>
    <row r="819" spans="1:10" x14ac:dyDescent="0.25">
      <c r="A819" t="s">
        <v>1140</v>
      </c>
      <c r="B819" t="s">
        <v>212</v>
      </c>
      <c r="C819">
        <v>8</v>
      </c>
      <c r="D819" t="s">
        <v>3478</v>
      </c>
      <c r="E819">
        <v>38</v>
      </c>
      <c r="F819">
        <v>10</v>
      </c>
      <c r="G819">
        <v>28</v>
      </c>
      <c r="H819" t="s">
        <v>3491</v>
      </c>
      <c r="I819" t="s">
        <v>3492</v>
      </c>
      <c r="J819" t="s">
        <v>3001</v>
      </c>
    </row>
    <row r="820" spans="1:10" x14ac:dyDescent="0.25">
      <c r="A820" t="s">
        <v>1140</v>
      </c>
      <c r="B820" t="s">
        <v>212</v>
      </c>
      <c r="C820">
        <v>8</v>
      </c>
      <c r="D820" t="s">
        <v>3480</v>
      </c>
      <c r="E820">
        <v>32</v>
      </c>
      <c r="F820">
        <v>10</v>
      </c>
      <c r="G820">
        <v>22</v>
      </c>
      <c r="H820" t="s">
        <v>3491</v>
      </c>
      <c r="I820" t="s">
        <v>3492</v>
      </c>
      <c r="J820" t="s">
        <v>3001</v>
      </c>
    </row>
    <row r="821" spans="1:10" x14ac:dyDescent="0.25">
      <c r="A821" t="s">
        <v>1140</v>
      </c>
      <c r="B821" t="s">
        <v>212</v>
      </c>
      <c r="C821">
        <v>8</v>
      </c>
      <c r="D821" t="s">
        <v>3482</v>
      </c>
      <c r="E821">
        <v>40</v>
      </c>
      <c r="F821">
        <v>11</v>
      </c>
      <c r="G821">
        <v>29</v>
      </c>
      <c r="H821" t="s">
        <v>3491</v>
      </c>
      <c r="I821" t="s">
        <v>3492</v>
      </c>
      <c r="J821" t="s">
        <v>3001</v>
      </c>
    </row>
    <row r="822" spans="1:10" x14ac:dyDescent="0.25">
      <c r="A822" t="s">
        <v>1145</v>
      </c>
      <c r="B822" t="s">
        <v>30</v>
      </c>
      <c r="C822">
        <v>8</v>
      </c>
      <c r="D822" t="s">
        <v>3354</v>
      </c>
      <c r="E822">
        <v>62</v>
      </c>
      <c r="F822">
        <v>19</v>
      </c>
      <c r="G822">
        <v>43</v>
      </c>
      <c r="H822" t="s">
        <v>3489</v>
      </c>
      <c r="I822" t="s">
        <v>3490</v>
      </c>
      <c r="J822" t="s">
        <v>2895</v>
      </c>
    </row>
    <row r="823" spans="1:10" x14ac:dyDescent="0.25">
      <c r="A823" t="s">
        <v>1145</v>
      </c>
      <c r="B823" t="s">
        <v>30</v>
      </c>
      <c r="C823">
        <v>8</v>
      </c>
      <c r="D823" t="s">
        <v>3356</v>
      </c>
      <c r="E823">
        <v>64</v>
      </c>
      <c r="F823">
        <v>30</v>
      </c>
      <c r="G823">
        <v>34</v>
      </c>
      <c r="H823" t="s">
        <v>3489</v>
      </c>
      <c r="I823" t="s">
        <v>3490</v>
      </c>
      <c r="J823" t="s">
        <v>2895</v>
      </c>
    </row>
    <row r="824" spans="1:10" x14ac:dyDescent="0.25">
      <c r="A824" t="s">
        <v>1145</v>
      </c>
      <c r="B824" t="s">
        <v>30</v>
      </c>
      <c r="C824">
        <v>8</v>
      </c>
      <c r="D824" t="s">
        <v>3358</v>
      </c>
      <c r="E824">
        <v>89</v>
      </c>
      <c r="F824">
        <v>28</v>
      </c>
      <c r="G824">
        <v>61</v>
      </c>
      <c r="H824" t="s">
        <v>196</v>
      </c>
      <c r="I824" t="s">
        <v>3490</v>
      </c>
      <c r="J824" t="s">
        <v>2895</v>
      </c>
    </row>
    <row r="825" spans="1:10" x14ac:dyDescent="0.25">
      <c r="A825" t="s">
        <v>1145</v>
      </c>
      <c r="B825" t="s">
        <v>30</v>
      </c>
      <c r="C825">
        <v>8</v>
      </c>
      <c r="D825" t="s">
        <v>3360</v>
      </c>
      <c r="E825">
        <v>41</v>
      </c>
      <c r="F825">
        <v>17</v>
      </c>
      <c r="G825">
        <v>24</v>
      </c>
      <c r="H825" t="s">
        <v>3491</v>
      </c>
      <c r="I825" t="s">
        <v>3492</v>
      </c>
      <c r="J825" t="s">
        <v>2895</v>
      </c>
    </row>
    <row r="826" spans="1:10" x14ac:dyDescent="0.25">
      <c r="A826" t="s">
        <v>1145</v>
      </c>
      <c r="B826" t="s">
        <v>30</v>
      </c>
      <c r="C826">
        <v>8</v>
      </c>
      <c r="D826" t="s">
        <v>3362</v>
      </c>
      <c r="E826">
        <v>45</v>
      </c>
      <c r="F826">
        <v>17</v>
      </c>
      <c r="G826">
        <v>28</v>
      </c>
      <c r="H826" t="s">
        <v>3491</v>
      </c>
      <c r="I826" t="s">
        <v>3492</v>
      </c>
      <c r="J826" t="s">
        <v>2895</v>
      </c>
    </row>
    <row r="827" spans="1:10" x14ac:dyDescent="0.25">
      <c r="A827" t="s">
        <v>1150</v>
      </c>
      <c r="B827" t="s">
        <v>30</v>
      </c>
      <c r="C827">
        <v>4</v>
      </c>
      <c r="D827" t="s">
        <v>3334</v>
      </c>
      <c r="E827">
        <v>57</v>
      </c>
      <c r="F827">
        <v>30</v>
      </c>
      <c r="G827">
        <v>27</v>
      </c>
      <c r="H827" t="s">
        <v>3493</v>
      </c>
      <c r="I827" t="s">
        <v>3490</v>
      </c>
      <c r="J827" t="s">
        <v>2895</v>
      </c>
    </row>
    <row r="828" spans="1:10" x14ac:dyDescent="0.25">
      <c r="A828" t="s">
        <v>1150</v>
      </c>
      <c r="B828" t="s">
        <v>30</v>
      </c>
      <c r="C828">
        <v>4</v>
      </c>
      <c r="D828" t="s">
        <v>3336</v>
      </c>
      <c r="E828">
        <v>60</v>
      </c>
      <c r="F828">
        <v>20</v>
      </c>
      <c r="G828">
        <v>40</v>
      </c>
      <c r="H828" t="s">
        <v>3489</v>
      </c>
      <c r="I828" t="s">
        <v>3490</v>
      </c>
      <c r="J828" t="s">
        <v>2895</v>
      </c>
    </row>
    <row r="829" spans="1:10" x14ac:dyDescent="0.25">
      <c r="A829" t="s">
        <v>1150</v>
      </c>
      <c r="B829" t="s">
        <v>30</v>
      </c>
      <c r="C829">
        <v>4</v>
      </c>
      <c r="D829" t="s">
        <v>3338</v>
      </c>
      <c r="E829">
        <v>45</v>
      </c>
      <c r="F829">
        <v>12</v>
      </c>
      <c r="G829">
        <v>33</v>
      </c>
      <c r="H829" t="s">
        <v>3491</v>
      </c>
      <c r="I829" t="s">
        <v>3492</v>
      </c>
      <c r="J829" t="s">
        <v>2895</v>
      </c>
    </row>
    <row r="830" spans="1:10" x14ac:dyDescent="0.25">
      <c r="A830" t="s">
        <v>1150</v>
      </c>
      <c r="B830" t="s">
        <v>30</v>
      </c>
      <c r="C830">
        <v>4</v>
      </c>
      <c r="D830" t="s">
        <v>3340</v>
      </c>
      <c r="E830">
        <v>50</v>
      </c>
      <c r="F830">
        <v>10</v>
      </c>
      <c r="G830">
        <v>40</v>
      </c>
      <c r="H830" t="s">
        <v>3493</v>
      </c>
      <c r="I830" t="s">
        <v>3490</v>
      </c>
      <c r="J830" t="s">
        <v>2895</v>
      </c>
    </row>
    <row r="831" spans="1:10" x14ac:dyDescent="0.25">
      <c r="A831" t="s">
        <v>1150</v>
      </c>
      <c r="B831" t="s">
        <v>30</v>
      </c>
      <c r="C831">
        <v>4</v>
      </c>
      <c r="D831" t="s">
        <v>3342</v>
      </c>
      <c r="E831">
        <v>70</v>
      </c>
      <c r="F831">
        <v>20</v>
      </c>
      <c r="G831">
        <v>50</v>
      </c>
      <c r="H831" t="s">
        <v>3494</v>
      </c>
      <c r="I831" t="s">
        <v>3490</v>
      </c>
      <c r="J831" t="s">
        <v>2895</v>
      </c>
    </row>
    <row r="832" spans="1:10" x14ac:dyDescent="0.25">
      <c r="A832" t="s">
        <v>1156</v>
      </c>
      <c r="B832" t="s">
        <v>75</v>
      </c>
      <c r="C832">
        <v>6</v>
      </c>
      <c r="D832" t="s">
        <v>3054</v>
      </c>
      <c r="E832">
        <v>64</v>
      </c>
      <c r="F832">
        <v>11</v>
      </c>
      <c r="G832">
        <v>53</v>
      </c>
      <c r="H832" t="s">
        <v>3489</v>
      </c>
      <c r="I832" t="s">
        <v>3490</v>
      </c>
      <c r="J832" t="s">
        <v>2961</v>
      </c>
    </row>
    <row r="833" spans="1:10" x14ac:dyDescent="0.25">
      <c r="A833" t="s">
        <v>1156</v>
      </c>
      <c r="B833" t="s">
        <v>75</v>
      </c>
      <c r="C833">
        <v>6</v>
      </c>
      <c r="D833" t="s">
        <v>3056</v>
      </c>
      <c r="E833">
        <v>76</v>
      </c>
      <c r="F833">
        <v>16</v>
      </c>
      <c r="G833">
        <v>60</v>
      </c>
      <c r="H833" t="s">
        <v>3494</v>
      </c>
      <c r="I833" t="s">
        <v>3490</v>
      </c>
      <c r="J833" t="s">
        <v>2961</v>
      </c>
    </row>
    <row r="834" spans="1:10" x14ac:dyDescent="0.25">
      <c r="A834" t="s">
        <v>1156</v>
      </c>
      <c r="B834" t="s">
        <v>75</v>
      </c>
      <c r="C834">
        <v>6</v>
      </c>
      <c r="D834" t="s">
        <v>3058</v>
      </c>
      <c r="E834">
        <v>77</v>
      </c>
      <c r="F834">
        <v>30</v>
      </c>
      <c r="G834">
        <v>47</v>
      </c>
      <c r="H834" t="s">
        <v>3494</v>
      </c>
      <c r="I834" t="s">
        <v>3490</v>
      </c>
      <c r="J834" t="s">
        <v>2961</v>
      </c>
    </row>
    <row r="835" spans="1:10" x14ac:dyDescent="0.25">
      <c r="A835" t="s">
        <v>1156</v>
      </c>
      <c r="B835" t="s">
        <v>75</v>
      </c>
      <c r="C835">
        <v>6</v>
      </c>
      <c r="D835" t="s">
        <v>3060</v>
      </c>
      <c r="E835">
        <v>94</v>
      </c>
      <c r="F835">
        <v>27</v>
      </c>
      <c r="G835">
        <v>67</v>
      </c>
      <c r="H835" t="s">
        <v>3495</v>
      </c>
      <c r="I835" t="s">
        <v>3490</v>
      </c>
      <c r="J835" t="s">
        <v>2961</v>
      </c>
    </row>
    <row r="836" spans="1:10" x14ac:dyDescent="0.25">
      <c r="A836" t="s">
        <v>1156</v>
      </c>
      <c r="B836" t="s">
        <v>75</v>
      </c>
      <c r="C836">
        <v>6</v>
      </c>
      <c r="D836" t="s">
        <v>3062</v>
      </c>
      <c r="E836">
        <v>78</v>
      </c>
      <c r="F836">
        <v>15</v>
      </c>
      <c r="G836">
        <v>63</v>
      </c>
      <c r="H836" t="s">
        <v>3494</v>
      </c>
      <c r="I836" t="s">
        <v>3490</v>
      </c>
      <c r="J836" t="s">
        <v>2961</v>
      </c>
    </row>
    <row r="837" spans="1:10" x14ac:dyDescent="0.25">
      <c r="A837" t="s">
        <v>1161</v>
      </c>
      <c r="B837" t="s">
        <v>212</v>
      </c>
      <c r="C837">
        <v>8</v>
      </c>
      <c r="D837" t="s">
        <v>3474</v>
      </c>
      <c r="E837">
        <v>51</v>
      </c>
      <c r="F837">
        <v>13</v>
      </c>
      <c r="G837">
        <v>38</v>
      </c>
      <c r="H837" t="s">
        <v>3493</v>
      </c>
      <c r="I837" t="s">
        <v>3490</v>
      </c>
      <c r="J837" t="s">
        <v>3001</v>
      </c>
    </row>
    <row r="838" spans="1:10" x14ac:dyDescent="0.25">
      <c r="A838" t="s">
        <v>1161</v>
      </c>
      <c r="B838" t="s">
        <v>212</v>
      </c>
      <c r="C838">
        <v>8</v>
      </c>
      <c r="D838" t="s">
        <v>3476</v>
      </c>
      <c r="E838">
        <v>57</v>
      </c>
      <c r="F838">
        <v>19</v>
      </c>
      <c r="G838">
        <v>38</v>
      </c>
      <c r="H838" t="s">
        <v>3493</v>
      </c>
      <c r="I838" t="s">
        <v>3490</v>
      </c>
      <c r="J838" t="s">
        <v>3001</v>
      </c>
    </row>
    <row r="839" spans="1:10" x14ac:dyDescent="0.25">
      <c r="A839" t="s">
        <v>1161</v>
      </c>
      <c r="B839" t="s">
        <v>212</v>
      </c>
      <c r="C839">
        <v>8</v>
      </c>
      <c r="D839" t="s">
        <v>3478</v>
      </c>
      <c r="E839">
        <v>79</v>
      </c>
      <c r="F839">
        <v>26</v>
      </c>
      <c r="G839">
        <v>53</v>
      </c>
      <c r="H839" t="s">
        <v>3494</v>
      </c>
      <c r="I839" t="s">
        <v>3490</v>
      </c>
      <c r="J839" t="s">
        <v>3001</v>
      </c>
    </row>
    <row r="840" spans="1:10" x14ac:dyDescent="0.25">
      <c r="A840" t="s">
        <v>1161</v>
      </c>
      <c r="B840" t="s">
        <v>212</v>
      </c>
      <c r="C840">
        <v>8</v>
      </c>
      <c r="D840" t="s">
        <v>3480</v>
      </c>
      <c r="E840">
        <v>73</v>
      </c>
      <c r="F840">
        <v>29</v>
      </c>
      <c r="G840">
        <v>44</v>
      </c>
      <c r="H840" t="s">
        <v>3494</v>
      </c>
      <c r="I840" t="s">
        <v>3490</v>
      </c>
      <c r="J840" t="s">
        <v>3001</v>
      </c>
    </row>
    <row r="841" spans="1:10" x14ac:dyDescent="0.25">
      <c r="A841" t="s">
        <v>1161</v>
      </c>
      <c r="B841" t="s">
        <v>212</v>
      </c>
      <c r="C841">
        <v>8</v>
      </c>
      <c r="D841" t="s">
        <v>3482</v>
      </c>
      <c r="E841">
        <v>79</v>
      </c>
      <c r="F841">
        <v>22</v>
      </c>
      <c r="G841">
        <v>57</v>
      </c>
      <c r="H841" t="s">
        <v>3494</v>
      </c>
      <c r="I841" t="s">
        <v>3490</v>
      </c>
      <c r="J841" t="s">
        <v>3001</v>
      </c>
    </row>
    <row r="842" spans="1:10" x14ac:dyDescent="0.25">
      <c r="A842" t="s">
        <v>1167</v>
      </c>
      <c r="B842" t="s">
        <v>95</v>
      </c>
      <c r="C842">
        <v>8</v>
      </c>
      <c r="D842" t="s">
        <v>3234</v>
      </c>
      <c r="E842">
        <v>94</v>
      </c>
      <c r="F842">
        <v>29</v>
      </c>
      <c r="G842">
        <v>65</v>
      </c>
      <c r="H842" t="s">
        <v>3495</v>
      </c>
      <c r="I842" t="s">
        <v>3490</v>
      </c>
      <c r="J842" t="s">
        <v>2889</v>
      </c>
    </row>
    <row r="843" spans="1:10" x14ac:dyDescent="0.25">
      <c r="A843" t="s">
        <v>1167</v>
      </c>
      <c r="B843" t="s">
        <v>95</v>
      </c>
      <c r="C843">
        <v>8</v>
      </c>
      <c r="D843" t="s">
        <v>3236</v>
      </c>
      <c r="E843">
        <v>54</v>
      </c>
      <c r="F843">
        <v>25</v>
      </c>
      <c r="G843">
        <v>29</v>
      </c>
      <c r="H843" t="s">
        <v>3493</v>
      </c>
      <c r="I843" t="s">
        <v>3490</v>
      </c>
      <c r="J843" t="s">
        <v>2889</v>
      </c>
    </row>
    <row r="844" spans="1:10" x14ac:dyDescent="0.25">
      <c r="A844" t="s">
        <v>1167</v>
      </c>
      <c r="B844" t="s">
        <v>95</v>
      </c>
      <c r="C844">
        <v>8</v>
      </c>
      <c r="D844" t="s">
        <v>3238</v>
      </c>
      <c r="E844">
        <v>89</v>
      </c>
      <c r="F844">
        <v>25</v>
      </c>
      <c r="G844">
        <v>64</v>
      </c>
      <c r="H844" t="s">
        <v>196</v>
      </c>
      <c r="I844" t="s">
        <v>3490</v>
      </c>
      <c r="J844" t="s">
        <v>2889</v>
      </c>
    </row>
    <row r="845" spans="1:10" x14ac:dyDescent="0.25">
      <c r="A845" t="s">
        <v>1167</v>
      </c>
      <c r="B845" t="s">
        <v>95</v>
      </c>
      <c r="C845">
        <v>8</v>
      </c>
      <c r="D845" t="s">
        <v>3240</v>
      </c>
      <c r="E845">
        <v>64</v>
      </c>
      <c r="F845">
        <v>17</v>
      </c>
      <c r="G845">
        <v>47</v>
      </c>
      <c r="H845" t="s">
        <v>3489</v>
      </c>
      <c r="I845" t="s">
        <v>3490</v>
      </c>
      <c r="J845" t="s">
        <v>2889</v>
      </c>
    </row>
    <row r="846" spans="1:10" x14ac:dyDescent="0.25">
      <c r="A846" t="s">
        <v>1167</v>
      </c>
      <c r="B846" t="s">
        <v>95</v>
      </c>
      <c r="C846">
        <v>8</v>
      </c>
      <c r="D846" t="s">
        <v>3242</v>
      </c>
      <c r="E846">
        <v>84</v>
      </c>
      <c r="F846">
        <v>24</v>
      </c>
      <c r="G846">
        <v>60</v>
      </c>
      <c r="H846" t="s">
        <v>196</v>
      </c>
      <c r="I846" t="s">
        <v>3490</v>
      </c>
      <c r="J846" t="s">
        <v>2889</v>
      </c>
    </row>
    <row r="847" spans="1:10" x14ac:dyDescent="0.25">
      <c r="A847" t="s">
        <v>1173</v>
      </c>
      <c r="B847" t="s">
        <v>159</v>
      </c>
      <c r="C847">
        <v>8</v>
      </c>
      <c r="D847" t="s">
        <v>3114</v>
      </c>
      <c r="E847">
        <v>90</v>
      </c>
      <c r="F847">
        <v>24</v>
      </c>
      <c r="G847">
        <v>66</v>
      </c>
      <c r="H847" t="s">
        <v>3495</v>
      </c>
      <c r="I847" t="s">
        <v>3490</v>
      </c>
      <c r="J847" t="s">
        <v>2902</v>
      </c>
    </row>
    <row r="848" spans="1:10" x14ac:dyDescent="0.25">
      <c r="A848" t="s">
        <v>1173</v>
      </c>
      <c r="B848" t="s">
        <v>159</v>
      </c>
      <c r="C848">
        <v>8</v>
      </c>
      <c r="D848" t="s">
        <v>3116</v>
      </c>
      <c r="E848">
        <v>80</v>
      </c>
      <c r="F848">
        <v>19</v>
      </c>
      <c r="G848">
        <v>61</v>
      </c>
      <c r="H848" t="s">
        <v>196</v>
      </c>
      <c r="I848" t="s">
        <v>3490</v>
      </c>
      <c r="J848" t="s">
        <v>2902</v>
      </c>
    </row>
    <row r="849" spans="1:10" x14ac:dyDescent="0.25">
      <c r="A849" t="s">
        <v>1173</v>
      </c>
      <c r="B849" t="s">
        <v>159</v>
      </c>
      <c r="C849">
        <v>8</v>
      </c>
      <c r="D849" t="s">
        <v>3118</v>
      </c>
      <c r="E849">
        <v>52</v>
      </c>
      <c r="F849">
        <v>23</v>
      </c>
      <c r="G849">
        <v>29</v>
      </c>
      <c r="H849" t="s">
        <v>3493</v>
      </c>
      <c r="I849" t="s">
        <v>3490</v>
      </c>
      <c r="J849" t="s">
        <v>2902</v>
      </c>
    </row>
    <row r="850" spans="1:10" x14ac:dyDescent="0.25">
      <c r="A850" t="s">
        <v>1173</v>
      </c>
      <c r="B850" t="s">
        <v>159</v>
      </c>
      <c r="C850">
        <v>8</v>
      </c>
      <c r="D850" t="s">
        <v>3120</v>
      </c>
      <c r="E850">
        <v>38</v>
      </c>
      <c r="F850">
        <v>10</v>
      </c>
      <c r="G850">
        <v>28</v>
      </c>
      <c r="H850" t="s">
        <v>3491</v>
      </c>
      <c r="I850" t="s">
        <v>3492</v>
      </c>
      <c r="J850" t="s">
        <v>2902</v>
      </c>
    </row>
    <row r="851" spans="1:10" x14ac:dyDescent="0.25">
      <c r="A851" t="s">
        <v>1173</v>
      </c>
      <c r="B851" t="s">
        <v>159</v>
      </c>
      <c r="C851">
        <v>8</v>
      </c>
      <c r="D851" t="s">
        <v>3122</v>
      </c>
      <c r="E851">
        <v>73</v>
      </c>
      <c r="F851">
        <v>21</v>
      </c>
      <c r="G851">
        <v>52</v>
      </c>
      <c r="H851" t="s">
        <v>3494</v>
      </c>
      <c r="I851" t="s">
        <v>3490</v>
      </c>
      <c r="J851" t="s">
        <v>2902</v>
      </c>
    </row>
    <row r="852" spans="1:10" x14ac:dyDescent="0.25">
      <c r="A852" t="s">
        <v>1178</v>
      </c>
      <c r="B852" t="s">
        <v>105</v>
      </c>
      <c r="C852">
        <v>6</v>
      </c>
      <c r="D852" t="s">
        <v>3174</v>
      </c>
      <c r="E852">
        <v>58</v>
      </c>
      <c r="F852">
        <v>15</v>
      </c>
      <c r="G852">
        <v>43</v>
      </c>
      <c r="H852" t="s">
        <v>3493</v>
      </c>
      <c r="I852" t="s">
        <v>3490</v>
      </c>
      <c r="J852" t="s">
        <v>2908</v>
      </c>
    </row>
    <row r="853" spans="1:10" x14ac:dyDescent="0.25">
      <c r="A853" t="s">
        <v>1178</v>
      </c>
      <c r="B853" t="s">
        <v>105</v>
      </c>
      <c r="C853">
        <v>6</v>
      </c>
      <c r="D853" t="s">
        <v>3176</v>
      </c>
      <c r="E853">
        <v>52</v>
      </c>
      <c r="F853">
        <v>19</v>
      </c>
      <c r="G853">
        <v>33</v>
      </c>
      <c r="H853" t="s">
        <v>3493</v>
      </c>
      <c r="I853" t="s">
        <v>3490</v>
      </c>
      <c r="J853" t="s">
        <v>2908</v>
      </c>
    </row>
    <row r="854" spans="1:10" x14ac:dyDescent="0.25">
      <c r="A854" t="s">
        <v>1178</v>
      </c>
      <c r="B854" t="s">
        <v>105</v>
      </c>
      <c r="C854">
        <v>6</v>
      </c>
      <c r="D854" t="s">
        <v>3178</v>
      </c>
      <c r="E854">
        <v>65</v>
      </c>
      <c r="F854">
        <v>12</v>
      </c>
      <c r="G854">
        <v>53</v>
      </c>
      <c r="H854" t="s">
        <v>3489</v>
      </c>
      <c r="I854" t="s">
        <v>3490</v>
      </c>
      <c r="J854" t="s">
        <v>2908</v>
      </c>
    </row>
    <row r="855" spans="1:10" x14ac:dyDescent="0.25">
      <c r="A855" t="s">
        <v>1178</v>
      </c>
      <c r="B855" t="s">
        <v>105</v>
      </c>
      <c r="C855">
        <v>6</v>
      </c>
      <c r="D855" t="s">
        <v>3180</v>
      </c>
      <c r="E855">
        <v>47</v>
      </c>
      <c r="F855">
        <v>16</v>
      </c>
      <c r="G855">
        <v>31</v>
      </c>
      <c r="H855" t="s">
        <v>3491</v>
      </c>
      <c r="I855" t="s">
        <v>3492</v>
      </c>
      <c r="J855" t="s">
        <v>2908</v>
      </c>
    </row>
    <row r="856" spans="1:10" x14ac:dyDescent="0.25">
      <c r="A856" t="s">
        <v>1178</v>
      </c>
      <c r="B856" t="s">
        <v>105</v>
      </c>
      <c r="C856">
        <v>6</v>
      </c>
      <c r="D856" t="s">
        <v>3182</v>
      </c>
      <c r="E856">
        <v>53</v>
      </c>
      <c r="F856">
        <v>27</v>
      </c>
      <c r="G856">
        <v>26</v>
      </c>
      <c r="H856" t="s">
        <v>3493</v>
      </c>
      <c r="I856" t="s">
        <v>3490</v>
      </c>
      <c r="J856" t="s">
        <v>2908</v>
      </c>
    </row>
    <row r="857" spans="1:10" x14ac:dyDescent="0.25">
      <c r="A857" t="s">
        <v>1183</v>
      </c>
      <c r="B857" t="s">
        <v>30</v>
      </c>
      <c r="C857">
        <v>4</v>
      </c>
      <c r="D857" t="s">
        <v>3334</v>
      </c>
      <c r="E857">
        <v>46</v>
      </c>
      <c r="F857">
        <v>14</v>
      </c>
      <c r="G857">
        <v>32</v>
      </c>
      <c r="H857" t="s">
        <v>3491</v>
      </c>
      <c r="I857" t="s">
        <v>3492</v>
      </c>
      <c r="J857" t="s">
        <v>2895</v>
      </c>
    </row>
    <row r="858" spans="1:10" x14ac:dyDescent="0.25">
      <c r="A858" t="s">
        <v>1183</v>
      </c>
      <c r="B858" t="s">
        <v>30</v>
      </c>
      <c r="C858">
        <v>4</v>
      </c>
      <c r="D858" t="s">
        <v>3336</v>
      </c>
      <c r="E858">
        <v>40</v>
      </c>
      <c r="F858">
        <v>12</v>
      </c>
      <c r="G858">
        <v>28</v>
      </c>
      <c r="H858" t="s">
        <v>3491</v>
      </c>
      <c r="I858" t="s">
        <v>3492</v>
      </c>
      <c r="J858" t="s">
        <v>2895</v>
      </c>
    </row>
    <row r="859" spans="1:10" x14ac:dyDescent="0.25">
      <c r="A859" t="s">
        <v>1183</v>
      </c>
      <c r="B859" t="s">
        <v>30</v>
      </c>
      <c r="C859">
        <v>4</v>
      </c>
      <c r="D859" t="s">
        <v>3338</v>
      </c>
      <c r="E859">
        <v>74</v>
      </c>
      <c r="F859">
        <v>16</v>
      </c>
      <c r="G859">
        <v>58</v>
      </c>
      <c r="H859" t="s">
        <v>3494</v>
      </c>
      <c r="I859" t="s">
        <v>3490</v>
      </c>
      <c r="J859" t="s">
        <v>2895</v>
      </c>
    </row>
    <row r="860" spans="1:10" x14ac:dyDescent="0.25">
      <c r="A860" t="s">
        <v>1183</v>
      </c>
      <c r="B860" t="s">
        <v>30</v>
      </c>
      <c r="C860">
        <v>4</v>
      </c>
      <c r="D860" t="s">
        <v>3340</v>
      </c>
      <c r="E860">
        <v>75</v>
      </c>
      <c r="F860">
        <v>14</v>
      </c>
      <c r="G860">
        <v>61</v>
      </c>
      <c r="H860" t="s">
        <v>3494</v>
      </c>
      <c r="I860" t="s">
        <v>3490</v>
      </c>
      <c r="J860" t="s">
        <v>2895</v>
      </c>
    </row>
    <row r="861" spans="1:10" x14ac:dyDescent="0.25">
      <c r="A861" t="s">
        <v>1183</v>
      </c>
      <c r="B861" t="s">
        <v>30</v>
      </c>
      <c r="C861">
        <v>4</v>
      </c>
      <c r="D861" t="s">
        <v>3342</v>
      </c>
      <c r="E861">
        <v>70</v>
      </c>
      <c r="F861">
        <v>10</v>
      </c>
      <c r="G861">
        <v>60</v>
      </c>
      <c r="H861" t="s">
        <v>3494</v>
      </c>
      <c r="I861" t="s">
        <v>3490</v>
      </c>
      <c r="J861" t="s">
        <v>2895</v>
      </c>
    </row>
    <row r="862" spans="1:10" x14ac:dyDescent="0.25">
      <c r="A862" t="s">
        <v>1188</v>
      </c>
      <c r="B862" t="s">
        <v>159</v>
      </c>
      <c r="C862">
        <v>6</v>
      </c>
      <c r="D862" t="s">
        <v>3114</v>
      </c>
      <c r="E862">
        <v>78</v>
      </c>
      <c r="F862">
        <v>19</v>
      </c>
      <c r="G862">
        <v>59</v>
      </c>
      <c r="H862" t="s">
        <v>3494</v>
      </c>
      <c r="I862" t="s">
        <v>3490</v>
      </c>
      <c r="J862" t="s">
        <v>2902</v>
      </c>
    </row>
    <row r="863" spans="1:10" x14ac:dyDescent="0.25">
      <c r="A863" t="s">
        <v>1188</v>
      </c>
      <c r="B863" t="s">
        <v>159</v>
      </c>
      <c r="C863">
        <v>6</v>
      </c>
      <c r="D863" t="s">
        <v>3116</v>
      </c>
      <c r="E863">
        <v>35</v>
      </c>
      <c r="F863">
        <v>12</v>
      </c>
      <c r="G863">
        <v>23</v>
      </c>
      <c r="H863" t="s">
        <v>3491</v>
      </c>
      <c r="I863" t="s">
        <v>3492</v>
      </c>
      <c r="J863" t="s">
        <v>2902</v>
      </c>
    </row>
    <row r="864" spans="1:10" x14ac:dyDescent="0.25">
      <c r="A864" t="s">
        <v>1188</v>
      </c>
      <c r="B864" t="s">
        <v>159</v>
      </c>
      <c r="C864">
        <v>6</v>
      </c>
      <c r="D864" t="s">
        <v>3118</v>
      </c>
      <c r="E864">
        <v>89</v>
      </c>
      <c r="F864">
        <v>22</v>
      </c>
      <c r="G864">
        <v>67</v>
      </c>
      <c r="H864" t="s">
        <v>196</v>
      </c>
      <c r="I864" t="s">
        <v>3490</v>
      </c>
      <c r="J864" t="s">
        <v>2902</v>
      </c>
    </row>
    <row r="865" spans="1:10" x14ac:dyDescent="0.25">
      <c r="A865" t="s">
        <v>1188</v>
      </c>
      <c r="B865" t="s">
        <v>159</v>
      </c>
      <c r="C865">
        <v>6</v>
      </c>
      <c r="D865" t="s">
        <v>3120</v>
      </c>
      <c r="E865">
        <v>35</v>
      </c>
      <c r="F865">
        <v>10</v>
      </c>
      <c r="G865">
        <v>25</v>
      </c>
      <c r="H865" t="s">
        <v>3491</v>
      </c>
      <c r="I865" t="s">
        <v>3492</v>
      </c>
      <c r="J865" t="s">
        <v>2902</v>
      </c>
    </row>
    <row r="866" spans="1:10" x14ac:dyDescent="0.25">
      <c r="A866" t="s">
        <v>1188</v>
      </c>
      <c r="B866" t="s">
        <v>159</v>
      </c>
      <c r="C866">
        <v>6</v>
      </c>
      <c r="D866" t="s">
        <v>3122</v>
      </c>
      <c r="E866">
        <v>61</v>
      </c>
      <c r="F866">
        <v>26</v>
      </c>
      <c r="G866">
        <v>35</v>
      </c>
      <c r="H866" t="s">
        <v>3489</v>
      </c>
      <c r="I866" t="s">
        <v>3490</v>
      </c>
      <c r="J866" t="s">
        <v>2902</v>
      </c>
    </row>
    <row r="867" spans="1:10" x14ac:dyDescent="0.25">
      <c r="A867" t="s">
        <v>1194</v>
      </c>
      <c r="B867" t="s">
        <v>63</v>
      </c>
      <c r="C867">
        <v>6</v>
      </c>
      <c r="D867" t="s">
        <v>3414</v>
      </c>
      <c r="E867">
        <v>59</v>
      </c>
      <c r="F867">
        <v>23</v>
      </c>
      <c r="G867">
        <v>36</v>
      </c>
      <c r="H867" t="s">
        <v>3493</v>
      </c>
      <c r="I867" t="s">
        <v>3490</v>
      </c>
      <c r="J867" t="s">
        <v>2932</v>
      </c>
    </row>
    <row r="868" spans="1:10" x14ac:dyDescent="0.25">
      <c r="A868" t="s">
        <v>1194</v>
      </c>
      <c r="B868" t="s">
        <v>63</v>
      </c>
      <c r="C868">
        <v>6</v>
      </c>
      <c r="D868" t="s">
        <v>3416</v>
      </c>
      <c r="E868">
        <v>55</v>
      </c>
      <c r="F868">
        <v>25</v>
      </c>
      <c r="G868">
        <v>30</v>
      </c>
      <c r="H868" t="s">
        <v>3493</v>
      </c>
      <c r="I868" t="s">
        <v>3490</v>
      </c>
      <c r="J868" t="s">
        <v>2932</v>
      </c>
    </row>
    <row r="869" spans="1:10" x14ac:dyDescent="0.25">
      <c r="A869" t="s">
        <v>1194</v>
      </c>
      <c r="B869" t="s">
        <v>63</v>
      </c>
      <c r="C869">
        <v>6</v>
      </c>
      <c r="D869" t="s">
        <v>3418</v>
      </c>
      <c r="E869">
        <v>81</v>
      </c>
      <c r="F869">
        <v>16</v>
      </c>
      <c r="G869">
        <v>65</v>
      </c>
      <c r="H869" t="s">
        <v>196</v>
      </c>
      <c r="I869" t="s">
        <v>3490</v>
      </c>
      <c r="J869" t="s">
        <v>2932</v>
      </c>
    </row>
    <row r="870" spans="1:10" x14ac:dyDescent="0.25">
      <c r="A870" t="s">
        <v>1194</v>
      </c>
      <c r="B870" t="s">
        <v>63</v>
      </c>
      <c r="C870">
        <v>6</v>
      </c>
      <c r="D870" t="s">
        <v>3420</v>
      </c>
      <c r="E870">
        <v>76</v>
      </c>
      <c r="F870">
        <v>27</v>
      </c>
      <c r="G870">
        <v>49</v>
      </c>
      <c r="H870" t="s">
        <v>3494</v>
      </c>
      <c r="I870" t="s">
        <v>3490</v>
      </c>
      <c r="J870" t="s">
        <v>2932</v>
      </c>
    </row>
    <row r="871" spans="1:10" x14ac:dyDescent="0.25">
      <c r="A871" t="s">
        <v>1194</v>
      </c>
      <c r="B871" t="s">
        <v>63</v>
      </c>
      <c r="C871">
        <v>6</v>
      </c>
      <c r="D871" t="s">
        <v>3422</v>
      </c>
      <c r="E871">
        <v>42</v>
      </c>
      <c r="F871">
        <v>21</v>
      </c>
      <c r="G871">
        <v>21</v>
      </c>
      <c r="H871" t="s">
        <v>3491</v>
      </c>
      <c r="I871" t="s">
        <v>3492</v>
      </c>
      <c r="J871" t="s">
        <v>2932</v>
      </c>
    </row>
    <row r="872" spans="1:10" x14ac:dyDescent="0.25">
      <c r="A872" t="s">
        <v>1199</v>
      </c>
      <c r="B872" t="s">
        <v>122</v>
      </c>
      <c r="C872">
        <v>8</v>
      </c>
      <c r="D872" t="s">
        <v>3294</v>
      </c>
      <c r="E872">
        <v>57</v>
      </c>
      <c r="F872">
        <v>27</v>
      </c>
      <c r="G872">
        <v>30</v>
      </c>
      <c r="H872" t="s">
        <v>3493</v>
      </c>
      <c r="I872" t="s">
        <v>3490</v>
      </c>
      <c r="J872" t="s">
        <v>2919</v>
      </c>
    </row>
    <row r="873" spans="1:10" x14ac:dyDescent="0.25">
      <c r="A873" t="s">
        <v>1199</v>
      </c>
      <c r="B873" t="s">
        <v>122</v>
      </c>
      <c r="C873">
        <v>8</v>
      </c>
      <c r="D873" t="s">
        <v>3296</v>
      </c>
      <c r="E873">
        <v>70</v>
      </c>
      <c r="F873">
        <v>25</v>
      </c>
      <c r="G873">
        <v>45</v>
      </c>
      <c r="H873" t="s">
        <v>3494</v>
      </c>
      <c r="I873" t="s">
        <v>3490</v>
      </c>
      <c r="J873" t="s">
        <v>2919</v>
      </c>
    </row>
    <row r="874" spans="1:10" x14ac:dyDescent="0.25">
      <c r="A874" t="s">
        <v>1199</v>
      </c>
      <c r="B874" t="s">
        <v>122</v>
      </c>
      <c r="C874">
        <v>8</v>
      </c>
      <c r="D874" t="s">
        <v>3298</v>
      </c>
      <c r="E874">
        <v>91</v>
      </c>
      <c r="F874">
        <v>26</v>
      </c>
      <c r="G874">
        <v>65</v>
      </c>
      <c r="H874" t="s">
        <v>3495</v>
      </c>
      <c r="I874" t="s">
        <v>3490</v>
      </c>
      <c r="J874" t="s">
        <v>2919</v>
      </c>
    </row>
    <row r="875" spans="1:10" x14ac:dyDescent="0.25">
      <c r="A875" t="s">
        <v>1199</v>
      </c>
      <c r="B875" t="s">
        <v>122</v>
      </c>
      <c r="C875">
        <v>8</v>
      </c>
      <c r="D875" t="s">
        <v>3300</v>
      </c>
      <c r="E875">
        <v>74</v>
      </c>
      <c r="F875">
        <v>12</v>
      </c>
      <c r="G875">
        <v>62</v>
      </c>
      <c r="H875" t="s">
        <v>3494</v>
      </c>
      <c r="I875" t="s">
        <v>3490</v>
      </c>
      <c r="J875" t="s">
        <v>2919</v>
      </c>
    </row>
    <row r="876" spans="1:10" x14ac:dyDescent="0.25">
      <c r="A876" t="s">
        <v>1199</v>
      </c>
      <c r="B876" t="s">
        <v>122</v>
      </c>
      <c r="C876">
        <v>8</v>
      </c>
      <c r="D876" t="s">
        <v>3302</v>
      </c>
      <c r="E876">
        <v>55</v>
      </c>
      <c r="F876">
        <v>24</v>
      </c>
      <c r="G876">
        <v>31</v>
      </c>
      <c r="H876" t="s">
        <v>3493</v>
      </c>
      <c r="I876" t="s">
        <v>3490</v>
      </c>
      <c r="J876" t="s">
        <v>2919</v>
      </c>
    </row>
    <row r="877" spans="1:10" x14ac:dyDescent="0.25">
      <c r="A877" t="s">
        <v>1204</v>
      </c>
      <c r="B877" t="s">
        <v>30</v>
      </c>
      <c r="C877">
        <v>8</v>
      </c>
      <c r="D877" t="s">
        <v>3354</v>
      </c>
      <c r="E877">
        <v>57</v>
      </c>
      <c r="F877">
        <v>15</v>
      </c>
      <c r="G877">
        <v>42</v>
      </c>
      <c r="H877" t="s">
        <v>3493</v>
      </c>
      <c r="I877" t="s">
        <v>3490</v>
      </c>
      <c r="J877" t="s">
        <v>2895</v>
      </c>
    </row>
    <row r="878" spans="1:10" x14ac:dyDescent="0.25">
      <c r="A878" t="s">
        <v>1204</v>
      </c>
      <c r="B878" t="s">
        <v>30</v>
      </c>
      <c r="C878">
        <v>8</v>
      </c>
      <c r="D878" t="s">
        <v>3356</v>
      </c>
      <c r="E878">
        <v>74</v>
      </c>
      <c r="F878">
        <v>25</v>
      </c>
      <c r="G878">
        <v>49</v>
      </c>
      <c r="H878" t="s">
        <v>3494</v>
      </c>
      <c r="I878" t="s">
        <v>3490</v>
      </c>
      <c r="J878" t="s">
        <v>2895</v>
      </c>
    </row>
    <row r="879" spans="1:10" x14ac:dyDescent="0.25">
      <c r="A879" t="s">
        <v>1204</v>
      </c>
      <c r="B879" t="s">
        <v>30</v>
      </c>
      <c r="C879">
        <v>8</v>
      </c>
      <c r="D879" t="s">
        <v>3358</v>
      </c>
      <c r="E879">
        <v>56</v>
      </c>
      <c r="F879">
        <v>20</v>
      </c>
      <c r="G879">
        <v>36</v>
      </c>
      <c r="H879" t="s">
        <v>3493</v>
      </c>
      <c r="I879" t="s">
        <v>3490</v>
      </c>
      <c r="J879" t="s">
        <v>2895</v>
      </c>
    </row>
    <row r="880" spans="1:10" x14ac:dyDescent="0.25">
      <c r="A880" t="s">
        <v>1204</v>
      </c>
      <c r="B880" t="s">
        <v>30</v>
      </c>
      <c r="C880">
        <v>8</v>
      </c>
      <c r="D880" t="s">
        <v>3360</v>
      </c>
      <c r="E880">
        <v>76</v>
      </c>
      <c r="F880">
        <v>21</v>
      </c>
      <c r="G880">
        <v>55</v>
      </c>
      <c r="H880" t="s">
        <v>3494</v>
      </c>
      <c r="I880" t="s">
        <v>3490</v>
      </c>
      <c r="J880" t="s">
        <v>2895</v>
      </c>
    </row>
    <row r="881" spans="1:10" x14ac:dyDescent="0.25">
      <c r="A881" t="s">
        <v>1204</v>
      </c>
      <c r="B881" t="s">
        <v>30</v>
      </c>
      <c r="C881">
        <v>8</v>
      </c>
      <c r="D881" t="s">
        <v>3362</v>
      </c>
      <c r="E881">
        <v>67</v>
      </c>
      <c r="F881">
        <v>30</v>
      </c>
      <c r="G881">
        <v>37</v>
      </c>
      <c r="H881" t="s">
        <v>3489</v>
      </c>
      <c r="I881" t="s">
        <v>3490</v>
      </c>
      <c r="J881" t="s">
        <v>2895</v>
      </c>
    </row>
    <row r="882" spans="1:10" x14ac:dyDescent="0.25">
      <c r="A882" t="s">
        <v>1211</v>
      </c>
      <c r="B882" t="s">
        <v>122</v>
      </c>
      <c r="C882">
        <v>6</v>
      </c>
      <c r="D882" t="s">
        <v>3294</v>
      </c>
      <c r="E882">
        <v>53</v>
      </c>
      <c r="F882">
        <v>25</v>
      </c>
      <c r="G882">
        <v>28</v>
      </c>
      <c r="H882" t="s">
        <v>3493</v>
      </c>
      <c r="I882" t="s">
        <v>3490</v>
      </c>
      <c r="J882" t="s">
        <v>2919</v>
      </c>
    </row>
    <row r="883" spans="1:10" x14ac:dyDescent="0.25">
      <c r="A883" t="s">
        <v>1211</v>
      </c>
      <c r="B883" t="s">
        <v>122</v>
      </c>
      <c r="C883">
        <v>6</v>
      </c>
      <c r="D883" t="s">
        <v>3296</v>
      </c>
      <c r="E883">
        <v>51</v>
      </c>
      <c r="F883">
        <v>22</v>
      </c>
      <c r="G883">
        <v>29</v>
      </c>
      <c r="H883" t="s">
        <v>3493</v>
      </c>
      <c r="I883" t="s">
        <v>3490</v>
      </c>
      <c r="J883" t="s">
        <v>2919</v>
      </c>
    </row>
    <row r="884" spans="1:10" x14ac:dyDescent="0.25">
      <c r="A884" t="s">
        <v>1211</v>
      </c>
      <c r="B884" t="s">
        <v>122</v>
      </c>
      <c r="C884">
        <v>6</v>
      </c>
      <c r="D884" t="s">
        <v>3298</v>
      </c>
      <c r="E884">
        <v>50</v>
      </c>
      <c r="F884">
        <v>28</v>
      </c>
      <c r="G884">
        <v>22</v>
      </c>
      <c r="H884" t="s">
        <v>3493</v>
      </c>
      <c r="I884" t="s">
        <v>3490</v>
      </c>
      <c r="J884" t="s">
        <v>2919</v>
      </c>
    </row>
    <row r="885" spans="1:10" x14ac:dyDescent="0.25">
      <c r="A885" t="s">
        <v>1211</v>
      </c>
      <c r="B885" t="s">
        <v>122</v>
      </c>
      <c r="C885">
        <v>6</v>
      </c>
      <c r="D885" t="s">
        <v>3300</v>
      </c>
      <c r="E885">
        <v>49</v>
      </c>
      <c r="F885">
        <v>20</v>
      </c>
      <c r="G885">
        <v>29</v>
      </c>
      <c r="H885" t="s">
        <v>3491</v>
      </c>
      <c r="I885" t="s">
        <v>3492</v>
      </c>
      <c r="J885" t="s">
        <v>2919</v>
      </c>
    </row>
    <row r="886" spans="1:10" x14ac:dyDescent="0.25">
      <c r="A886" t="s">
        <v>1211</v>
      </c>
      <c r="B886" t="s">
        <v>122</v>
      </c>
      <c r="C886">
        <v>6</v>
      </c>
      <c r="D886" t="s">
        <v>3302</v>
      </c>
      <c r="E886">
        <v>54</v>
      </c>
      <c r="F886">
        <v>29</v>
      </c>
      <c r="G886">
        <v>25</v>
      </c>
      <c r="H886" t="s">
        <v>3493</v>
      </c>
      <c r="I886" t="s">
        <v>3490</v>
      </c>
      <c r="J886" t="s">
        <v>2919</v>
      </c>
    </row>
    <row r="887" spans="1:10" x14ac:dyDescent="0.25">
      <c r="A887" t="s">
        <v>1216</v>
      </c>
      <c r="B887" t="s">
        <v>105</v>
      </c>
      <c r="C887">
        <v>4</v>
      </c>
      <c r="D887" t="s">
        <v>3154</v>
      </c>
      <c r="E887">
        <v>95</v>
      </c>
      <c r="F887">
        <v>26</v>
      </c>
      <c r="G887">
        <v>69</v>
      </c>
      <c r="H887" t="s">
        <v>3495</v>
      </c>
      <c r="I887" t="s">
        <v>3490</v>
      </c>
      <c r="J887" t="s">
        <v>2908</v>
      </c>
    </row>
    <row r="888" spans="1:10" x14ac:dyDescent="0.25">
      <c r="A888" t="s">
        <v>1216</v>
      </c>
      <c r="B888" t="s">
        <v>105</v>
      </c>
      <c r="C888">
        <v>4</v>
      </c>
      <c r="D888" t="s">
        <v>3156</v>
      </c>
      <c r="E888">
        <v>68</v>
      </c>
      <c r="F888">
        <v>24</v>
      </c>
      <c r="G888">
        <v>44</v>
      </c>
      <c r="H888" t="s">
        <v>3489</v>
      </c>
      <c r="I888" t="s">
        <v>3490</v>
      </c>
      <c r="J888" t="s">
        <v>2908</v>
      </c>
    </row>
    <row r="889" spans="1:10" x14ac:dyDescent="0.25">
      <c r="A889" t="s">
        <v>1216</v>
      </c>
      <c r="B889" t="s">
        <v>105</v>
      </c>
      <c r="C889">
        <v>4</v>
      </c>
      <c r="D889" t="s">
        <v>3158</v>
      </c>
      <c r="E889">
        <v>62</v>
      </c>
      <c r="F889">
        <v>27</v>
      </c>
      <c r="G889">
        <v>35</v>
      </c>
      <c r="H889" t="s">
        <v>3489</v>
      </c>
      <c r="I889" t="s">
        <v>3490</v>
      </c>
      <c r="J889" t="s">
        <v>2908</v>
      </c>
    </row>
    <row r="890" spans="1:10" x14ac:dyDescent="0.25">
      <c r="A890" t="s">
        <v>1216</v>
      </c>
      <c r="B890" t="s">
        <v>105</v>
      </c>
      <c r="C890">
        <v>4</v>
      </c>
      <c r="D890" t="s">
        <v>3160</v>
      </c>
      <c r="E890">
        <v>58</v>
      </c>
      <c r="F890">
        <v>13</v>
      </c>
      <c r="G890">
        <v>45</v>
      </c>
      <c r="H890" t="s">
        <v>3493</v>
      </c>
      <c r="I890" t="s">
        <v>3490</v>
      </c>
      <c r="J890" t="s">
        <v>2908</v>
      </c>
    </row>
    <row r="891" spans="1:10" x14ac:dyDescent="0.25">
      <c r="A891" t="s">
        <v>1216</v>
      </c>
      <c r="B891" t="s">
        <v>105</v>
      </c>
      <c r="C891">
        <v>4</v>
      </c>
      <c r="D891" t="s">
        <v>3162</v>
      </c>
      <c r="E891">
        <v>66</v>
      </c>
      <c r="F891">
        <v>11</v>
      </c>
      <c r="G891">
        <v>55</v>
      </c>
      <c r="H891" t="s">
        <v>3489</v>
      </c>
      <c r="I891" t="s">
        <v>3490</v>
      </c>
      <c r="J891" t="s">
        <v>2908</v>
      </c>
    </row>
    <row r="892" spans="1:10" x14ac:dyDescent="0.25">
      <c r="A892" t="s">
        <v>1221</v>
      </c>
      <c r="B892" t="s">
        <v>63</v>
      </c>
      <c r="C892">
        <v>6</v>
      </c>
      <c r="D892" t="s">
        <v>3414</v>
      </c>
      <c r="E892">
        <v>80</v>
      </c>
      <c r="F892">
        <v>15</v>
      </c>
      <c r="G892">
        <v>65</v>
      </c>
      <c r="H892" t="s">
        <v>196</v>
      </c>
      <c r="I892" t="s">
        <v>3490</v>
      </c>
      <c r="J892" t="s">
        <v>2932</v>
      </c>
    </row>
    <row r="893" spans="1:10" x14ac:dyDescent="0.25">
      <c r="A893" t="s">
        <v>1221</v>
      </c>
      <c r="B893" t="s">
        <v>63</v>
      </c>
      <c r="C893">
        <v>6</v>
      </c>
      <c r="D893" t="s">
        <v>3416</v>
      </c>
      <c r="E893">
        <v>51</v>
      </c>
      <c r="F893">
        <v>24</v>
      </c>
      <c r="G893">
        <v>27</v>
      </c>
      <c r="H893" t="s">
        <v>3493</v>
      </c>
      <c r="I893" t="s">
        <v>3490</v>
      </c>
      <c r="J893" t="s">
        <v>2932</v>
      </c>
    </row>
    <row r="894" spans="1:10" x14ac:dyDescent="0.25">
      <c r="A894" t="s">
        <v>1221</v>
      </c>
      <c r="B894" t="s">
        <v>63</v>
      </c>
      <c r="C894">
        <v>6</v>
      </c>
      <c r="D894" t="s">
        <v>3418</v>
      </c>
      <c r="E894">
        <v>80</v>
      </c>
      <c r="F894">
        <v>30</v>
      </c>
      <c r="G894">
        <v>50</v>
      </c>
      <c r="H894" t="s">
        <v>196</v>
      </c>
      <c r="I894" t="s">
        <v>3490</v>
      </c>
      <c r="J894" t="s">
        <v>2932</v>
      </c>
    </row>
    <row r="895" spans="1:10" x14ac:dyDescent="0.25">
      <c r="A895" t="s">
        <v>1221</v>
      </c>
      <c r="B895" t="s">
        <v>63</v>
      </c>
      <c r="C895">
        <v>6</v>
      </c>
      <c r="D895" t="s">
        <v>3420</v>
      </c>
      <c r="E895">
        <v>39</v>
      </c>
      <c r="F895">
        <v>15</v>
      </c>
      <c r="G895">
        <v>24</v>
      </c>
      <c r="H895" t="s">
        <v>3491</v>
      </c>
      <c r="I895" t="s">
        <v>3492</v>
      </c>
      <c r="J895" t="s">
        <v>2932</v>
      </c>
    </row>
    <row r="896" spans="1:10" x14ac:dyDescent="0.25">
      <c r="A896" t="s">
        <v>1221</v>
      </c>
      <c r="B896" t="s">
        <v>63</v>
      </c>
      <c r="C896">
        <v>6</v>
      </c>
      <c r="D896" t="s">
        <v>3422</v>
      </c>
      <c r="E896">
        <v>87</v>
      </c>
      <c r="F896">
        <v>24</v>
      </c>
      <c r="G896">
        <v>63</v>
      </c>
      <c r="H896" t="s">
        <v>196</v>
      </c>
      <c r="I896" t="s">
        <v>3490</v>
      </c>
      <c r="J896" t="s">
        <v>2932</v>
      </c>
    </row>
    <row r="897" spans="1:10" x14ac:dyDescent="0.25">
      <c r="A897" t="s">
        <v>1227</v>
      </c>
      <c r="B897" t="s">
        <v>75</v>
      </c>
      <c r="C897">
        <v>8</v>
      </c>
      <c r="D897" t="s">
        <v>3054</v>
      </c>
      <c r="E897">
        <v>48</v>
      </c>
      <c r="F897">
        <v>16</v>
      </c>
      <c r="G897">
        <v>32</v>
      </c>
      <c r="H897" t="s">
        <v>3491</v>
      </c>
      <c r="I897" t="s">
        <v>3492</v>
      </c>
      <c r="J897" t="s">
        <v>2961</v>
      </c>
    </row>
    <row r="898" spans="1:10" x14ac:dyDescent="0.25">
      <c r="A898" t="s">
        <v>1227</v>
      </c>
      <c r="B898" t="s">
        <v>75</v>
      </c>
      <c r="C898">
        <v>8</v>
      </c>
      <c r="D898" t="s">
        <v>3056</v>
      </c>
      <c r="E898">
        <v>94</v>
      </c>
      <c r="F898">
        <v>24</v>
      </c>
      <c r="G898">
        <v>70</v>
      </c>
      <c r="H898" t="s">
        <v>3495</v>
      </c>
      <c r="I898" t="s">
        <v>3490</v>
      </c>
      <c r="J898" t="s">
        <v>2961</v>
      </c>
    </row>
    <row r="899" spans="1:10" x14ac:dyDescent="0.25">
      <c r="A899" t="s">
        <v>1227</v>
      </c>
      <c r="B899" t="s">
        <v>75</v>
      </c>
      <c r="C899">
        <v>8</v>
      </c>
      <c r="D899" t="s">
        <v>3058</v>
      </c>
      <c r="E899">
        <v>72</v>
      </c>
      <c r="F899">
        <v>16</v>
      </c>
      <c r="G899">
        <v>56</v>
      </c>
      <c r="H899" t="s">
        <v>3494</v>
      </c>
      <c r="I899" t="s">
        <v>3490</v>
      </c>
      <c r="J899" t="s">
        <v>2961</v>
      </c>
    </row>
    <row r="900" spans="1:10" x14ac:dyDescent="0.25">
      <c r="A900" t="s">
        <v>1227</v>
      </c>
      <c r="B900" t="s">
        <v>75</v>
      </c>
      <c r="C900">
        <v>8</v>
      </c>
      <c r="D900" t="s">
        <v>3060</v>
      </c>
      <c r="E900">
        <v>87</v>
      </c>
      <c r="F900">
        <v>30</v>
      </c>
      <c r="G900">
        <v>57</v>
      </c>
      <c r="H900" t="s">
        <v>196</v>
      </c>
      <c r="I900" t="s">
        <v>3490</v>
      </c>
      <c r="J900" t="s">
        <v>2961</v>
      </c>
    </row>
    <row r="901" spans="1:10" x14ac:dyDescent="0.25">
      <c r="A901" t="s">
        <v>1227</v>
      </c>
      <c r="B901" t="s">
        <v>75</v>
      </c>
      <c r="C901">
        <v>8</v>
      </c>
      <c r="D901" t="s">
        <v>3062</v>
      </c>
      <c r="E901">
        <v>36</v>
      </c>
      <c r="F901">
        <v>15</v>
      </c>
      <c r="G901">
        <v>21</v>
      </c>
      <c r="H901" t="s">
        <v>3491</v>
      </c>
      <c r="I901" t="s">
        <v>3492</v>
      </c>
      <c r="J901" t="s">
        <v>2961</v>
      </c>
    </row>
    <row r="902" spans="1:10" x14ac:dyDescent="0.25">
      <c r="A902" t="s">
        <v>1232</v>
      </c>
      <c r="B902" t="s">
        <v>122</v>
      </c>
      <c r="C902">
        <v>8</v>
      </c>
      <c r="D902" t="s">
        <v>3294</v>
      </c>
      <c r="E902">
        <v>51</v>
      </c>
      <c r="F902">
        <v>20</v>
      </c>
      <c r="G902">
        <v>31</v>
      </c>
      <c r="H902" t="s">
        <v>3493</v>
      </c>
      <c r="I902" t="s">
        <v>3490</v>
      </c>
      <c r="J902" t="s">
        <v>2919</v>
      </c>
    </row>
    <row r="903" spans="1:10" x14ac:dyDescent="0.25">
      <c r="A903" t="s">
        <v>1232</v>
      </c>
      <c r="B903" t="s">
        <v>122</v>
      </c>
      <c r="C903">
        <v>8</v>
      </c>
      <c r="D903" t="s">
        <v>3296</v>
      </c>
      <c r="E903">
        <v>44</v>
      </c>
      <c r="F903">
        <v>15</v>
      </c>
      <c r="G903">
        <v>29</v>
      </c>
      <c r="H903" t="s">
        <v>3491</v>
      </c>
      <c r="I903" t="s">
        <v>3492</v>
      </c>
      <c r="J903" t="s">
        <v>2919</v>
      </c>
    </row>
    <row r="904" spans="1:10" x14ac:dyDescent="0.25">
      <c r="A904" t="s">
        <v>1232</v>
      </c>
      <c r="B904" t="s">
        <v>122</v>
      </c>
      <c r="C904">
        <v>8</v>
      </c>
      <c r="D904" t="s">
        <v>3298</v>
      </c>
      <c r="E904">
        <v>84</v>
      </c>
      <c r="F904">
        <v>28</v>
      </c>
      <c r="G904">
        <v>56</v>
      </c>
      <c r="H904" t="s">
        <v>196</v>
      </c>
      <c r="I904" t="s">
        <v>3490</v>
      </c>
      <c r="J904" t="s">
        <v>2919</v>
      </c>
    </row>
    <row r="905" spans="1:10" x14ac:dyDescent="0.25">
      <c r="A905" t="s">
        <v>1232</v>
      </c>
      <c r="B905" t="s">
        <v>122</v>
      </c>
      <c r="C905">
        <v>8</v>
      </c>
      <c r="D905" t="s">
        <v>3300</v>
      </c>
      <c r="E905">
        <v>62</v>
      </c>
      <c r="F905">
        <v>29</v>
      </c>
      <c r="G905">
        <v>33</v>
      </c>
      <c r="H905" t="s">
        <v>3489</v>
      </c>
      <c r="I905" t="s">
        <v>3490</v>
      </c>
      <c r="J905" t="s">
        <v>2919</v>
      </c>
    </row>
    <row r="906" spans="1:10" x14ac:dyDescent="0.25">
      <c r="A906" t="s">
        <v>1232</v>
      </c>
      <c r="B906" t="s">
        <v>122</v>
      </c>
      <c r="C906">
        <v>8</v>
      </c>
      <c r="D906" t="s">
        <v>3302</v>
      </c>
      <c r="E906">
        <v>53</v>
      </c>
      <c r="F906">
        <v>23</v>
      </c>
      <c r="G906">
        <v>30</v>
      </c>
      <c r="H906" t="s">
        <v>3493</v>
      </c>
      <c r="I906" t="s">
        <v>3490</v>
      </c>
      <c r="J906" t="s">
        <v>2919</v>
      </c>
    </row>
    <row r="907" spans="1:10" x14ac:dyDescent="0.25">
      <c r="A907" t="s">
        <v>1237</v>
      </c>
      <c r="B907" t="s">
        <v>30</v>
      </c>
      <c r="C907">
        <v>8</v>
      </c>
      <c r="D907" t="s">
        <v>3354</v>
      </c>
      <c r="E907">
        <v>79</v>
      </c>
      <c r="F907">
        <v>13</v>
      </c>
      <c r="G907">
        <v>66</v>
      </c>
      <c r="H907" t="s">
        <v>3494</v>
      </c>
      <c r="I907" t="s">
        <v>3490</v>
      </c>
      <c r="J907" t="s">
        <v>2895</v>
      </c>
    </row>
    <row r="908" spans="1:10" x14ac:dyDescent="0.25">
      <c r="A908" t="s">
        <v>1237</v>
      </c>
      <c r="B908" t="s">
        <v>30</v>
      </c>
      <c r="C908">
        <v>8</v>
      </c>
      <c r="D908" t="s">
        <v>3356</v>
      </c>
      <c r="E908">
        <v>63</v>
      </c>
      <c r="F908">
        <v>23</v>
      </c>
      <c r="G908">
        <v>40</v>
      </c>
      <c r="H908" t="s">
        <v>3489</v>
      </c>
      <c r="I908" t="s">
        <v>3490</v>
      </c>
      <c r="J908" t="s">
        <v>2895</v>
      </c>
    </row>
    <row r="909" spans="1:10" x14ac:dyDescent="0.25">
      <c r="A909" t="s">
        <v>1237</v>
      </c>
      <c r="B909" t="s">
        <v>30</v>
      </c>
      <c r="C909">
        <v>8</v>
      </c>
      <c r="D909" t="s">
        <v>3358</v>
      </c>
      <c r="E909">
        <v>52</v>
      </c>
      <c r="F909">
        <v>28</v>
      </c>
      <c r="G909">
        <v>24</v>
      </c>
      <c r="H909" t="s">
        <v>3493</v>
      </c>
      <c r="I909" t="s">
        <v>3490</v>
      </c>
      <c r="J909" t="s">
        <v>2895</v>
      </c>
    </row>
    <row r="910" spans="1:10" x14ac:dyDescent="0.25">
      <c r="A910" t="s">
        <v>1237</v>
      </c>
      <c r="B910" t="s">
        <v>30</v>
      </c>
      <c r="C910">
        <v>8</v>
      </c>
      <c r="D910" t="s">
        <v>3360</v>
      </c>
      <c r="E910">
        <v>69</v>
      </c>
      <c r="F910">
        <v>30</v>
      </c>
      <c r="G910">
        <v>39</v>
      </c>
      <c r="H910" t="s">
        <v>3489</v>
      </c>
      <c r="I910" t="s">
        <v>3490</v>
      </c>
      <c r="J910" t="s">
        <v>2895</v>
      </c>
    </row>
    <row r="911" spans="1:10" x14ac:dyDescent="0.25">
      <c r="A911" t="s">
        <v>1237</v>
      </c>
      <c r="B911" t="s">
        <v>30</v>
      </c>
      <c r="C911">
        <v>8</v>
      </c>
      <c r="D911" t="s">
        <v>3362</v>
      </c>
      <c r="E911">
        <v>72</v>
      </c>
      <c r="F911">
        <v>17</v>
      </c>
      <c r="G911">
        <v>55</v>
      </c>
      <c r="H911" t="s">
        <v>3494</v>
      </c>
      <c r="I911" t="s">
        <v>3490</v>
      </c>
      <c r="J911" t="s">
        <v>2895</v>
      </c>
    </row>
    <row r="912" spans="1:10" x14ac:dyDescent="0.25">
      <c r="A912" t="s">
        <v>1242</v>
      </c>
      <c r="B912" t="s">
        <v>95</v>
      </c>
      <c r="C912">
        <v>6</v>
      </c>
      <c r="D912" t="s">
        <v>3234</v>
      </c>
      <c r="E912">
        <v>56</v>
      </c>
      <c r="F912">
        <v>27</v>
      </c>
      <c r="G912">
        <v>29</v>
      </c>
      <c r="H912" t="s">
        <v>3493</v>
      </c>
      <c r="I912" t="s">
        <v>3490</v>
      </c>
      <c r="J912" t="s">
        <v>2889</v>
      </c>
    </row>
    <row r="913" spans="1:10" x14ac:dyDescent="0.25">
      <c r="A913" t="s">
        <v>1242</v>
      </c>
      <c r="B913" t="s">
        <v>95</v>
      </c>
      <c r="C913">
        <v>6</v>
      </c>
      <c r="D913" t="s">
        <v>3236</v>
      </c>
      <c r="E913">
        <v>47</v>
      </c>
      <c r="F913">
        <v>17</v>
      </c>
      <c r="G913">
        <v>30</v>
      </c>
      <c r="H913" t="s">
        <v>3491</v>
      </c>
      <c r="I913" t="s">
        <v>3492</v>
      </c>
      <c r="J913" t="s">
        <v>2889</v>
      </c>
    </row>
    <row r="914" spans="1:10" x14ac:dyDescent="0.25">
      <c r="A914" t="s">
        <v>1242</v>
      </c>
      <c r="B914" t="s">
        <v>95</v>
      </c>
      <c r="C914">
        <v>6</v>
      </c>
      <c r="D914" t="s">
        <v>3238</v>
      </c>
      <c r="E914">
        <v>81</v>
      </c>
      <c r="F914">
        <v>20</v>
      </c>
      <c r="G914">
        <v>61</v>
      </c>
      <c r="H914" t="s">
        <v>196</v>
      </c>
      <c r="I914" t="s">
        <v>3490</v>
      </c>
      <c r="J914" t="s">
        <v>2889</v>
      </c>
    </row>
    <row r="915" spans="1:10" x14ac:dyDescent="0.25">
      <c r="A915" t="s">
        <v>1242</v>
      </c>
      <c r="B915" t="s">
        <v>95</v>
      </c>
      <c r="C915">
        <v>6</v>
      </c>
      <c r="D915" t="s">
        <v>3240</v>
      </c>
      <c r="E915">
        <v>85</v>
      </c>
      <c r="F915">
        <v>21</v>
      </c>
      <c r="G915">
        <v>64</v>
      </c>
      <c r="H915" t="s">
        <v>196</v>
      </c>
      <c r="I915" t="s">
        <v>3490</v>
      </c>
      <c r="J915" t="s">
        <v>2889</v>
      </c>
    </row>
    <row r="916" spans="1:10" x14ac:dyDescent="0.25">
      <c r="A916" t="s">
        <v>1242</v>
      </c>
      <c r="B916" t="s">
        <v>95</v>
      </c>
      <c r="C916">
        <v>6</v>
      </c>
      <c r="D916" t="s">
        <v>3242</v>
      </c>
      <c r="E916">
        <v>87</v>
      </c>
      <c r="F916">
        <v>17</v>
      </c>
      <c r="G916">
        <v>70</v>
      </c>
      <c r="H916" t="s">
        <v>196</v>
      </c>
      <c r="I916" t="s">
        <v>3490</v>
      </c>
      <c r="J916" t="s">
        <v>2889</v>
      </c>
    </row>
    <row r="917" spans="1:10" x14ac:dyDescent="0.25">
      <c r="A917" t="s">
        <v>1248</v>
      </c>
      <c r="B917" t="s">
        <v>75</v>
      </c>
      <c r="C917">
        <v>6</v>
      </c>
      <c r="D917" t="s">
        <v>3054</v>
      </c>
      <c r="E917">
        <v>82</v>
      </c>
      <c r="F917">
        <v>28</v>
      </c>
      <c r="G917">
        <v>54</v>
      </c>
      <c r="H917" t="s">
        <v>196</v>
      </c>
      <c r="I917" t="s">
        <v>3490</v>
      </c>
      <c r="J917" t="s">
        <v>2961</v>
      </c>
    </row>
    <row r="918" spans="1:10" x14ac:dyDescent="0.25">
      <c r="A918" t="s">
        <v>1248</v>
      </c>
      <c r="B918" t="s">
        <v>75</v>
      </c>
      <c r="C918">
        <v>6</v>
      </c>
      <c r="D918" t="s">
        <v>3056</v>
      </c>
      <c r="E918">
        <v>56</v>
      </c>
      <c r="F918">
        <v>16</v>
      </c>
      <c r="G918">
        <v>40</v>
      </c>
      <c r="H918" t="s">
        <v>3493</v>
      </c>
      <c r="I918" t="s">
        <v>3490</v>
      </c>
      <c r="J918" t="s">
        <v>2961</v>
      </c>
    </row>
    <row r="919" spans="1:10" x14ac:dyDescent="0.25">
      <c r="A919" t="s">
        <v>1248</v>
      </c>
      <c r="B919" t="s">
        <v>75</v>
      </c>
      <c r="C919">
        <v>6</v>
      </c>
      <c r="D919" t="s">
        <v>3058</v>
      </c>
      <c r="E919">
        <v>66</v>
      </c>
      <c r="F919">
        <v>27</v>
      </c>
      <c r="G919">
        <v>39</v>
      </c>
      <c r="H919" t="s">
        <v>3489</v>
      </c>
      <c r="I919" t="s">
        <v>3490</v>
      </c>
      <c r="J919" t="s">
        <v>2961</v>
      </c>
    </row>
    <row r="920" spans="1:10" x14ac:dyDescent="0.25">
      <c r="A920" t="s">
        <v>1248</v>
      </c>
      <c r="B920" t="s">
        <v>75</v>
      </c>
      <c r="C920">
        <v>6</v>
      </c>
      <c r="D920" t="s">
        <v>3060</v>
      </c>
      <c r="E920">
        <v>64</v>
      </c>
      <c r="F920">
        <v>18</v>
      </c>
      <c r="G920">
        <v>46</v>
      </c>
      <c r="H920" t="s">
        <v>3489</v>
      </c>
      <c r="I920" t="s">
        <v>3490</v>
      </c>
      <c r="J920" t="s">
        <v>2961</v>
      </c>
    </row>
    <row r="921" spans="1:10" x14ac:dyDescent="0.25">
      <c r="A921" t="s">
        <v>1248</v>
      </c>
      <c r="B921" t="s">
        <v>75</v>
      </c>
      <c r="C921">
        <v>6</v>
      </c>
      <c r="D921" t="s">
        <v>3062</v>
      </c>
      <c r="E921">
        <v>64</v>
      </c>
      <c r="F921">
        <v>13</v>
      </c>
      <c r="G921">
        <v>51</v>
      </c>
      <c r="H921" t="s">
        <v>3489</v>
      </c>
      <c r="I921" t="s">
        <v>3490</v>
      </c>
      <c r="J921" t="s">
        <v>2961</v>
      </c>
    </row>
    <row r="922" spans="1:10" x14ac:dyDescent="0.25">
      <c r="A922" t="s">
        <v>1253</v>
      </c>
      <c r="B922" t="s">
        <v>159</v>
      </c>
      <c r="C922">
        <v>8</v>
      </c>
      <c r="D922" t="s">
        <v>3114</v>
      </c>
      <c r="E922">
        <v>79</v>
      </c>
      <c r="F922">
        <v>30</v>
      </c>
      <c r="G922">
        <v>49</v>
      </c>
      <c r="H922" t="s">
        <v>3494</v>
      </c>
      <c r="I922" t="s">
        <v>3490</v>
      </c>
      <c r="J922" t="s">
        <v>2902</v>
      </c>
    </row>
    <row r="923" spans="1:10" x14ac:dyDescent="0.25">
      <c r="A923" t="s">
        <v>1253</v>
      </c>
      <c r="B923" t="s">
        <v>159</v>
      </c>
      <c r="C923">
        <v>8</v>
      </c>
      <c r="D923" t="s">
        <v>3116</v>
      </c>
      <c r="E923">
        <v>59</v>
      </c>
      <c r="F923">
        <v>25</v>
      </c>
      <c r="G923">
        <v>34</v>
      </c>
      <c r="H923" t="s">
        <v>3493</v>
      </c>
      <c r="I923" t="s">
        <v>3490</v>
      </c>
      <c r="J923" t="s">
        <v>2902</v>
      </c>
    </row>
    <row r="924" spans="1:10" x14ac:dyDescent="0.25">
      <c r="A924" t="s">
        <v>1253</v>
      </c>
      <c r="B924" t="s">
        <v>159</v>
      </c>
      <c r="C924">
        <v>8</v>
      </c>
      <c r="D924" t="s">
        <v>3118</v>
      </c>
      <c r="E924">
        <v>60</v>
      </c>
      <c r="F924">
        <v>15</v>
      </c>
      <c r="G924">
        <v>45</v>
      </c>
      <c r="H924" t="s">
        <v>3489</v>
      </c>
      <c r="I924" t="s">
        <v>3490</v>
      </c>
      <c r="J924" t="s">
        <v>2902</v>
      </c>
    </row>
    <row r="925" spans="1:10" x14ac:dyDescent="0.25">
      <c r="A925" t="s">
        <v>1253</v>
      </c>
      <c r="B925" t="s">
        <v>159</v>
      </c>
      <c r="C925">
        <v>8</v>
      </c>
      <c r="D925" t="s">
        <v>3120</v>
      </c>
      <c r="E925">
        <v>54</v>
      </c>
      <c r="F925">
        <v>19</v>
      </c>
      <c r="G925">
        <v>35</v>
      </c>
      <c r="H925" t="s">
        <v>3493</v>
      </c>
      <c r="I925" t="s">
        <v>3490</v>
      </c>
      <c r="J925" t="s">
        <v>2902</v>
      </c>
    </row>
    <row r="926" spans="1:10" x14ac:dyDescent="0.25">
      <c r="A926" t="s">
        <v>1253</v>
      </c>
      <c r="B926" t="s">
        <v>159</v>
      </c>
      <c r="C926">
        <v>8</v>
      </c>
      <c r="D926" t="s">
        <v>3122</v>
      </c>
      <c r="E926">
        <v>66</v>
      </c>
      <c r="F926">
        <v>10</v>
      </c>
      <c r="G926">
        <v>56</v>
      </c>
      <c r="H926" t="s">
        <v>3489</v>
      </c>
      <c r="I926" t="s">
        <v>3490</v>
      </c>
      <c r="J926" t="s">
        <v>2902</v>
      </c>
    </row>
    <row r="927" spans="1:10" x14ac:dyDescent="0.25">
      <c r="A927" t="s">
        <v>1259</v>
      </c>
      <c r="B927" t="s">
        <v>105</v>
      </c>
      <c r="C927">
        <v>4</v>
      </c>
      <c r="D927" t="s">
        <v>3154</v>
      </c>
      <c r="E927">
        <v>56</v>
      </c>
      <c r="F927">
        <v>20</v>
      </c>
      <c r="G927">
        <v>36</v>
      </c>
      <c r="H927" t="s">
        <v>3493</v>
      </c>
      <c r="I927" t="s">
        <v>3490</v>
      </c>
      <c r="J927" t="s">
        <v>2908</v>
      </c>
    </row>
    <row r="928" spans="1:10" x14ac:dyDescent="0.25">
      <c r="A928" t="s">
        <v>1259</v>
      </c>
      <c r="B928" t="s">
        <v>105</v>
      </c>
      <c r="C928">
        <v>4</v>
      </c>
      <c r="D928" t="s">
        <v>3156</v>
      </c>
      <c r="E928">
        <v>74</v>
      </c>
      <c r="F928">
        <v>18</v>
      </c>
      <c r="G928">
        <v>56</v>
      </c>
      <c r="H928" t="s">
        <v>3494</v>
      </c>
      <c r="I928" t="s">
        <v>3490</v>
      </c>
      <c r="J928" t="s">
        <v>2908</v>
      </c>
    </row>
    <row r="929" spans="1:10" x14ac:dyDescent="0.25">
      <c r="A929" t="s">
        <v>1259</v>
      </c>
      <c r="B929" t="s">
        <v>105</v>
      </c>
      <c r="C929">
        <v>4</v>
      </c>
      <c r="D929" t="s">
        <v>3158</v>
      </c>
      <c r="E929">
        <v>84</v>
      </c>
      <c r="F929">
        <v>25</v>
      </c>
      <c r="G929">
        <v>59</v>
      </c>
      <c r="H929" t="s">
        <v>196</v>
      </c>
      <c r="I929" t="s">
        <v>3490</v>
      </c>
      <c r="J929" t="s">
        <v>2908</v>
      </c>
    </row>
    <row r="930" spans="1:10" x14ac:dyDescent="0.25">
      <c r="A930" t="s">
        <v>1259</v>
      </c>
      <c r="B930" t="s">
        <v>105</v>
      </c>
      <c r="C930">
        <v>4</v>
      </c>
      <c r="D930" t="s">
        <v>3160</v>
      </c>
      <c r="E930">
        <v>44</v>
      </c>
      <c r="F930">
        <v>13</v>
      </c>
      <c r="G930">
        <v>31</v>
      </c>
      <c r="H930" t="s">
        <v>3491</v>
      </c>
      <c r="I930" t="s">
        <v>3492</v>
      </c>
      <c r="J930" t="s">
        <v>2908</v>
      </c>
    </row>
    <row r="931" spans="1:10" x14ac:dyDescent="0.25">
      <c r="A931" t="s">
        <v>1259</v>
      </c>
      <c r="B931" t="s">
        <v>105</v>
      </c>
      <c r="C931">
        <v>4</v>
      </c>
      <c r="D931" t="s">
        <v>3162</v>
      </c>
      <c r="E931">
        <v>82</v>
      </c>
      <c r="F931">
        <v>24</v>
      </c>
      <c r="G931">
        <v>58</v>
      </c>
      <c r="H931" t="s">
        <v>196</v>
      </c>
      <c r="I931" t="s">
        <v>3490</v>
      </c>
      <c r="J931" t="s">
        <v>2908</v>
      </c>
    </row>
    <row r="932" spans="1:10" x14ac:dyDescent="0.25">
      <c r="A932" t="s">
        <v>1266</v>
      </c>
      <c r="B932" t="s">
        <v>30</v>
      </c>
      <c r="C932">
        <v>8</v>
      </c>
      <c r="D932" t="s">
        <v>3354</v>
      </c>
      <c r="E932">
        <v>76</v>
      </c>
      <c r="F932">
        <v>28</v>
      </c>
      <c r="G932">
        <v>48</v>
      </c>
      <c r="H932" t="s">
        <v>3494</v>
      </c>
      <c r="I932" t="s">
        <v>3490</v>
      </c>
      <c r="J932" t="s">
        <v>2895</v>
      </c>
    </row>
    <row r="933" spans="1:10" x14ac:dyDescent="0.25">
      <c r="A933" t="s">
        <v>1266</v>
      </c>
      <c r="B933" t="s">
        <v>30</v>
      </c>
      <c r="C933">
        <v>8</v>
      </c>
      <c r="D933" t="s">
        <v>3356</v>
      </c>
      <c r="E933">
        <v>41</v>
      </c>
      <c r="F933">
        <v>10</v>
      </c>
      <c r="G933">
        <v>31</v>
      </c>
      <c r="H933" t="s">
        <v>3491</v>
      </c>
      <c r="I933" t="s">
        <v>3492</v>
      </c>
      <c r="J933" t="s">
        <v>2895</v>
      </c>
    </row>
    <row r="934" spans="1:10" x14ac:dyDescent="0.25">
      <c r="A934" t="s">
        <v>1266</v>
      </c>
      <c r="B934" t="s">
        <v>30</v>
      </c>
      <c r="C934">
        <v>8</v>
      </c>
      <c r="D934" t="s">
        <v>3358</v>
      </c>
      <c r="E934">
        <v>59</v>
      </c>
      <c r="F934">
        <v>28</v>
      </c>
      <c r="G934">
        <v>31</v>
      </c>
      <c r="H934" t="s">
        <v>3493</v>
      </c>
      <c r="I934" t="s">
        <v>3490</v>
      </c>
      <c r="J934" t="s">
        <v>2895</v>
      </c>
    </row>
    <row r="935" spans="1:10" x14ac:dyDescent="0.25">
      <c r="A935" t="s">
        <v>1266</v>
      </c>
      <c r="B935" t="s">
        <v>30</v>
      </c>
      <c r="C935">
        <v>8</v>
      </c>
      <c r="D935" t="s">
        <v>3360</v>
      </c>
      <c r="E935">
        <v>48</v>
      </c>
      <c r="F935">
        <v>24</v>
      </c>
      <c r="G935">
        <v>24</v>
      </c>
      <c r="H935" t="s">
        <v>3491</v>
      </c>
      <c r="I935" t="s">
        <v>3492</v>
      </c>
      <c r="J935" t="s">
        <v>2895</v>
      </c>
    </row>
    <row r="936" spans="1:10" x14ac:dyDescent="0.25">
      <c r="A936" t="s">
        <v>1266</v>
      </c>
      <c r="B936" t="s">
        <v>30</v>
      </c>
      <c r="C936">
        <v>8</v>
      </c>
      <c r="D936" t="s">
        <v>3362</v>
      </c>
      <c r="E936">
        <v>38</v>
      </c>
      <c r="F936">
        <v>15</v>
      </c>
      <c r="G936">
        <v>23</v>
      </c>
      <c r="H936" t="s">
        <v>3491</v>
      </c>
      <c r="I936" t="s">
        <v>3492</v>
      </c>
      <c r="J936" t="s">
        <v>2895</v>
      </c>
    </row>
    <row r="937" spans="1:10" x14ac:dyDescent="0.25">
      <c r="A937" t="s">
        <v>1271</v>
      </c>
      <c r="B937" t="s">
        <v>212</v>
      </c>
      <c r="C937">
        <v>8</v>
      </c>
      <c r="D937" t="s">
        <v>3474</v>
      </c>
      <c r="E937">
        <v>55</v>
      </c>
      <c r="F937">
        <v>20</v>
      </c>
      <c r="G937">
        <v>35</v>
      </c>
      <c r="H937" t="s">
        <v>3493</v>
      </c>
      <c r="I937" t="s">
        <v>3490</v>
      </c>
      <c r="J937" t="s">
        <v>3001</v>
      </c>
    </row>
    <row r="938" spans="1:10" x14ac:dyDescent="0.25">
      <c r="A938" t="s">
        <v>1271</v>
      </c>
      <c r="B938" t="s">
        <v>212</v>
      </c>
      <c r="C938">
        <v>8</v>
      </c>
      <c r="D938" t="s">
        <v>3476</v>
      </c>
      <c r="E938">
        <v>78</v>
      </c>
      <c r="F938">
        <v>29</v>
      </c>
      <c r="G938">
        <v>49</v>
      </c>
      <c r="H938" t="s">
        <v>3494</v>
      </c>
      <c r="I938" t="s">
        <v>3490</v>
      </c>
      <c r="J938" t="s">
        <v>3001</v>
      </c>
    </row>
    <row r="939" spans="1:10" x14ac:dyDescent="0.25">
      <c r="A939" t="s">
        <v>1271</v>
      </c>
      <c r="B939" t="s">
        <v>212</v>
      </c>
      <c r="C939">
        <v>8</v>
      </c>
      <c r="D939" t="s">
        <v>3478</v>
      </c>
      <c r="E939">
        <v>77</v>
      </c>
      <c r="F939">
        <v>26</v>
      </c>
      <c r="G939">
        <v>51</v>
      </c>
      <c r="H939" t="s">
        <v>3494</v>
      </c>
      <c r="I939" t="s">
        <v>3490</v>
      </c>
      <c r="J939" t="s">
        <v>3001</v>
      </c>
    </row>
    <row r="940" spans="1:10" x14ac:dyDescent="0.25">
      <c r="A940" t="s">
        <v>1271</v>
      </c>
      <c r="B940" t="s">
        <v>212</v>
      </c>
      <c r="C940">
        <v>8</v>
      </c>
      <c r="D940" t="s">
        <v>3480</v>
      </c>
      <c r="E940">
        <v>46</v>
      </c>
      <c r="F940">
        <v>13</v>
      </c>
      <c r="G940">
        <v>33</v>
      </c>
      <c r="H940" t="s">
        <v>3491</v>
      </c>
      <c r="I940" t="s">
        <v>3492</v>
      </c>
      <c r="J940" t="s">
        <v>3001</v>
      </c>
    </row>
    <row r="941" spans="1:10" x14ac:dyDescent="0.25">
      <c r="A941" t="s">
        <v>1271</v>
      </c>
      <c r="B941" t="s">
        <v>212</v>
      </c>
      <c r="C941">
        <v>8</v>
      </c>
      <c r="D941" t="s">
        <v>3482</v>
      </c>
      <c r="E941">
        <v>90</v>
      </c>
      <c r="F941">
        <v>25</v>
      </c>
      <c r="G941">
        <v>65</v>
      </c>
      <c r="H941" t="s">
        <v>3495</v>
      </c>
      <c r="I941" t="s">
        <v>3490</v>
      </c>
      <c r="J941" t="s">
        <v>3001</v>
      </c>
    </row>
    <row r="942" spans="1:10" x14ac:dyDescent="0.25">
      <c r="A942" t="s">
        <v>1276</v>
      </c>
      <c r="B942" t="s">
        <v>122</v>
      </c>
      <c r="C942">
        <v>6</v>
      </c>
      <c r="D942" t="s">
        <v>3294</v>
      </c>
      <c r="E942">
        <v>48</v>
      </c>
      <c r="F942">
        <v>20</v>
      </c>
      <c r="G942">
        <v>28</v>
      </c>
      <c r="H942" t="s">
        <v>3491</v>
      </c>
      <c r="I942" t="s">
        <v>3492</v>
      </c>
      <c r="J942" t="s">
        <v>2919</v>
      </c>
    </row>
    <row r="943" spans="1:10" x14ac:dyDescent="0.25">
      <c r="A943" t="s">
        <v>1276</v>
      </c>
      <c r="B943" t="s">
        <v>122</v>
      </c>
      <c r="C943">
        <v>6</v>
      </c>
      <c r="D943" t="s">
        <v>3296</v>
      </c>
      <c r="E943">
        <v>83</v>
      </c>
      <c r="F943">
        <v>28</v>
      </c>
      <c r="G943">
        <v>55</v>
      </c>
      <c r="H943" t="s">
        <v>196</v>
      </c>
      <c r="I943" t="s">
        <v>3490</v>
      </c>
      <c r="J943" t="s">
        <v>2919</v>
      </c>
    </row>
    <row r="944" spans="1:10" x14ac:dyDescent="0.25">
      <c r="A944" t="s">
        <v>1276</v>
      </c>
      <c r="B944" t="s">
        <v>122</v>
      </c>
      <c r="C944">
        <v>6</v>
      </c>
      <c r="D944" t="s">
        <v>3298</v>
      </c>
      <c r="E944">
        <v>61</v>
      </c>
      <c r="F944">
        <v>26</v>
      </c>
      <c r="G944">
        <v>35</v>
      </c>
      <c r="H944" t="s">
        <v>3489</v>
      </c>
      <c r="I944" t="s">
        <v>3490</v>
      </c>
      <c r="J944" t="s">
        <v>2919</v>
      </c>
    </row>
    <row r="945" spans="1:10" x14ac:dyDescent="0.25">
      <c r="A945" t="s">
        <v>1276</v>
      </c>
      <c r="B945" t="s">
        <v>122</v>
      </c>
      <c r="C945">
        <v>6</v>
      </c>
      <c r="D945" t="s">
        <v>3300</v>
      </c>
      <c r="E945">
        <v>43</v>
      </c>
      <c r="F945">
        <v>14</v>
      </c>
      <c r="G945">
        <v>29</v>
      </c>
      <c r="H945" t="s">
        <v>3491</v>
      </c>
      <c r="I945" t="s">
        <v>3492</v>
      </c>
      <c r="J945" t="s">
        <v>2919</v>
      </c>
    </row>
    <row r="946" spans="1:10" x14ac:dyDescent="0.25">
      <c r="A946" t="s">
        <v>1276</v>
      </c>
      <c r="B946" t="s">
        <v>122</v>
      </c>
      <c r="C946">
        <v>6</v>
      </c>
      <c r="D946" t="s">
        <v>3302</v>
      </c>
      <c r="E946">
        <v>73</v>
      </c>
      <c r="F946">
        <v>10</v>
      </c>
      <c r="G946">
        <v>63</v>
      </c>
      <c r="H946" t="s">
        <v>3494</v>
      </c>
      <c r="I946" t="s">
        <v>3490</v>
      </c>
      <c r="J946" t="s">
        <v>2919</v>
      </c>
    </row>
    <row r="947" spans="1:10" x14ac:dyDescent="0.25">
      <c r="A947" t="s">
        <v>1282</v>
      </c>
      <c r="B947" t="s">
        <v>63</v>
      </c>
      <c r="C947">
        <v>8</v>
      </c>
      <c r="D947" t="s">
        <v>3414</v>
      </c>
      <c r="E947">
        <v>41</v>
      </c>
      <c r="F947">
        <v>13</v>
      </c>
      <c r="G947">
        <v>28</v>
      </c>
      <c r="H947" t="s">
        <v>3491</v>
      </c>
      <c r="I947" t="s">
        <v>3492</v>
      </c>
      <c r="J947" t="s">
        <v>2932</v>
      </c>
    </row>
    <row r="948" spans="1:10" x14ac:dyDescent="0.25">
      <c r="A948" t="s">
        <v>1282</v>
      </c>
      <c r="B948" t="s">
        <v>63</v>
      </c>
      <c r="C948">
        <v>8</v>
      </c>
      <c r="D948" t="s">
        <v>3416</v>
      </c>
      <c r="E948">
        <v>66</v>
      </c>
      <c r="F948">
        <v>21</v>
      </c>
      <c r="G948">
        <v>45</v>
      </c>
      <c r="H948" t="s">
        <v>3489</v>
      </c>
      <c r="I948" t="s">
        <v>3490</v>
      </c>
      <c r="J948" t="s">
        <v>2932</v>
      </c>
    </row>
    <row r="949" spans="1:10" x14ac:dyDescent="0.25">
      <c r="A949" t="s">
        <v>1282</v>
      </c>
      <c r="B949" t="s">
        <v>63</v>
      </c>
      <c r="C949">
        <v>8</v>
      </c>
      <c r="D949" t="s">
        <v>3418</v>
      </c>
      <c r="E949">
        <v>66</v>
      </c>
      <c r="F949">
        <v>11</v>
      </c>
      <c r="G949">
        <v>55</v>
      </c>
      <c r="H949" t="s">
        <v>3489</v>
      </c>
      <c r="I949" t="s">
        <v>3490</v>
      </c>
      <c r="J949" t="s">
        <v>2932</v>
      </c>
    </row>
    <row r="950" spans="1:10" x14ac:dyDescent="0.25">
      <c r="A950" t="s">
        <v>1282</v>
      </c>
      <c r="B950" t="s">
        <v>63</v>
      </c>
      <c r="C950">
        <v>8</v>
      </c>
      <c r="D950" t="s">
        <v>3420</v>
      </c>
      <c r="E950">
        <v>47</v>
      </c>
      <c r="F950">
        <v>16</v>
      </c>
      <c r="G950">
        <v>31</v>
      </c>
      <c r="H950" t="s">
        <v>3491</v>
      </c>
      <c r="I950" t="s">
        <v>3492</v>
      </c>
      <c r="J950" t="s">
        <v>2932</v>
      </c>
    </row>
    <row r="951" spans="1:10" x14ac:dyDescent="0.25">
      <c r="A951" t="s">
        <v>1282</v>
      </c>
      <c r="B951" t="s">
        <v>63</v>
      </c>
      <c r="C951">
        <v>8</v>
      </c>
      <c r="D951" t="s">
        <v>3422</v>
      </c>
      <c r="E951">
        <v>33</v>
      </c>
      <c r="F951">
        <v>11</v>
      </c>
      <c r="G951">
        <v>22</v>
      </c>
      <c r="H951" t="s">
        <v>3491</v>
      </c>
      <c r="I951" t="s">
        <v>3492</v>
      </c>
      <c r="J951" t="s">
        <v>2932</v>
      </c>
    </row>
    <row r="952" spans="1:10" x14ac:dyDescent="0.25">
      <c r="A952" t="s">
        <v>1288</v>
      </c>
      <c r="B952" t="s">
        <v>95</v>
      </c>
      <c r="C952">
        <v>6</v>
      </c>
      <c r="D952" t="s">
        <v>3234</v>
      </c>
      <c r="E952">
        <v>86</v>
      </c>
      <c r="F952">
        <v>18</v>
      </c>
      <c r="G952">
        <v>68</v>
      </c>
      <c r="H952" t="s">
        <v>196</v>
      </c>
      <c r="I952" t="s">
        <v>3490</v>
      </c>
      <c r="J952" t="s">
        <v>2889</v>
      </c>
    </row>
    <row r="953" spans="1:10" x14ac:dyDescent="0.25">
      <c r="A953" t="s">
        <v>1288</v>
      </c>
      <c r="B953" t="s">
        <v>95</v>
      </c>
      <c r="C953">
        <v>6</v>
      </c>
      <c r="D953" t="s">
        <v>3236</v>
      </c>
      <c r="E953">
        <v>78</v>
      </c>
      <c r="F953">
        <v>27</v>
      </c>
      <c r="G953">
        <v>51</v>
      </c>
      <c r="H953" t="s">
        <v>3494</v>
      </c>
      <c r="I953" t="s">
        <v>3490</v>
      </c>
      <c r="J953" t="s">
        <v>2889</v>
      </c>
    </row>
    <row r="954" spans="1:10" x14ac:dyDescent="0.25">
      <c r="A954" t="s">
        <v>1288</v>
      </c>
      <c r="B954" t="s">
        <v>95</v>
      </c>
      <c r="C954">
        <v>6</v>
      </c>
      <c r="D954" t="s">
        <v>3238</v>
      </c>
      <c r="E954">
        <v>92</v>
      </c>
      <c r="F954">
        <v>29</v>
      </c>
      <c r="G954">
        <v>63</v>
      </c>
      <c r="H954" t="s">
        <v>3495</v>
      </c>
      <c r="I954" t="s">
        <v>3490</v>
      </c>
      <c r="J954" t="s">
        <v>2889</v>
      </c>
    </row>
    <row r="955" spans="1:10" x14ac:dyDescent="0.25">
      <c r="A955" t="s">
        <v>1288</v>
      </c>
      <c r="B955" t="s">
        <v>95</v>
      </c>
      <c r="C955">
        <v>6</v>
      </c>
      <c r="D955" t="s">
        <v>3240</v>
      </c>
      <c r="E955">
        <v>77</v>
      </c>
      <c r="F955">
        <v>24</v>
      </c>
      <c r="G955">
        <v>53</v>
      </c>
      <c r="H955" t="s">
        <v>3494</v>
      </c>
      <c r="I955" t="s">
        <v>3490</v>
      </c>
      <c r="J955" t="s">
        <v>2889</v>
      </c>
    </row>
    <row r="956" spans="1:10" x14ac:dyDescent="0.25">
      <c r="A956" t="s">
        <v>1288</v>
      </c>
      <c r="B956" t="s">
        <v>95</v>
      </c>
      <c r="C956">
        <v>6</v>
      </c>
      <c r="D956" t="s">
        <v>3242</v>
      </c>
      <c r="E956">
        <v>78</v>
      </c>
      <c r="F956">
        <v>26</v>
      </c>
      <c r="G956">
        <v>52</v>
      </c>
      <c r="H956" t="s">
        <v>3494</v>
      </c>
      <c r="I956" t="s">
        <v>3490</v>
      </c>
      <c r="J956" t="s">
        <v>2889</v>
      </c>
    </row>
    <row r="957" spans="1:10" x14ac:dyDescent="0.25">
      <c r="A957" t="s">
        <v>1294</v>
      </c>
      <c r="B957" t="s">
        <v>30</v>
      </c>
      <c r="C957">
        <v>8</v>
      </c>
      <c r="D957" t="s">
        <v>3354</v>
      </c>
      <c r="E957">
        <v>76</v>
      </c>
      <c r="F957">
        <v>28</v>
      </c>
      <c r="G957">
        <v>48</v>
      </c>
      <c r="H957" t="s">
        <v>3494</v>
      </c>
      <c r="I957" t="s">
        <v>3490</v>
      </c>
      <c r="J957" t="s">
        <v>2895</v>
      </c>
    </row>
    <row r="958" spans="1:10" x14ac:dyDescent="0.25">
      <c r="A958" t="s">
        <v>1294</v>
      </c>
      <c r="B958" t="s">
        <v>30</v>
      </c>
      <c r="C958">
        <v>8</v>
      </c>
      <c r="D958" t="s">
        <v>3356</v>
      </c>
      <c r="E958">
        <v>84</v>
      </c>
      <c r="F958">
        <v>21</v>
      </c>
      <c r="G958">
        <v>63</v>
      </c>
      <c r="H958" t="s">
        <v>196</v>
      </c>
      <c r="I958" t="s">
        <v>3490</v>
      </c>
      <c r="J958" t="s">
        <v>2895</v>
      </c>
    </row>
    <row r="959" spans="1:10" x14ac:dyDescent="0.25">
      <c r="A959" t="s">
        <v>1294</v>
      </c>
      <c r="B959" t="s">
        <v>30</v>
      </c>
      <c r="C959">
        <v>8</v>
      </c>
      <c r="D959" t="s">
        <v>3358</v>
      </c>
      <c r="E959">
        <v>80</v>
      </c>
      <c r="F959">
        <v>16</v>
      </c>
      <c r="G959">
        <v>64</v>
      </c>
      <c r="H959" t="s">
        <v>196</v>
      </c>
      <c r="I959" t="s">
        <v>3490</v>
      </c>
      <c r="J959" t="s">
        <v>2895</v>
      </c>
    </row>
    <row r="960" spans="1:10" x14ac:dyDescent="0.25">
      <c r="A960" t="s">
        <v>1294</v>
      </c>
      <c r="B960" t="s">
        <v>30</v>
      </c>
      <c r="C960">
        <v>8</v>
      </c>
      <c r="D960" t="s">
        <v>3360</v>
      </c>
      <c r="E960">
        <v>83</v>
      </c>
      <c r="F960">
        <v>21</v>
      </c>
      <c r="G960">
        <v>62</v>
      </c>
      <c r="H960" t="s">
        <v>196</v>
      </c>
      <c r="I960" t="s">
        <v>3490</v>
      </c>
      <c r="J960" t="s">
        <v>2895</v>
      </c>
    </row>
    <row r="961" spans="1:10" x14ac:dyDescent="0.25">
      <c r="A961" t="s">
        <v>1294</v>
      </c>
      <c r="B961" t="s">
        <v>30</v>
      </c>
      <c r="C961">
        <v>8</v>
      </c>
      <c r="D961" t="s">
        <v>3362</v>
      </c>
      <c r="E961">
        <v>68</v>
      </c>
      <c r="F961">
        <v>26</v>
      </c>
      <c r="G961">
        <v>42</v>
      </c>
      <c r="H961" t="s">
        <v>3489</v>
      </c>
      <c r="I961" t="s">
        <v>3490</v>
      </c>
      <c r="J961" t="s">
        <v>2895</v>
      </c>
    </row>
    <row r="962" spans="1:10" x14ac:dyDescent="0.25">
      <c r="A962" t="s">
        <v>1299</v>
      </c>
      <c r="B962" t="s">
        <v>63</v>
      </c>
      <c r="C962">
        <v>6</v>
      </c>
      <c r="D962" t="s">
        <v>3414</v>
      </c>
      <c r="E962">
        <v>50</v>
      </c>
      <c r="F962">
        <v>15</v>
      </c>
      <c r="G962">
        <v>35</v>
      </c>
      <c r="H962" t="s">
        <v>3493</v>
      </c>
      <c r="I962" t="s">
        <v>3490</v>
      </c>
      <c r="J962" t="s">
        <v>2932</v>
      </c>
    </row>
    <row r="963" spans="1:10" x14ac:dyDescent="0.25">
      <c r="A963" t="s">
        <v>1299</v>
      </c>
      <c r="B963" t="s">
        <v>63</v>
      </c>
      <c r="C963">
        <v>6</v>
      </c>
      <c r="D963" t="s">
        <v>3416</v>
      </c>
      <c r="E963">
        <v>84</v>
      </c>
      <c r="F963">
        <v>30</v>
      </c>
      <c r="G963">
        <v>54</v>
      </c>
      <c r="H963" t="s">
        <v>196</v>
      </c>
      <c r="I963" t="s">
        <v>3490</v>
      </c>
      <c r="J963" t="s">
        <v>2932</v>
      </c>
    </row>
    <row r="964" spans="1:10" x14ac:dyDescent="0.25">
      <c r="A964" t="s">
        <v>1299</v>
      </c>
      <c r="B964" t="s">
        <v>63</v>
      </c>
      <c r="C964">
        <v>6</v>
      </c>
      <c r="D964" t="s">
        <v>3418</v>
      </c>
      <c r="E964">
        <v>45</v>
      </c>
      <c r="F964">
        <v>22</v>
      </c>
      <c r="G964">
        <v>23</v>
      </c>
      <c r="H964" t="s">
        <v>3491</v>
      </c>
      <c r="I964" t="s">
        <v>3492</v>
      </c>
      <c r="J964" t="s">
        <v>2932</v>
      </c>
    </row>
    <row r="965" spans="1:10" x14ac:dyDescent="0.25">
      <c r="A965" t="s">
        <v>1299</v>
      </c>
      <c r="B965" t="s">
        <v>63</v>
      </c>
      <c r="C965">
        <v>6</v>
      </c>
      <c r="D965" t="s">
        <v>3420</v>
      </c>
      <c r="E965">
        <v>43</v>
      </c>
      <c r="F965">
        <v>11</v>
      </c>
      <c r="G965">
        <v>32</v>
      </c>
      <c r="H965" t="s">
        <v>3491</v>
      </c>
      <c r="I965" t="s">
        <v>3492</v>
      </c>
      <c r="J965" t="s">
        <v>2932</v>
      </c>
    </row>
    <row r="966" spans="1:10" x14ac:dyDescent="0.25">
      <c r="A966" t="s">
        <v>1299</v>
      </c>
      <c r="B966" t="s">
        <v>63</v>
      </c>
      <c r="C966">
        <v>6</v>
      </c>
      <c r="D966" t="s">
        <v>3422</v>
      </c>
      <c r="E966">
        <v>47</v>
      </c>
      <c r="F966">
        <v>10</v>
      </c>
      <c r="G966">
        <v>37</v>
      </c>
      <c r="H966" t="s">
        <v>3491</v>
      </c>
      <c r="I966" t="s">
        <v>3492</v>
      </c>
      <c r="J966" t="s">
        <v>2932</v>
      </c>
    </row>
    <row r="967" spans="1:10" x14ac:dyDescent="0.25">
      <c r="A967" t="s">
        <v>1305</v>
      </c>
      <c r="B967" t="s">
        <v>75</v>
      </c>
      <c r="C967">
        <v>8</v>
      </c>
      <c r="D967" t="s">
        <v>3054</v>
      </c>
      <c r="E967">
        <v>54</v>
      </c>
      <c r="F967">
        <v>19</v>
      </c>
      <c r="G967">
        <v>35</v>
      </c>
      <c r="H967" t="s">
        <v>3493</v>
      </c>
      <c r="I967" t="s">
        <v>3490</v>
      </c>
      <c r="J967" t="s">
        <v>2961</v>
      </c>
    </row>
    <row r="968" spans="1:10" x14ac:dyDescent="0.25">
      <c r="A968" t="s">
        <v>1305</v>
      </c>
      <c r="B968" t="s">
        <v>75</v>
      </c>
      <c r="C968">
        <v>8</v>
      </c>
      <c r="D968" t="s">
        <v>3056</v>
      </c>
      <c r="E968">
        <v>83</v>
      </c>
      <c r="F968">
        <v>22</v>
      </c>
      <c r="G968">
        <v>61</v>
      </c>
      <c r="H968" t="s">
        <v>196</v>
      </c>
      <c r="I968" t="s">
        <v>3490</v>
      </c>
      <c r="J968" t="s">
        <v>2961</v>
      </c>
    </row>
    <row r="969" spans="1:10" x14ac:dyDescent="0.25">
      <c r="A969" t="s">
        <v>1305</v>
      </c>
      <c r="B969" t="s">
        <v>75</v>
      </c>
      <c r="C969">
        <v>8</v>
      </c>
      <c r="D969" t="s">
        <v>3058</v>
      </c>
      <c r="E969">
        <v>68</v>
      </c>
      <c r="F969">
        <v>12</v>
      </c>
      <c r="G969">
        <v>56</v>
      </c>
      <c r="H969" t="s">
        <v>3489</v>
      </c>
      <c r="I969" t="s">
        <v>3490</v>
      </c>
      <c r="J969" t="s">
        <v>2961</v>
      </c>
    </row>
    <row r="970" spans="1:10" x14ac:dyDescent="0.25">
      <c r="A970" t="s">
        <v>1305</v>
      </c>
      <c r="B970" t="s">
        <v>75</v>
      </c>
      <c r="C970">
        <v>8</v>
      </c>
      <c r="D970" t="s">
        <v>3060</v>
      </c>
      <c r="E970">
        <v>68</v>
      </c>
      <c r="F970">
        <v>28</v>
      </c>
      <c r="G970">
        <v>40</v>
      </c>
      <c r="H970" t="s">
        <v>3489</v>
      </c>
      <c r="I970" t="s">
        <v>3490</v>
      </c>
      <c r="J970" t="s">
        <v>2961</v>
      </c>
    </row>
    <row r="971" spans="1:10" x14ac:dyDescent="0.25">
      <c r="A971" t="s">
        <v>1305</v>
      </c>
      <c r="B971" t="s">
        <v>75</v>
      </c>
      <c r="C971">
        <v>8</v>
      </c>
      <c r="D971" t="s">
        <v>3062</v>
      </c>
      <c r="E971">
        <v>62</v>
      </c>
      <c r="F971">
        <v>13</v>
      </c>
      <c r="G971">
        <v>49</v>
      </c>
      <c r="H971" t="s">
        <v>3489</v>
      </c>
      <c r="I971" t="s">
        <v>3490</v>
      </c>
      <c r="J971" t="s">
        <v>2961</v>
      </c>
    </row>
    <row r="972" spans="1:10" x14ac:dyDescent="0.25">
      <c r="A972" t="s">
        <v>1311</v>
      </c>
      <c r="B972" t="s">
        <v>95</v>
      </c>
      <c r="C972">
        <v>6</v>
      </c>
      <c r="D972" t="s">
        <v>3234</v>
      </c>
      <c r="E972">
        <v>54</v>
      </c>
      <c r="F972">
        <v>12</v>
      </c>
      <c r="G972">
        <v>42</v>
      </c>
      <c r="H972" t="s">
        <v>3493</v>
      </c>
      <c r="I972" t="s">
        <v>3490</v>
      </c>
      <c r="J972" t="s">
        <v>2889</v>
      </c>
    </row>
    <row r="973" spans="1:10" x14ac:dyDescent="0.25">
      <c r="A973" t="s">
        <v>1311</v>
      </c>
      <c r="B973" t="s">
        <v>95</v>
      </c>
      <c r="C973">
        <v>6</v>
      </c>
      <c r="D973" t="s">
        <v>3236</v>
      </c>
      <c r="E973">
        <v>48</v>
      </c>
      <c r="F973">
        <v>15</v>
      </c>
      <c r="G973">
        <v>33</v>
      </c>
      <c r="H973" t="s">
        <v>3491</v>
      </c>
      <c r="I973" t="s">
        <v>3492</v>
      </c>
      <c r="J973" t="s">
        <v>2889</v>
      </c>
    </row>
    <row r="974" spans="1:10" x14ac:dyDescent="0.25">
      <c r="A974" t="s">
        <v>1311</v>
      </c>
      <c r="B974" t="s">
        <v>95</v>
      </c>
      <c r="C974">
        <v>6</v>
      </c>
      <c r="D974" t="s">
        <v>3238</v>
      </c>
      <c r="E974">
        <v>53</v>
      </c>
      <c r="F974">
        <v>28</v>
      </c>
      <c r="G974">
        <v>25</v>
      </c>
      <c r="H974" t="s">
        <v>3493</v>
      </c>
      <c r="I974" t="s">
        <v>3490</v>
      </c>
      <c r="J974" t="s">
        <v>2889</v>
      </c>
    </row>
    <row r="975" spans="1:10" x14ac:dyDescent="0.25">
      <c r="A975" t="s">
        <v>1311</v>
      </c>
      <c r="B975" t="s">
        <v>95</v>
      </c>
      <c r="C975">
        <v>6</v>
      </c>
      <c r="D975" t="s">
        <v>3240</v>
      </c>
      <c r="E975">
        <v>79</v>
      </c>
      <c r="F975">
        <v>10</v>
      </c>
      <c r="G975">
        <v>69</v>
      </c>
      <c r="H975" t="s">
        <v>3494</v>
      </c>
      <c r="I975" t="s">
        <v>3490</v>
      </c>
      <c r="J975" t="s">
        <v>2889</v>
      </c>
    </row>
    <row r="976" spans="1:10" x14ac:dyDescent="0.25">
      <c r="A976" t="s">
        <v>1311</v>
      </c>
      <c r="B976" t="s">
        <v>95</v>
      </c>
      <c r="C976">
        <v>6</v>
      </c>
      <c r="D976" t="s">
        <v>3242</v>
      </c>
      <c r="E976">
        <v>75</v>
      </c>
      <c r="F976">
        <v>14</v>
      </c>
      <c r="G976">
        <v>61</v>
      </c>
      <c r="H976" t="s">
        <v>3494</v>
      </c>
      <c r="I976" t="s">
        <v>3490</v>
      </c>
      <c r="J976" t="s">
        <v>2889</v>
      </c>
    </row>
    <row r="977" spans="1:10" x14ac:dyDescent="0.25">
      <c r="A977" t="s">
        <v>1316</v>
      </c>
      <c r="B977" t="s">
        <v>212</v>
      </c>
      <c r="C977">
        <v>6</v>
      </c>
      <c r="D977" t="s">
        <v>3474</v>
      </c>
      <c r="E977">
        <v>58</v>
      </c>
      <c r="F977">
        <v>28</v>
      </c>
      <c r="G977">
        <v>30</v>
      </c>
      <c r="H977" t="s">
        <v>3493</v>
      </c>
      <c r="I977" t="s">
        <v>3490</v>
      </c>
      <c r="J977" t="s">
        <v>3001</v>
      </c>
    </row>
    <row r="978" spans="1:10" x14ac:dyDescent="0.25">
      <c r="A978" t="s">
        <v>1316</v>
      </c>
      <c r="B978" t="s">
        <v>212</v>
      </c>
      <c r="C978">
        <v>6</v>
      </c>
      <c r="D978" t="s">
        <v>3476</v>
      </c>
      <c r="E978">
        <v>95</v>
      </c>
      <c r="F978">
        <v>28</v>
      </c>
      <c r="G978">
        <v>67</v>
      </c>
      <c r="H978" t="s">
        <v>3495</v>
      </c>
      <c r="I978" t="s">
        <v>3490</v>
      </c>
      <c r="J978" t="s">
        <v>3001</v>
      </c>
    </row>
    <row r="979" spans="1:10" x14ac:dyDescent="0.25">
      <c r="A979" t="s">
        <v>1316</v>
      </c>
      <c r="B979" t="s">
        <v>212</v>
      </c>
      <c r="C979">
        <v>6</v>
      </c>
      <c r="D979" t="s">
        <v>3478</v>
      </c>
      <c r="E979">
        <v>83</v>
      </c>
      <c r="F979">
        <v>21</v>
      </c>
      <c r="G979">
        <v>62</v>
      </c>
      <c r="H979" t="s">
        <v>196</v>
      </c>
      <c r="I979" t="s">
        <v>3490</v>
      </c>
      <c r="J979" t="s">
        <v>3001</v>
      </c>
    </row>
    <row r="980" spans="1:10" x14ac:dyDescent="0.25">
      <c r="A980" t="s">
        <v>1316</v>
      </c>
      <c r="B980" t="s">
        <v>212</v>
      </c>
      <c r="C980">
        <v>6</v>
      </c>
      <c r="D980" t="s">
        <v>3480</v>
      </c>
      <c r="E980">
        <v>35</v>
      </c>
      <c r="F980">
        <v>10</v>
      </c>
      <c r="G980">
        <v>25</v>
      </c>
      <c r="H980" t="s">
        <v>3491</v>
      </c>
      <c r="I980" t="s">
        <v>3492</v>
      </c>
      <c r="J980" t="s">
        <v>3001</v>
      </c>
    </row>
    <row r="981" spans="1:10" x14ac:dyDescent="0.25">
      <c r="A981" t="s">
        <v>1316</v>
      </c>
      <c r="B981" t="s">
        <v>212</v>
      </c>
      <c r="C981">
        <v>6</v>
      </c>
      <c r="D981" t="s">
        <v>3482</v>
      </c>
      <c r="E981">
        <v>51</v>
      </c>
      <c r="F981">
        <v>19</v>
      </c>
      <c r="G981">
        <v>32</v>
      </c>
      <c r="H981" t="s">
        <v>3493</v>
      </c>
      <c r="I981" t="s">
        <v>3490</v>
      </c>
      <c r="J981" t="s">
        <v>3001</v>
      </c>
    </row>
    <row r="982" spans="1:10" x14ac:dyDescent="0.25">
      <c r="A982" t="s">
        <v>1321</v>
      </c>
      <c r="B982" t="s">
        <v>159</v>
      </c>
      <c r="C982">
        <v>8</v>
      </c>
      <c r="D982" t="s">
        <v>3114</v>
      </c>
      <c r="E982">
        <v>62</v>
      </c>
      <c r="F982">
        <v>25</v>
      </c>
      <c r="G982">
        <v>37</v>
      </c>
      <c r="H982" t="s">
        <v>3489</v>
      </c>
      <c r="I982" t="s">
        <v>3490</v>
      </c>
      <c r="J982" t="s">
        <v>2902</v>
      </c>
    </row>
    <row r="983" spans="1:10" x14ac:dyDescent="0.25">
      <c r="A983" t="s">
        <v>1321</v>
      </c>
      <c r="B983" t="s">
        <v>159</v>
      </c>
      <c r="C983">
        <v>8</v>
      </c>
      <c r="D983" t="s">
        <v>3116</v>
      </c>
      <c r="E983">
        <v>97</v>
      </c>
      <c r="F983">
        <v>30</v>
      </c>
      <c r="G983">
        <v>67</v>
      </c>
      <c r="H983" t="s">
        <v>3495</v>
      </c>
      <c r="I983" t="s">
        <v>3490</v>
      </c>
      <c r="J983" t="s">
        <v>2902</v>
      </c>
    </row>
    <row r="984" spans="1:10" x14ac:dyDescent="0.25">
      <c r="A984" t="s">
        <v>1321</v>
      </c>
      <c r="B984" t="s">
        <v>159</v>
      </c>
      <c r="C984">
        <v>8</v>
      </c>
      <c r="D984" t="s">
        <v>3118</v>
      </c>
      <c r="E984">
        <v>58</v>
      </c>
      <c r="F984">
        <v>26</v>
      </c>
      <c r="G984">
        <v>32</v>
      </c>
      <c r="H984" t="s">
        <v>3493</v>
      </c>
      <c r="I984" t="s">
        <v>3490</v>
      </c>
      <c r="J984" t="s">
        <v>2902</v>
      </c>
    </row>
    <row r="985" spans="1:10" x14ac:dyDescent="0.25">
      <c r="A985" t="s">
        <v>1321</v>
      </c>
      <c r="B985" t="s">
        <v>159</v>
      </c>
      <c r="C985">
        <v>8</v>
      </c>
      <c r="D985" t="s">
        <v>3120</v>
      </c>
      <c r="E985">
        <v>70</v>
      </c>
      <c r="F985">
        <v>11</v>
      </c>
      <c r="G985">
        <v>59</v>
      </c>
      <c r="H985" t="s">
        <v>3494</v>
      </c>
      <c r="I985" t="s">
        <v>3490</v>
      </c>
      <c r="J985" t="s">
        <v>2902</v>
      </c>
    </row>
    <row r="986" spans="1:10" x14ac:dyDescent="0.25">
      <c r="A986" t="s">
        <v>1321</v>
      </c>
      <c r="B986" t="s">
        <v>159</v>
      </c>
      <c r="C986">
        <v>8</v>
      </c>
      <c r="D986" t="s">
        <v>3122</v>
      </c>
      <c r="E986">
        <v>36</v>
      </c>
      <c r="F986">
        <v>16</v>
      </c>
      <c r="G986">
        <v>20</v>
      </c>
      <c r="H986" t="s">
        <v>3491</v>
      </c>
      <c r="I986" t="s">
        <v>3492</v>
      </c>
      <c r="J986" t="s">
        <v>2902</v>
      </c>
    </row>
    <row r="987" spans="1:10" x14ac:dyDescent="0.25">
      <c r="A987" t="s">
        <v>1327</v>
      </c>
      <c r="B987" t="s">
        <v>30</v>
      </c>
      <c r="C987">
        <v>4</v>
      </c>
      <c r="D987" t="s">
        <v>3334</v>
      </c>
      <c r="E987">
        <v>74</v>
      </c>
      <c r="F987">
        <v>28</v>
      </c>
      <c r="G987">
        <v>46</v>
      </c>
      <c r="H987" t="s">
        <v>3494</v>
      </c>
      <c r="I987" t="s">
        <v>3490</v>
      </c>
      <c r="J987" t="s">
        <v>2895</v>
      </c>
    </row>
    <row r="988" spans="1:10" x14ac:dyDescent="0.25">
      <c r="A988" t="s">
        <v>1327</v>
      </c>
      <c r="B988" t="s">
        <v>30</v>
      </c>
      <c r="C988">
        <v>4</v>
      </c>
      <c r="D988" t="s">
        <v>3336</v>
      </c>
      <c r="E988">
        <v>50</v>
      </c>
      <c r="F988">
        <v>25</v>
      </c>
      <c r="G988">
        <v>25</v>
      </c>
      <c r="H988" t="s">
        <v>3493</v>
      </c>
      <c r="I988" t="s">
        <v>3490</v>
      </c>
      <c r="J988" t="s">
        <v>2895</v>
      </c>
    </row>
    <row r="989" spans="1:10" x14ac:dyDescent="0.25">
      <c r="A989" t="s">
        <v>1327</v>
      </c>
      <c r="B989" t="s">
        <v>30</v>
      </c>
      <c r="C989">
        <v>4</v>
      </c>
      <c r="D989" t="s">
        <v>3338</v>
      </c>
      <c r="E989">
        <v>79</v>
      </c>
      <c r="F989">
        <v>16</v>
      </c>
      <c r="G989">
        <v>63</v>
      </c>
      <c r="H989" t="s">
        <v>3494</v>
      </c>
      <c r="I989" t="s">
        <v>3490</v>
      </c>
      <c r="J989" t="s">
        <v>2895</v>
      </c>
    </row>
    <row r="990" spans="1:10" x14ac:dyDescent="0.25">
      <c r="A990" t="s">
        <v>1327</v>
      </c>
      <c r="B990" t="s">
        <v>30</v>
      </c>
      <c r="C990">
        <v>4</v>
      </c>
      <c r="D990" t="s">
        <v>3340</v>
      </c>
      <c r="E990">
        <v>79</v>
      </c>
      <c r="F990">
        <v>28</v>
      </c>
      <c r="G990">
        <v>51</v>
      </c>
      <c r="H990" t="s">
        <v>3494</v>
      </c>
      <c r="I990" t="s">
        <v>3490</v>
      </c>
      <c r="J990" t="s">
        <v>2895</v>
      </c>
    </row>
    <row r="991" spans="1:10" x14ac:dyDescent="0.25">
      <c r="A991" t="s">
        <v>1327</v>
      </c>
      <c r="B991" t="s">
        <v>30</v>
      </c>
      <c r="C991">
        <v>4</v>
      </c>
      <c r="D991" t="s">
        <v>3342</v>
      </c>
      <c r="E991">
        <v>70</v>
      </c>
      <c r="F991">
        <v>12</v>
      </c>
      <c r="G991">
        <v>58</v>
      </c>
      <c r="H991" t="s">
        <v>3494</v>
      </c>
      <c r="I991" t="s">
        <v>3490</v>
      </c>
      <c r="J991" t="s">
        <v>2895</v>
      </c>
    </row>
    <row r="992" spans="1:10" x14ac:dyDescent="0.25">
      <c r="A992" t="s">
        <v>1332</v>
      </c>
      <c r="B992" t="s">
        <v>63</v>
      </c>
      <c r="C992">
        <v>8</v>
      </c>
      <c r="D992" t="s">
        <v>3414</v>
      </c>
      <c r="E992">
        <v>42</v>
      </c>
      <c r="F992">
        <v>13</v>
      </c>
      <c r="G992">
        <v>29</v>
      </c>
      <c r="H992" t="s">
        <v>3491</v>
      </c>
      <c r="I992" t="s">
        <v>3492</v>
      </c>
      <c r="J992" t="s">
        <v>2932</v>
      </c>
    </row>
    <row r="993" spans="1:10" x14ac:dyDescent="0.25">
      <c r="A993" t="s">
        <v>1332</v>
      </c>
      <c r="B993" t="s">
        <v>63</v>
      </c>
      <c r="C993">
        <v>8</v>
      </c>
      <c r="D993" t="s">
        <v>3416</v>
      </c>
      <c r="E993">
        <v>45</v>
      </c>
      <c r="F993">
        <v>22</v>
      </c>
      <c r="G993">
        <v>23</v>
      </c>
      <c r="H993" t="s">
        <v>3491</v>
      </c>
      <c r="I993" t="s">
        <v>3492</v>
      </c>
      <c r="J993" t="s">
        <v>2932</v>
      </c>
    </row>
    <row r="994" spans="1:10" x14ac:dyDescent="0.25">
      <c r="A994" t="s">
        <v>1332</v>
      </c>
      <c r="B994" t="s">
        <v>63</v>
      </c>
      <c r="C994">
        <v>8</v>
      </c>
      <c r="D994" t="s">
        <v>3418</v>
      </c>
      <c r="E994">
        <v>59</v>
      </c>
      <c r="F994">
        <v>30</v>
      </c>
      <c r="G994">
        <v>29</v>
      </c>
      <c r="H994" t="s">
        <v>3493</v>
      </c>
      <c r="I994" t="s">
        <v>3490</v>
      </c>
      <c r="J994" t="s">
        <v>2932</v>
      </c>
    </row>
    <row r="995" spans="1:10" x14ac:dyDescent="0.25">
      <c r="A995" t="s">
        <v>1332</v>
      </c>
      <c r="B995" t="s">
        <v>63</v>
      </c>
      <c r="C995">
        <v>8</v>
      </c>
      <c r="D995" t="s">
        <v>3420</v>
      </c>
      <c r="E995">
        <v>41</v>
      </c>
      <c r="F995">
        <v>14</v>
      </c>
      <c r="G995">
        <v>27</v>
      </c>
      <c r="H995" t="s">
        <v>3491</v>
      </c>
      <c r="I995" t="s">
        <v>3492</v>
      </c>
      <c r="J995" t="s">
        <v>2932</v>
      </c>
    </row>
    <row r="996" spans="1:10" x14ac:dyDescent="0.25">
      <c r="A996" t="s">
        <v>1332</v>
      </c>
      <c r="B996" t="s">
        <v>63</v>
      </c>
      <c r="C996">
        <v>8</v>
      </c>
      <c r="D996" t="s">
        <v>3422</v>
      </c>
      <c r="E996">
        <v>46</v>
      </c>
      <c r="F996">
        <v>16</v>
      </c>
      <c r="G996">
        <v>30</v>
      </c>
      <c r="H996" t="s">
        <v>3491</v>
      </c>
      <c r="I996" t="s">
        <v>3492</v>
      </c>
      <c r="J996" t="s">
        <v>2932</v>
      </c>
    </row>
    <row r="997" spans="1:10" x14ac:dyDescent="0.25">
      <c r="A997" t="s">
        <v>1337</v>
      </c>
      <c r="B997" t="s">
        <v>212</v>
      </c>
      <c r="C997">
        <v>8</v>
      </c>
      <c r="D997" t="s">
        <v>3474</v>
      </c>
      <c r="E997">
        <v>76</v>
      </c>
      <c r="F997">
        <v>13</v>
      </c>
      <c r="G997">
        <v>63</v>
      </c>
      <c r="H997" t="s">
        <v>3494</v>
      </c>
      <c r="I997" t="s">
        <v>3490</v>
      </c>
      <c r="J997" t="s">
        <v>3001</v>
      </c>
    </row>
    <row r="998" spans="1:10" x14ac:dyDescent="0.25">
      <c r="A998" t="s">
        <v>1337</v>
      </c>
      <c r="B998" t="s">
        <v>212</v>
      </c>
      <c r="C998">
        <v>8</v>
      </c>
      <c r="D998" t="s">
        <v>3476</v>
      </c>
      <c r="E998">
        <v>70</v>
      </c>
      <c r="F998">
        <v>24</v>
      </c>
      <c r="G998">
        <v>46</v>
      </c>
      <c r="H998" t="s">
        <v>3494</v>
      </c>
      <c r="I998" t="s">
        <v>3490</v>
      </c>
      <c r="J998" t="s">
        <v>3001</v>
      </c>
    </row>
    <row r="999" spans="1:10" x14ac:dyDescent="0.25">
      <c r="A999" t="s">
        <v>1337</v>
      </c>
      <c r="B999" t="s">
        <v>212</v>
      </c>
      <c r="C999">
        <v>8</v>
      </c>
      <c r="D999" t="s">
        <v>3478</v>
      </c>
      <c r="E999">
        <v>92</v>
      </c>
      <c r="F999">
        <v>24</v>
      </c>
      <c r="G999">
        <v>68</v>
      </c>
      <c r="H999" t="s">
        <v>3495</v>
      </c>
      <c r="I999" t="s">
        <v>3490</v>
      </c>
      <c r="J999" t="s">
        <v>3001</v>
      </c>
    </row>
    <row r="1000" spans="1:10" x14ac:dyDescent="0.25">
      <c r="A1000" t="s">
        <v>1337</v>
      </c>
      <c r="B1000" t="s">
        <v>212</v>
      </c>
      <c r="C1000">
        <v>8</v>
      </c>
      <c r="D1000" t="s">
        <v>3480</v>
      </c>
      <c r="E1000">
        <v>37</v>
      </c>
      <c r="F1000">
        <v>14</v>
      </c>
      <c r="G1000">
        <v>23</v>
      </c>
      <c r="H1000" t="s">
        <v>3491</v>
      </c>
      <c r="I1000" t="s">
        <v>3492</v>
      </c>
      <c r="J1000" t="s">
        <v>3001</v>
      </c>
    </row>
    <row r="1001" spans="1:10" x14ac:dyDescent="0.25">
      <c r="A1001" t="s">
        <v>1337</v>
      </c>
      <c r="B1001" t="s">
        <v>212</v>
      </c>
      <c r="C1001">
        <v>8</v>
      </c>
      <c r="D1001" t="s">
        <v>3482</v>
      </c>
      <c r="E1001">
        <v>71</v>
      </c>
      <c r="F1001">
        <v>13</v>
      </c>
      <c r="G1001">
        <v>58</v>
      </c>
      <c r="H1001" t="s">
        <v>3494</v>
      </c>
      <c r="I1001" t="s">
        <v>3490</v>
      </c>
      <c r="J1001" t="s">
        <v>3001</v>
      </c>
    </row>
    <row r="1002" spans="1:10" x14ac:dyDescent="0.25">
      <c r="A1002" t="s">
        <v>1342</v>
      </c>
      <c r="B1002" t="s">
        <v>63</v>
      </c>
      <c r="C1002">
        <v>6</v>
      </c>
      <c r="D1002" t="s">
        <v>3414</v>
      </c>
      <c r="E1002">
        <v>39</v>
      </c>
      <c r="F1002">
        <v>12</v>
      </c>
      <c r="G1002">
        <v>27</v>
      </c>
      <c r="H1002" t="s">
        <v>3491</v>
      </c>
      <c r="I1002" t="s">
        <v>3492</v>
      </c>
      <c r="J1002" t="s">
        <v>2932</v>
      </c>
    </row>
    <row r="1003" spans="1:10" x14ac:dyDescent="0.25">
      <c r="A1003" t="s">
        <v>1342</v>
      </c>
      <c r="B1003" t="s">
        <v>63</v>
      </c>
      <c r="C1003">
        <v>6</v>
      </c>
      <c r="D1003" t="s">
        <v>3416</v>
      </c>
      <c r="E1003">
        <v>57</v>
      </c>
      <c r="F1003">
        <v>13</v>
      </c>
      <c r="G1003">
        <v>44</v>
      </c>
      <c r="H1003" t="s">
        <v>3493</v>
      </c>
      <c r="I1003" t="s">
        <v>3490</v>
      </c>
      <c r="J1003" t="s">
        <v>2932</v>
      </c>
    </row>
    <row r="1004" spans="1:10" x14ac:dyDescent="0.25">
      <c r="A1004" t="s">
        <v>1342</v>
      </c>
      <c r="B1004" t="s">
        <v>63</v>
      </c>
      <c r="C1004">
        <v>6</v>
      </c>
      <c r="D1004" t="s">
        <v>3418</v>
      </c>
      <c r="E1004">
        <v>48</v>
      </c>
      <c r="F1004">
        <v>22</v>
      </c>
      <c r="G1004">
        <v>26</v>
      </c>
      <c r="H1004" t="s">
        <v>3491</v>
      </c>
      <c r="I1004" t="s">
        <v>3492</v>
      </c>
      <c r="J1004" t="s">
        <v>2932</v>
      </c>
    </row>
    <row r="1005" spans="1:10" x14ac:dyDescent="0.25">
      <c r="A1005" t="s">
        <v>1342</v>
      </c>
      <c r="B1005" t="s">
        <v>63</v>
      </c>
      <c r="C1005">
        <v>6</v>
      </c>
      <c r="D1005" t="s">
        <v>3420</v>
      </c>
      <c r="E1005">
        <v>45</v>
      </c>
      <c r="F1005">
        <v>14</v>
      </c>
      <c r="G1005">
        <v>31</v>
      </c>
      <c r="H1005" t="s">
        <v>3491</v>
      </c>
      <c r="I1005" t="s">
        <v>3492</v>
      </c>
      <c r="J1005" t="s">
        <v>2932</v>
      </c>
    </row>
    <row r="1006" spans="1:10" x14ac:dyDescent="0.25">
      <c r="A1006" t="s">
        <v>1342</v>
      </c>
      <c r="B1006" t="s">
        <v>63</v>
      </c>
      <c r="C1006">
        <v>6</v>
      </c>
      <c r="D1006" t="s">
        <v>3422</v>
      </c>
      <c r="E1006">
        <v>38</v>
      </c>
      <c r="F1006">
        <v>11</v>
      </c>
      <c r="G1006">
        <v>27</v>
      </c>
      <c r="H1006" t="s">
        <v>3491</v>
      </c>
      <c r="I1006" t="s">
        <v>3492</v>
      </c>
      <c r="J1006" t="s">
        <v>2932</v>
      </c>
    </row>
    <row r="1007" spans="1:10" x14ac:dyDescent="0.25">
      <c r="A1007" t="s">
        <v>1347</v>
      </c>
      <c r="B1007" t="s">
        <v>95</v>
      </c>
      <c r="C1007">
        <v>8</v>
      </c>
      <c r="D1007" t="s">
        <v>3234</v>
      </c>
      <c r="E1007">
        <v>95</v>
      </c>
      <c r="F1007">
        <v>29</v>
      </c>
      <c r="G1007">
        <v>66</v>
      </c>
      <c r="H1007" t="s">
        <v>3495</v>
      </c>
      <c r="I1007" t="s">
        <v>3490</v>
      </c>
      <c r="J1007" t="s">
        <v>2889</v>
      </c>
    </row>
    <row r="1008" spans="1:10" x14ac:dyDescent="0.25">
      <c r="A1008" t="s">
        <v>1347</v>
      </c>
      <c r="B1008" t="s">
        <v>95</v>
      </c>
      <c r="C1008">
        <v>8</v>
      </c>
      <c r="D1008" t="s">
        <v>3236</v>
      </c>
      <c r="E1008">
        <v>59</v>
      </c>
      <c r="F1008">
        <v>11</v>
      </c>
      <c r="G1008">
        <v>48</v>
      </c>
      <c r="H1008" t="s">
        <v>3493</v>
      </c>
      <c r="I1008" t="s">
        <v>3490</v>
      </c>
      <c r="J1008" t="s">
        <v>2889</v>
      </c>
    </row>
    <row r="1009" spans="1:10" x14ac:dyDescent="0.25">
      <c r="A1009" t="s">
        <v>1347</v>
      </c>
      <c r="B1009" t="s">
        <v>95</v>
      </c>
      <c r="C1009">
        <v>8</v>
      </c>
      <c r="D1009" t="s">
        <v>3238</v>
      </c>
      <c r="E1009">
        <v>80</v>
      </c>
      <c r="F1009">
        <v>14</v>
      </c>
      <c r="G1009">
        <v>66</v>
      </c>
      <c r="H1009" t="s">
        <v>196</v>
      </c>
      <c r="I1009" t="s">
        <v>3490</v>
      </c>
      <c r="J1009" t="s">
        <v>2889</v>
      </c>
    </row>
    <row r="1010" spans="1:10" x14ac:dyDescent="0.25">
      <c r="A1010" t="s">
        <v>1347</v>
      </c>
      <c r="B1010" t="s">
        <v>95</v>
      </c>
      <c r="C1010">
        <v>8</v>
      </c>
      <c r="D1010" t="s">
        <v>3240</v>
      </c>
      <c r="E1010">
        <v>82</v>
      </c>
      <c r="F1010">
        <v>20</v>
      </c>
      <c r="G1010">
        <v>62</v>
      </c>
      <c r="H1010" t="s">
        <v>196</v>
      </c>
      <c r="I1010" t="s">
        <v>3490</v>
      </c>
      <c r="J1010" t="s">
        <v>2889</v>
      </c>
    </row>
    <row r="1011" spans="1:10" x14ac:dyDescent="0.25">
      <c r="A1011" t="s">
        <v>1347</v>
      </c>
      <c r="B1011" t="s">
        <v>95</v>
      </c>
      <c r="C1011">
        <v>8</v>
      </c>
      <c r="D1011" t="s">
        <v>3242</v>
      </c>
      <c r="E1011">
        <v>94</v>
      </c>
      <c r="F1011">
        <v>26</v>
      </c>
      <c r="G1011">
        <v>68</v>
      </c>
      <c r="H1011" t="s">
        <v>3495</v>
      </c>
      <c r="I1011" t="s">
        <v>3490</v>
      </c>
      <c r="J1011" t="s">
        <v>2889</v>
      </c>
    </row>
    <row r="1012" spans="1:10" x14ac:dyDescent="0.25">
      <c r="A1012" t="s">
        <v>1353</v>
      </c>
      <c r="B1012" t="s">
        <v>122</v>
      </c>
      <c r="C1012">
        <v>8</v>
      </c>
      <c r="D1012" t="s">
        <v>3294</v>
      </c>
      <c r="E1012">
        <v>59</v>
      </c>
      <c r="F1012">
        <v>24</v>
      </c>
      <c r="G1012">
        <v>35</v>
      </c>
      <c r="H1012" t="s">
        <v>3493</v>
      </c>
      <c r="I1012" t="s">
        <v>3490</v>
      </c>
      <c r="J1012" t="s">
        <v>2919</v>
      </c>
    </row>
    <row r="1013" spans="1:10" x14ac:dyDescent="0.25">
      <c r="A1013" t="s">
        <v>1353</v>
      </c>
      <c r="B1013" t="s">
        <v>122</v>
      </c>
      <c r="C1013">
        <v>8</v>
      </c>
      <c r="D1013" t="s">
        <v>3296</v>
      </c>
      <c r="E1013">
        <v>75</v>
      </c>
      <c r="F1013">
        <v>16</v>
      </c>
      <c r="G1013">
        <v>59</v>
      </c>
      <c r="H1013" t="s">
        <v>3494</v>
      </c>
      <c r="I1013" t="s">
        <v>3490</v>
      </c>
      <c r="J1013" t="s">
        <v>2919</v>
      </c>
    </row>
    <row r="1014" spans="1:10" x14ac:dyDescent="0.25">
      <c r="A1014" t="s">
        <v>1353</v>
      </c>
      <c r="B1014" t="s">
        <v>122</v>
      </c>
      <c r="C1014">
        <v>8</v>
      </c>
      <c r="D1014" t="s">
        <v>3298</v>
      </c>
      <c r="E1014">
        <v>38</v>
      </c>
      <c r="F1014">
        <v>16</v>
      </c>
      <c r="G1014">
        <v>22</v>
      </c>
      <c r="H1014" t="s">
        <v>3491</v>
      </c>
      <c r="I1014" t="s">
        <v>3492</v>
      </c>
      <c r="J1014" t="s">
        <v>2919</v>
      </c>
    </row>
    <row r="1015" spans="1:10" x14ac:dyDescent="0.25">
      <c r="A1015" t="s">
        <v>1353</v>
      </c>
      <c r="B1015" t="s">
        <v>122</v>
      </c>
      <c r="C1015">
        <v>8</v>
      </c>
      <c r="D1015" t="s">
        <v>3300</v>
      </c>
      <c r="E1015">
        <v>75</v>
      </c>
      <c r="F1015">
        <v>19</v>
      </c>
      <c r="G1015">
        <v>56</v>
      </c>
      <c r="H1015" t="s">
        <v>3494</v>
      </c>
      <c r="I1015" t="s">
        <v>3490</v>
      </c>
      <c r="J1015" t="s">
        <v>2919</v>
      </c>
    </row>
    <row r="1016" spans="1:10" x14ac:dyDescent="0.25">
      <c r="A1016" t="s">
        <v>1353</v>
      </c>
      <c r="B1016" t="s">
        <v>122</v>
      </c>
      <c r="C1016">
        <v>8</v>
      </c>
      <c r="D1016" t="s">
        <v>3302</v>
      </c>
      <c r="E1016">
        <v>63</v>
      </c>
      <c r="F1016">
        <v>16</v>
      </c>
      <c r="G1016">
        <v>47</v>
      </c>
      <c r="H1016" t="s">
        <v>3489</v>
      </c>
      <c r="I1016" t="s">
        <v>3490</v>
      </c>
      <c r="J1016" t="s">
        <v>2919</v>
      </c>
    </row>
    <row r="1017" spans="1:10" x14ac:dyDescent="0.25">
      <c r="A1017" t="s">
        <v>1358</v>
      </c>
      <c r="B1017" t="s">
        <v>122</v>
      </c>
      <c r="C1017">
        <v>8</v>
      </c>
      <c r="D1017" t="s">
        <v>3294</v>
      </c>
      <c r="E1017">
        <v>63</v>
      </c>
      <c r="F1017">
        <v>22</v>
      </c>
      <c r="G1017">
        <v>41</v>
      </c>
      <c r="H1017" t="s">
        <v>3489</v>
      </c>
      <c r="I1017" t="s">
        <v>3490</v>
      </c>
      <c r="J1017" t="s">
        <v>2919</v>
      </c>
    </row>
    <row r="1018" spans="1:10" x14ac:dyDescent="0.25">
      <c r="A1018" t="s">
        <v>1358</v>
      </c>
      <c r="B1018" t="s">
        <v>122</v>
      </c>
      <c r="C1018">
        <v>8</v>
      </c>
      <c r="D1018" t="s">
        <v>3296</v>
      </c>
      <c r="E1018">
        <v>70</v>
      </c>
      <c r="F1018">
        <v>16</v>
      </c>
      <c r="G1018">
        <v>54</v>
      </c>
      <c r="H1018" t="s">
        <v>3494</v>
      </c>
      <c r="I1018" t="s">
        <v>3490</v>
      </c>
      <c r="J1018" t="s">
        <v>2919</v>
      </c>
    </row>
    <row r="1019" spans="1:10" x14ac:dyDescent="0.25">
      <c r="A1019" t="s">
        <v>1358</v>
      </c>
      <c r="B1019" t="s">
        <v>122</v>
      </c>
      <c r="C1019">
        <v>8</v>
      </c>
      <c r="D1019" t="s">
        <v>3298</v>
      </c>
      <c r="E1019">
        <v>72</v>
      </c>
      <c r="F1019">
        <v>10</v>
      </c>
      <c r="G1019">
        <v>62</v>
      </c>
      <c r="H1019" t="s">
        <v>3494</v>
      </c>
      <c r="I1019" t="s">
        <v>3490</v>
      </c>
      <c r="J1019" t="s">
        <v>2919</v>
      </c>
    </row>
    <row r="1020" spans="1:10" x14ac:dyDescent="0.25">
      <c r="A1020" t="s">
        <v>1358</v>
      </c>
      <c r="B1020" t="s">
        <v>122</v>
      </c>
      <c r="C1020">
        <v>8</v>
      </c>
      <c r="D1020" t="s">
        <v>3300</v>
      </c>
      <c r="E1020">
        <v>64</v>
      </c>
      <c r="F1020">
        <v>15</v>
      </c>
      <c r="G1020">
        <v>49</v>
      </c>
      <c r="H1020" t="s">
        <v>3489</v>
      </c>
      <c r="I1020" t="s">
        <v>3490</v>
      </c>
      <c r="J1020" t="s">
        <v>2919</v>
      </c>
    </row>
    <row r="1021" spans="1:10" x14ac:dyDescent="0.25">
      <c r="A1021" t="s">
        <v>1358</v>
      </c>
      <c r="B1021" t="s">
        <v>122</v>
      </c>
      <c r="C1021">
        <v>8</v>
      </c>
      <c r="D1021" t="s">
        <v>3302</v>
      </c>
      <c r="E1021">
        <v>92</v>
      </c>
      <c r="F1021">
        <v>30</v>
      </c>
      <c r="G1021">
        <v>62</v>
      </c>
      <c r="H1021" t="s">
        <v>3495</v>
      </c>
      <c r="I1021" t="s">
        <v>3490</v>
      </c>
      <c r="J1021" t="s">
        <v>2919</v>
      </c>
    </row>
    <row r="1022" spans="1:10" x14ac:dyDescent="0.25">
      <c r="A1022" t="s">
        <v>1365</v>
      </c>
      <c r="B1022" t="s">
        <v>63</v>
      </c>
      <c r="C1022">
        <v>6</v>
      </c>
      <c r="D1022" t="s">
        <v>3414</v>
      </c>
      <c r="E1022">
        <v>88</v>
      </c>
      <c r="F1022">
        <v>19</v>
      </c>
      <c r="G1022">
        <v>69</v>
      </c>
      <c r="H1022" t="s">
        <v>196</v>
      </c>
      <c r="I1022" t="s">
        <v>3490</v>
      </c>
      <c r="J1022" t="s">
        <v>2932</v>
      </c>
    </row>
    <row r="1023" spans="1:10" x14ac:dyDescent="0.25">
      <c r="A1023" t="s">
        <v>1365</v>
      </c>
      <c r="B1023" t="s">
        <v>63</v>
      </c>
      <c r="C1023">
        <v>6</v>
      </c>
      <c r="D1023" t="s">
        <v>3416</v>
      </c>
      <c r="E1023">
        <v>52</v>
      </c>
      <c r="F1023">
        <v>26</v>
      </c>
      <c r="G1023">
        <v>26</v>
      </c>
      <c r="H1023" t="s">
        <v>3493</v>
      </c>
      <c r="I1023" t="s">
        <v>3490</v>
      </c>
      <c r="J1023" t="s">
        <v>2932</v>
      </c>
    </row>
    <row r="1024" spans="1:10" x14ac:dyDescent="0.25">
      <c r="A1024" t="s">
        <v>1365</v>
      </c>
      <c r="B1024" t="s">
        <v>63</v>
      </c>
      <c r="C1024">
        <v>6</v>
      </c>
      <c r="D1024" t="s">
        <v>3418</v>
      </c>
      <c r="E1024">
        <v>82</v>
      </c>
      <c r="F1024">
        <v>14</v>
      </c>
      <c r="G1024">
        <v>68</v>
      </c>
      <c r="H1024" t="s">
        <v>196</v>
      </c>
      <c r="I1024" t="s">
        <v>3490</v>
      </c>
      <c r="J1024" t="s">
        <v>2932</v>
      </c>
    </row>
    <row r="1025" spans="1:10" x14ac:dyDescent="0.25">
      <c r="A1025" t="s">
        <v>1365</v>
      </c>
      <c r="B1025" t="s">
        <v>63</v>
      </c>
      <c r="C1025">
        <v>6</v>
      </c>
      <c r="D1025" t="s">
        <v>3420</v>
      </c>
      <c r="E1025">
        <v>50</v>
      </c>
      <c r="F1025">
        <v>19</v>
      </c>
      <c r="G1025">
        <v>31</v>
      </c>
      <c r="H1025" t="s">
        <v>3493</v>
      </c>
      <c r="I1025" t="s">
        <v>3490</v>
      </c>
      <c r="J1025" t="s">
        <v>2932</v>
      </c>
    </row>
    <row r="1026" spans="1:10" x14ac:dyDescent="0.25">
      <c r="A1026" t="s">
        <v>1365</v>
      </c>
      <c r="B1026" t="s">
        <v>63</v>
      </c>
      <c r="C1026">
        <v>6</v>
      </c>
      <c r="D1026" t="s">
        <v>3422</v>
      </c>
      <c r="E1026">
        <v>38</v>
      </c>
      <c r="F1026">
        <v>13</v>
      </c>
      <c r="G1026">
        <v>25</v>
      </c>
      <c r="H1026" t="s">
        <v>3491</v>
      </c>
      <c r="I1026" t="s">
        <v>3492</v>
      </c>
      <c r="J1026" t="s">
        <v>2932</v>
      </c>
    </row>
    <row r="1027" spans="1:10" x14ac:dyDescent="0.25">
      <c r="A1027" t="s">
        <v>1370</v>
      </c>
      <c r="B1027" t="s">
        <v>30</v>
      </c>
      <c r="C1027">
        <v>4</v>
      </c>
      <c r="D1027" t="s">
        <v>3334</v>
      </c>
      <c r="E1027">
        <v>40</v>
      </c>
      <c r="F1027">
        <v>19</v>
      </c>
      <c r="G1027">
        <v>21</v>
      </c>
      <c r="H1027" t="s">
        <v>3491</v>
      </c>
      <c r="I1027" t="s">
        <v>3492</v>
      </c>
      <c r="J1027" t="s">
        <v>2895</v>
      </c>
    </row>
    <row r="1028" spans="1:10" x14ac:dyDescent="0.25">
      <c r="A1028" t="s">
        <v>1370</v>
      </c>
      <c r="B1028" t="s">
        <v>30</v>
      </c>
      <c r="C1028">
        <v>4</v>
      </c>
      <c r="D1028" t="s">
        <v>3336</v>
      </c>
      <c r="E1028">
        <v>90</v>
      </c>
      <c r="F1028">
        <v>27</v>
      </c>
      <c r="G1028">
        <v>63</v>
      </c>
      <c r="H1028" t="s">
        <v>3495</v>
      </c>
      <c r="I1028" t="s">
        <v>3490</v>
      </c>
      <c r="J1028" t="s">
        <v>2895</v>
      </c>
    </row>
    <row r="1029" spans="1:10" x14ac:dyDescent="0.25">
      <c r="A1029" t="s">
        <v>1370</v>
      </c>
      <c r="B1029" t="s">
        <v>30</v>
      </c>
      <c r="C1029">
        <v>4</v>
      </c>
      <c r="D1029" t="s">
        <v>3338</v>
      </c>
      <c r="E1029">
        <v>82</v>
      </c>
      <c r="F1029">
        <v>22</v>
      </c>
      <c r="G1029">
        <v>60</v>
      </c>
      <c r="H1029" t="s">
        <v>196</v>
      </c>
      <c r="I1029" t="s">
        <v>3490</v>
      </c>
      <c r="J1029" t="s">
        <v>2895</v>
      </c>
    </row>
    <row r="1030" spans="1:10" x14ac:dyDescent="0.25">
      <c r="A1030" t="s">
        <v>1370</v>
      </c>
      <c r="B1030" t="s">
        <v>30</v>
      </c>
      <c r="C1030">
        <v>4</v>
      </c>
      <c r="D1030" t="s">
        <v>3340</v>
      </c>
      <c r="E1030">
        <v>54</v>
      </c>
      <c r="F1030">
        <v>26</v>
      </c>
      <c r="G1030">
        <v>28</v>
      </c>
      <c r="H1030" t="s">
        <v>3493</v>
      </c>
      <c r="I1030" t="s">
        <v>3490</v>
      </c>
      <c r="J1030" t="s">
        <v>2895</v>
      </c>
    </row>
    <row r="1031" spans="1:10" x14ac:dyDescent="0.25">
      <c r="A1031" t="s">
        <v>1370</v>
      </c>
      <c r="B1031" t="s">
        <v>30</v>
      </c>
      <c r="C1031">
        <v>4</v>
      </c>
      <c r="D1031" t="s">
        <v>3342</v>
      </c>
      <c r="E1031">
        <v>40</v>
      </c>
      <c r="F1031">
        <v>20</v>
      </c>
      <c r="G1031">
        <v>20</v>
      </c>
      <c r="H1031" t="s">
        <v>3491</v>
      </c>
      <c r="I1031" t="s">
        <v>3492</v>
      </c>
      <c r="J1031" t="s">
        <v>2895</v>
      </c>
    </row>
    <row r="1032" spans="1:10" x14ac:dyDescent="0.25">
      <c r="A1032" t="s">
        <v>1377</v>
      </c>
      <c r="B1032" t="s">
        <v>30</v>
      </c>
      <c r="C1032">
        <v>4</v>
      </c>
      <c r="D1032" t="s">
        <v>3334</v>
      </c>
      <c r="E1032">
        <v>90</v>
      </c>
      <c r="F1032">
        <v>28</v>
      </c>
      <c r="G1032">
        <v>62</v>
      </c>
      <c r="H1032" t="s">
        <v>3495</v>
      </c>
      <c r="I1032" t="s">
        <v>3490</v>
      </c>
      <c r="J1032" t="s">
        <v>2895</v>
      </c>
    </row>
    <row r="1033" spans="1:10" x14ac:dyDescent="0.25">
      <c r="A1033" t="s">
        <v>1377</v>
      </c>
      <c r="B1033" t="s">
        <v>30</v>
      </c>
      <c r="C1033">
        <v>4</v>
      </c>
      <c r="D1033" t="s">
        <v>3336</v>
      </c>
      <c r="E1033">
        <v>48</v>
      </c>
      <c r="F1033">
        <v>20</v>
      </c>
      <c r="G1033">
        <v>28</v>
      </c>
      <c r="H1033" t="s">
        <v>3491</v>
      </c>
      <c r="I1033" t="s">
        <v>3492</v>
      </c>
      <c r="J1033" t="s">
        <v>2895</v>
      </c>
    </row>
    <row r="1034" spans="1:10" x14ac:dyDescent="0.25">
      <c r="A1034" t="s">
        <v>1377</v>
      </c>
      <c r="B1034" t="s">
        <v>30</v>
      </c>
      <c r="C1034">
        <v>4</v>
      </c>
      <c r="D1034" t="s">
        <v>3338</v>
      </c>
      <c r="E1034">
        <v>72</v>
      </c>
      <c r="F1034">
        <v>14</v>
      </c>
      <c r="G1034">
        <v>58</v>
      </c>
      <c r="H1034" t="s">
        <v>3494</v>
      </c>
      <c r="I1034" t="s">
        <v>3490</v>
      </c>
      <c r="J1034" t="s">
        <v>2895</v>
      </c>
    </row>
    <row r="1035" spans="1:10" x14ac:dyDescent="0.25">
      <c r="A1035" t="s">
        <v>1377</v>
      </c>
      <c r="B1035" t="s">
        <v>30</v>
      </c>
      <c r="C1035">
        <v>4</v>
      </c>
      <c r="D1035" t="s">
        <v>3340</v>
      </c>
      <c r="E1035">
        <v>63</v>
      </c>
      <c r="F1035">
        <v>19</v>
      </c>
      <c r="G1035">
        <v>44</v>
      </c>
      <c r="H1035" t="s">
        <v>3489</v>
      </c>
      <c r="I1035" t="s">
        <v>3490</v>
      </c>
      <c r="J1035" t="s">
        <v>2895</v>
      </c>
    </row>
    <row r="1036" spans="1:10" x14ac:dyDescent="0.25">
      <c r="A1036" t="s">
        <v>1377</v>
      </c>
      <c r="B1036" t="s">
        <v>30</v>
      </c>
      <c r="C1036">
        <v>4</v>
      </c>
      <c r="D1036" t="s">
        <v>3342</v>
      </c>
      <c r="E1036">
        <v>35</v>
      </c>
      <c r="F1036">
        <v>14</v>
      </c>
      <c r="G1036">
        <v>21</v>
      </c>
      <c r="H1036" t="s">
        <v>3491</v>
      </c>
      <c r="I1036" t="s">
        <v>3492</v>
      </c>
      <c r="J1036" t="s">
        <v>2895</v>
      </c>
    </row>
    <row r="1037" spans="1:10" x14ac:dyDescent="0.25">
      <c r="A1037" t="s">
        <v>1383</v>
      </c>
      <c r="B1037" t="s">
        <v>95</v>
      </c>
      <c r="C1037">
        <v>4</v>
      </c>
      <c r="D1037" t="s">
        <v>3214</v>
      </c>
      <c r="E1037">
        <v>60</v>
      </c>
      <c r="F1037">
        <v>28</v>
      </c>
      <c r="G1037">
        <v>32</v>
      </c>
      <c r="H1037" t="s">
        <v>3489</v>
      </c>
      <c r="I1037" t="s">
        <v>3490</v>
      </c>
      <c r="J1037" t="s">
        <v>2889</v>
      </c>
    </row>
    <row r="1038" spans="1:10" x14ac:dyDescent="0.25">
      <c r="A1038" t="s">
        <v>1383</v>
      </c>
      <c r="B1038" t="s">
        <v>95</v>
      </c>
      <c r="C1038">
        <v>4</v>
      </c>
      <c r="D1038" t="s">
        <v>3216</v>
      </c>
      <c r="E1038">
        <v>63</v>
      </c>
      <c r="F1038">
        <v>21</v>
      </c>
      <c r="G1038">
        <v>42</v>
      </c>
      <c r="H1038" t="s">
        <v>3489</v>
      </c>
      <c r="I1038" t="s">
        <v>3490</v>
      </c>
      <c r="J1038" t="s">
        <v>2889</v>
      </c>
    </row>
    <row r="1039" spans="1:10" x14ac:dyDescent="0.25">
      <c r="A1039" t="s">
        <v>1383</v>
      </c>
      <c r="B1039" t="s">
        <v>95</v>
      </c>
      <c r="C1039">
        <v>4</v>
      </c>
      <c r="D1039" t="s">
        <v>3218</v>
      </c>
      <c r="E1039">
        <v>92</v>
      </c>
      <c r="F1039">
        <v>22</v>
      </c>
      <c r="G1039">
        <v>70</v>
      </c>
      <c r="H1039" t="s">
        <v>3495</v>
      </c>
      <c r="I1039" t="s">
        <v>3490</v>
      </c>
      <c r="J1039" t="s">
        <v>2889</v>
      </c>
    </row>
    <row r="1040" spans="1:10" x14ac:dyDescent="0.25">
      <c r="A1040" t="s">
        <v>1383</v>
      </c>
      <c r="B1040" t="s">
        <v>95</v>
      </c>
      <c r="C1040">
        <v>4</v>
      </c>
      <c r="D1040" t="s">
        <v>3220</v>
      </c>
      <c r="E1040">
        <v>79</v>
      </c>
      <c r="F1040">
        <v>12</v>
      </c>
      <c r="G1040">
        <v>67</v>
      </c>
      <c r="H1040" t="s">
        <v>3494</v>
      </c>
      <c r="I1040" t="s">
        <v>3490</v>
      </c>
      <c r="J1040" t="s">
        <v>2889</v>
      </c>
    </row>
    <row r="1041" spans="1:10" x14ac:dyDescent="0.25">
      <c r="A1041" t="s">
        <v>1383</v>
      </c>
      <c r="B1041" t="s">
        <v>95</v>
      </c>
      <c r="C1041">
        <v>4</v>
      </c>
      <c r="D1041" t="s">
        <v>3222</v>
      </c>
      <c r="E1041">
        <v>50</v>
      </c>
      <c r="F1041">
        <v>30</v>
      </c>
      <c r="G1041">
        <v>20</v>
      </c>
      <c r="H1041" t="s">
        <v>3493</v>
      </c>
      <c r="I1041" t="s">
        <v>3490</v>
      </c>
      <c r="J1041" t="s">
        <v>2889</v>
      </c>
    </row>
    <row r="1042" spans="1:10" x14ac:dyDescent="0.25">
      <c r="A1042" t="s">
        <v>1388</v>
      </c>
      <c r="B1042" t="s">
        <v>212</v>
      </c>
      <c r="C1042">
        <v>4</v>
      </c>
      <c r="D1042" t="s">
        <v>3454</v>
      </c>
      <c r="E1042">
        <v>81</v>
      </c>
      <c r="F1042">
        <v>16</v>
      </c>
      <c r="G1042">
        <v>65</v>
      </c>
      <c r="H1042" t="s">
        <v>196</v>
      </c>
      <c r="I1042" t="s">
        <v>3490</v>
      </c>
      <c r="J1042" t="s">
        <v>3001</v>
      </c>
    </row>
    <row r="1043" spans="1:10" x14ac:dyDescent="0.25">
      <c r="A1043" t="s">
        <v>1388</v>
      </c>
      <c r="B1043" t="s">
        <v>212</v>
      </c>
      <c r="C1043">
        <v>4</v>
      </c>
      <c r="D1043" t="s">
        <v>3456</v>
      </c>
      <c r="E1043">
        <v>86</v>
      </c>
      <c r="F1043">
        <v>28</v>
      </c>
      <c r="G1043">
        <v>58</v>
      </c>
      <c r="H1043" t="s">
        <v>196</v>
      </c>
      <c r="I1043" t="s">
        <v>3490</v>
      </c>
      <c r="J1043" t="s">
        <v>3001</v>
      </c>
    </row>
    <row r="1044" spans="1:10" x14ac:dyDescent="0.25">
      <c r="A1044" t="s">
        <v>1388</v>
      </c>
      <c r="B1044" t="s">
        <v>212</v>
      </c>
      <c r="C1044">
        <v>4</v>
      </c>
      <c r="D1044" t="s">
        <v>3458</v>
      </c>
      <c r="E1044">
        <v>49</v>
      </c>
      <c r="F1044">
        <v>21</v>
      </c>
      <c r="G1044">
        <v>28</v>
      </c>
      <c r="H1044" t="s">
        <v>3491</v>
      </c>
      <c r="I1044" t="s">
        <v>3492</v>
      </c>
      <c r="J1044" t="s">
        <v>3001</v>
      </c>
    </row>
    <row r="1045" spans="1:10" x14ac:dyDescent="0.25">
      <c r="A1045" t="s">
        <v>1388</v>
      </c>
      <c r="B1045" t="s">
        <v>212</v>
      </c>
      <c r="C1045">
        <v>4</v>
      </c>
      <c r="D1045" t="s">
        <v>3460</v>
      </c>
      <c r="E1045">
        <v>79</v>
      </c>
      <c r="F1045">
        <v>28</v>
      </c>
      <c r="G1045">
        <v>51</v>
      </c>
      <c r="H1045" t="s">
        <v>3494</v>
      </c>
      <c r="I1045" t="s">
        <v>3490</v>
      </c>
      <c r="J1045" t="s">
        <v>3001</v>
      </c>
    </row>
    <row r="1046" spans="1:10" x14ac:dyDescent="0.25">
      <c r="A1046" t="s">
        <v>1388</v>
      </c>
      <c r="B1046" t="s">
        <v>212</v>
      </c>
      <c r="C1046">
        <v>4</v>
      </c>
      <c r="D1046" t="s">
        <v>3462</v>
      </c>
      <c r="E1046">
        <v>79</v>
      </c>
      <c r="F1046">
        <v>10</v>
      </c>
      <c r="G1046">
        <v>69</v>
      </c>
      <c r="H1046" t="s">
        <v>3494</v>
      </c>
      <c r="I1046" t="s">
        <v>3490</v>
      </c>
      <c r="J1046" t="s">
        <v>3001</v>
      </c>
    </row>
    <row r="1047" spans="1:10" x14ac:dyDescent="0.25">
      <c r="A1047" t="s">
        <v>1394</v>
      </c>
      <c r="B1047" t="s">
        <v>159</v>
      </c>
      <c r="C1047">
        <v>6</v>
      </c>
      <c r="D1047" t="s">
        <v>3114</v>
      </c>
      <c r="E1047">
        <v>47</v>
      </c>
      <c r="F1047">
        <v>13</v>
      </c>
      <c r="G1047">
        <v>34</v>
      </c>
      <c r="H1047" t="s">
        <v>3491</v>
      </c>
      <c r="I1047" t="s">
        <v>3492</v>
      </c>
      <c r="J1047" t="s">
        <v>2902</v>
      </c>
    </row>
    <row r="1048" spans="1:10" x14ac:dyDescent="0.25">
      <c r="A1048" t="s">
        <v>1394</v>
      </c>
      <c r="B1048" t="s">
        <v>159</v>
      </c>
      <c r="C1048">
        <v>6</v>
      </c>
      <c r="D1048" t="s">
        <v>3116</v>
      </c>
      <c r="E1048">
        <v>51</v>
      </c>
      <c r="F1048">
        <v>24</v>
      </c>
      <c r="G1048">
        <v>27</v>
      </c>
      <c r="H1048" t="s">
        <v>3493</v>
      </c>
      <c r="I1048" t="s">
        <v>3490</v>
      </c>
      <c r="J1048" t="s">
        <v>2902</v>
      </c>
    </row>
    <row r="1049" spans="1:10" x14ac:dyDescent="0.25">
      <c r="A1049" t="s">
        <v>1394</v>
      </c>
      <c r="B1049" t="s">
        <v>159</v>
      </c>
      <c r="C1049">
        <v>6</v>
      </c>
      <c r="D1049" t="s">
        <v>3118</v>
      </c>
      <c r="E1049">
        <v>51</v>
      </c>
      <c r="F1049">
        <v>14</v>
      </c>
      <c r="G1049">
        <v>37</v>
      </c>
      <c r="H1049" t="s">
        <v>3493</v>
      </c>
      <c r="I1049" t="s">
        <v>3490</v>
      </c>
      <c r="J1049" t="s">
        <v>2902</v>
      </c>
    </row>
    <row r="1050" spans="1:10" x14ac:dyDescent="0.25">
      <c r="A1050" t="s">
        <v>1394</v>
      </c>
      <c r="B1050" t="s">
        <v>159</v>
      </c>
      <c r="C1050">
        <v>6</v>
      </c>
      <c r="D1050" t="s">
        <v>3120</v>
      </c>
      <c r="E1050">
        <v>63</v>
      </c>
      <c r="F1050">
        <v>16</v>
      </c>
      <c r="G1050">
        <v>47</v>
      </c>
      <c r="H1050" t="s">
        <v>3489</v>
      </c>
      <c r="I1050" t="s">
        <v>3490</v>
      </c>
      <c r="J1050" t="s">
        <v>2902</v>
      </c>
    </row>
    <row r="1051" spans="1:10" x14ac:dyDescent="0.25">
      <c r="A1051" t="s">
        <v>1394</v>
      </c>
      <c r="B1051" t="s">
        <v>159</v>
      </c>
      <c r="C1051">
        <v>6</v>
      </c>
      <c r="D1051" t="s">
        <v>3122</v>
      </c>
      <c r="E1051">
        <v>76</v>
      </c>
      <c r="F1051">
        <v>21</v>
      </c>
      <c r="G1051">
        <v>55</v>
      </c>
      <c r="H1051" t="s">
        <v>3494</v>
      </c>
      <c r="I1051" t="s">
        <v>3490</v>
      </c>
      <c r="J1051" t="s">
        <v>2902</v>
      </c>
    </row>
    <row r="1052" spans="1:10" x14ac:dyDescent="0.25">
      <c r="A1052" t="s">
        <v>1399</v>
      </c>
      <c r="B1052" t="s">
        <v>30</v>
      </c>
      <c r="C1052">
        <v>6</v>
      </c>
      <c r="D1052" t="s">
        <v>3354</v>
      </c>
      <c r="E1052">
        <v>74</v>
      </c>
      <c r="F1052">
        <v>20</v>
      </c>
      <c r="G1052">
        <v>54</v>
      </c>
      <c r="H1052" t="s">
        <v>3494</v>
      </c>
      <c r="I1052" t="s">
        <v>3490</v>
      </c>
      <c r="J1052" t="s">
        <v>2895</v>
      </c>
    </row>
    <row r="1053" spans="1:10" x14ac:dyDescent="0.25">
      <c r="A1053" t="s">
        <v>1399</v>
      </c>
      <c r="B1053" t="s">
        <v>30</v>
      </c>
      <c r="C1053">
        <v>6</v>
      </c>
      <c r="D1053" t="s">
        <v>3356</v>
      </c>
      <c r="E1053">
        <v>65</v>
      </c>
      <c r="F1053">
        <v>21</v>
      </c>
      <c r="G1053">
        <v>44</v>
      </c>
      <c r="H1053" t="s">
        <v>3489</v>
      </c>
      <c r="I1053" t="s">
        <v>3490</v>
      </c>
      <c r="J1053" t="s">
        <v>2895</v>
      </c>
    </row>
    <row r="1054" spans="1:10" x14ac:dyDescent="0.25">
      <c r="A1054" t="s">
        <v>1399</v>
      </c>
      <c r="B1054" t="s">
        <v>30</v>
      </c>
      <c r="C1054">
        <v>6</v>
      </c>
      <c r="D1054" t="s">
        <v>3358</v>
      </c>
      <c r="E1054">
        <v>87</v>
      </c>
      <c r="F1054">
        <v>19</v>
      </c>
      <c r="G1054">
        <v>68</v>
      </c>
      <c r="H1054" t="s">
        <v>196</v>
      </c>
      <c r="I1054" t="s">
        <v>3490</v>
      </c>
      <c r="J1054" t="s">
        <v>2895</v>
      </c>
    </row>
    <row r="1055" spans="1:10" x14ac:dyDescent="0.25">
      <c r="A1055" t="s">
        <v>1399</v>
      </c>
      <c r="B1055" t="s">
        <v>30</v>
      </c>
      <c r="C1055">
        <v>6</v>
      </c>
      <c r="D1055" t="s">
        <v>3360</v>
      </c>
      <c r="E1055">
        <v>47</v>
      </c>
      <c r="F1055">
        <v>14</v>
      </c>
      <c r="G1055">
        <v>33</v>
      </c>
      <c r="H1055" t="s">
        <v>3491</v>
      </c>
      <c r="I1055" t="s">
        <v>3492</v>
      </c>
      <c r="J1055" t="s">
        <v>2895</v>
      </c>
    </row>
    <row r="1056" spans="1:10" x14ac:dyDescent="0.25">
      <c r="A1056" t="s">
        <v>1399</v>
      </c>
      <c r="B1056" t="s">
        <v>30</v>
      </c>
      <c r="C1056">
        <v>6</v>
      </c>
      <c r="D1056" t="s">
        <v>3362</v>
      </c>
      <c r="E1056">
        <v>46</v>
      </c>
      <c r="F1056">
        <v>10</v>
      </c>
      <c r="G1056">
        <v>36</v>
      </c>
      <c r="H1056" t="s">
        <v>3491</v>
      </c>
      <c r="I1056" t="s">
        <v>3492</v>
      </c>
      <c r="J1056" t="s">
        <v>2895</v>
      </c>
    </row>
    <row r="1057" spans="1:10" x14ac:dyDescent="0.25">
      <c r="A1057" t="s">
        <v>1404</v>
      </c>
      <c r="B1057" t="s">
        <v>95</v>
      </c>
      <c r="C1057">
        <v>6</v>
      </c>
      <c r="D1057" t="s">
        <v>3234</v>
      </c>
      <c r="E1057">
        <v>79</v>
      </c>
      <c r="F1057">
        <v>12</v>
      </c>
      <c r="G1057">
        <v>67</v>
      </c>
      <c r="H1057" t="s">
        <v>3494</v>
      </c>
      <c r="I1057" t="s">
        <v>3490</v>
      </c>
      <c r="J1057" t="s">
        <v>2889</v>
      </c>
    </row>
    <row r="1058" spans="1:10" x14ac:dyDescent="0.25">
      <c r="A1058" t="s">
        <v>1404</v>
      </c>
      <c r="B1058" t="s">
        <v>95</v>
      </c>
      <c r="C1058">
        <v>6</v>
      </c>
      <c r="D1058" t="s">
        <v>3236</v>
      </c>
      <c r="E1058">
        <v>35</v>
      </c>
      <c r="F1058">
        <v>14</v>
      </c>
      <c r="G1058">
        <v>21</v>
      </c>
      <c r="H1058" t="s">
        <v>3491</v>
      </c>
      <c r="I1058" t="s">
        <v>3492</v>
      </c>
      <c r="J1058" t="s">
        <v>2889</v>
      </c>
    </row>
    <row r="1059" spans="1:10" x14ac:dyDescent="0.25">
      <c r="A1059" t="s">
        <v>1404</v>
      </c>
      <c r="B1059" t="s">
        <v>95</v>
      </c>
      <c r="C1059">
        <v>6</v>
      </c>
      <c r="D1059" t="s">
        <v>3238</v>
      </c>
      <c r="E1059">
        <v>64</v>
      </c>
      <c r="F1059">
        <v>14</v>
      </c>
      <c r="G1059">
        <v>50</v>
      </c>
      <c r="H1059" t="s">
        <v>3489</v>
      </c>
      <c r="I1059" t="s">
        <v>3490</v>
      </c>
      <c r="J1059" t="s">
        <v>2889</v>
      </c>
    </row>
    <row r="1060" spans="1:10" x14ac:dyDescent="0.25">
      <c r="A1060" t="s">
        <v>1404</v>
      </c>
      <c r="B1060" t="s">
        <v>95</v>
      </c>
      <c r="C1060">
        <v>6</v>
      </c>
      <c r="D1060" t="s">
        <v>3240</v>
      </c>
      <c r="E1060">
        <v>58</v>
      </c>
      <c r="F1060">
        <v>11</v>
      </c>
      <c r="G1060">
        <v>47</v>
      </c>
      <c r="H1060" t="s">
        <v>3493</v>
      </c>
      <c r="I1060" t="s">
        <v>3490</v>
      </c>
      <c r="J1060" t="s">
        <v>2889</v>
      </c>
    </row>
    <row r="1061" spans="1:10" x14ac:dyDescent="0.25">
      <c r="A1061" t="s">
        <v>1404</v>
      </c>
      <c r="B1061" t="s">
        <v>95</v>
      </c>
      <c r="C1061">
        <v>6</v>
      </c>
      <c r="D1061" t="s">
        <v>3242</v>
      </c>
      <c r="E1061">
        <v>56</v>
      </c>
      <c r="F1061">
        <v>13</v>
      </c>
      <c r="G1061">
        <v>43</v>
      </c>
      <c r="H1061" t="s">
        <v>3493</v>
      </c>
      <c r="I1061" t="s">
        <v>3490</v>
      </c>
      <c r="J1061" t="s">
        <v>2889</v>
      </c>
    </row>
    <row r="1062" spans="1:10" x14ac:dyDescent="0.25">
      <c r="A1062" t="s">
        <v>1409</v>
      </c>
      <c r="B1062" t="s">
        <v>63</v>
      </c>
      <c r="C1062">
        <v>4</v>
      </c>
      <c r="D1062" t="s">
        <v>3394</v>
      </c>
      <c r="E1062">
        <v>59</v>
      </c>
      <c r="F1062">
        <v>29</v>
      </c>
      <c r="G1062">
        <v>30</v>
      </c>
      <c r="H1062" t="s">
        <v>3493</v>
      </c>
      <c r="I1062" t="s">
        <v>3490</v>
      </c>
      <c r="J1062" t="s">
        <v>2932</v>
      </c>
    </row>
    <row r="1063" spans="1:10" x14ac:dyDescent="0.25">
      <c r="A1063" t="s">
        <v>1409</v>
      </c>
      <c r="B1063" t="s">
        <v>63</v>
      </c>
      <c r="C1063">
        <v>4</v>
      </c>
      <c r="D1063" t="s">
        <v>3396</v>
      </c>
      <c r="E1063">
        <v>59</v>
      </c>
      <c r="F1063">
        <v>25</v>
      </c>
      <c r="G1063">
        <v>34</v>
      </c>
      <c r="H1063" t="s">
        <v>3493</v>
      </c>
      <c r="I1063" t="s">
        <v>3490</v>
      </c>
      <c r="J1063" t="s">
        <v>2932</v>
      </c>
    </row>
    <row r="1064" spans="1:10" x14ac:dyDescent="0.25">
      <c r="A1064" t="s">
        <v>1409</v>
      </c>
      <c r="B1064" t="s">
        <v>63</v>
      </c>
      <c r="C1064">
        <v>4</v>
      </c>
      <c r="D1064" t="s">
        <v>3398</v>
      </c>
      <c r="E1064">
        <v>78</v>
      </c>
      <c r="F1064">
        <v>27</v>
      </c>
      <c r="G1064">
        <v>51</v>
      </c>
      <c r="H1064" t="s">
        <v>3494</v>
      </c>
      <c r="I1064" t="s">
        <v>3490</v>
      </c>
      <c r="J1064" t="s">
        <v>2932</v>
      </c>
    </row>
    <row r="1065" spans="1:10" x14ac:dyDescent="0.25">
      <c r="A1065" t="s">
        <v>1409</v>
      </c>
      <c r="B1065" t="s">
        <v>63</v>
      </c>
      <c r="C1065">
        <v>4</v>
      </c>
      <c r="D1065" t="s">
        <v>3400</v>
      </c>
      <c r="E1065">
        <v>41</v>
      </c>
      <c r="F1065">
        <v>18</v>
      </c>
      <c r="G1065">
        <v>23</v>
      </c>
      <c r="H1065" t="s">
        <v>3491</v>
      </c>
      <c r="I1065" t="s">
        <v>3492</v>
      </c>
      <c r="J1065" t="s">
        <v>2932</v>
      </c>
    </row>
    <row r="1066" spans="1:10" x14ac:dyDescent="0.25">
      <c r="A1066" t="s">
        <v>1409</v>
      </c>
      <c r="B1066" t="s">
        <v>63</v>
      </c>
      <c r="C1066">
        <v>4</v>
      </c>
      <c r="D1066" t="s">
        <v>3402</v>
      </c>
      <c r="E1066">
        <v>73</v>
      </c>
      <c r="F1066">
        <v>15</v>
      </c>
      <c r="G1066">
        <v>58</v>
      </c>
      <c r="H1066" t="s">
        <v>3494</v>
      </c>
      <c r="I1066" t="s">
        <v>3490</v>
      </c>
      <c r="J1066" t="s">
        <v>2932</v>
      </c>
    </row>
    <row r="1067" spans="1:10" x14ac:dyDescent="0.25">
      <c r="A1067" t="s">
        <v>1413</v>
      </c>
      <c r="B1067" t="s">
        <v>75</v>
      </c>
      <c r="C1067">
        <v>4</v>
      </c>
      <c r="D1067" t="s">
        <v>3034</v>
      </c>
      <c r="E1067">
        <v>52</v>
      </c>
      <c r="F1067">
        <v>29</v>
      </c>
      <c r="G1067">
        <v>23</v>
      </c>
      <c r="H1067" t="s">
        <v>3493</v>
      </c>
      <c r="I1067" t="s">
        <v>3490</v>
      </c>
      <c r="J1067" t="s">
        <v>2961</v>
      </c>
    </row>
    <row r="1068" spans="1:10" x14ac:dyDescent="0.25">
      <c r="A1068" t="s">
        <v>1413</v>
      </c>
      <c r="B1068" t="s">
        <v>75</v>
      </c>
      <c r="C1068">
        <v>4</v>
      </c>
      <c r="D1068" t="s">
        <v>3036</v>
      </c>
      <c r="E1068">
        <v>90</v>
      </c>
      <c r="F1068">
        <v>24</v>
      </c>
      <c r="G1068">
        <v>66</v>
      </c>
      <c r="H1068" t="s">
        <v>3495</v>
      </c>
      <c r="I1068" t="s">
        <v>3490</v>
      </c>
      <c r="J1068" t="s">
        <v>2961</v>
      </c>
    </row>
    <row r="1069" spans="1:10" x14ac:dyDescent="0.25">
      <c r="A1069" t="s">
        <v>1413</v>
      </c>
      <c r="B1069" t="s">
        <v>75</v>
      </c>
      <c r="C1069">
        <v>4</v>
      </c>
      <c r="D1069" t="s">
        <v>3038</v>
      </c>
      <c r="E1069">
        <v>59</v>
      </c>
      <c r="F1069">
        <v>12</v>
      </c>
      <c r="G1069">
        <v>47</v>
      </c>
      <c r="H1069" t="s">
        <v>3493</v>
      </c>
      <c r="I1069" t="s">
        <v>3490</v>
      </c>
      <c r="J1069" t="s">
        <v>2961</v>
      </c>
    </row>
    <row r="1070" spans="1:10" x14ac:dyDescent="0.25">
      <c r="A1070" t="s">
        <v>1413</v>
      </c>
      <c r="B1070" t="s">
        <v>75</v>
      </c>
      <c r="C1070">
        <v>4</v>
      </c>
      <c r="D1070" t="s">
        <v>3040</v>
      </c>
      <c r="E1070">
        <v>80</v>
      </c>
      <c r="F1070">
        <v>23</v>
      </c>
      <c r="G1070">
        <v>57</v>
      </c>
      <c r="H1070" t="s">
        <v>196</v>
      </c>
      <c r="I1070" t="s">
        <v>3490</v>
      </c>
      <c r="J1070" t="s">
        <v>2961</v>
      </c>
    </row>
    <row r="1071" spans="1:10" x14ac:dyDescent="0.25">
      <c r="A1071" t="s">
        <v>1413</v>
      </c>
      <c r="B1071" t="s">
        <v>75</v>
      </c>
      <c r="C1071">
        <v>4</v>
      </c>
      <c r="D1071" t="s">
        <v>3042</v>
      </c>
      <c r="E1071">
        <v>56</v>
      </c>
      <c r="F1071">
        <v>10</v>
      </c>
      <c r="G1071">
        <v>46</v>
      </c>
      <c r="H1071" t="s">
        <v>3493</v>
      </c>
      <c r="I1071" t="s">
        <v>3490</v>
      </c>
      <c r="J1071" t="s">
        <v>2961</v>
      </c>
    </row>
    <row r="1072" spans="1:10" x14ac:dyDescent="0.25">
      <c r="A1072" t="s">
        <v>1418</v>
      </c>
      <c r="B1072" t="s">
        <v>63</v>
      </c>
      <c r="C1072">
        <v>8</v>
      </c>
      <c r="D1072" t="s">
        <v>3414</v>
      </c>
      <c r="E1072">
        <v>45</v>
      </c>
      <c r="F1072">
        <v>17</v>
      </c>
      <c r="G1072">
        <v>28</v>
      </c>
      <c r="H1072" t="s">
        <v>3491</v>
      </c>
      <c r="I1072" t="s">
        <v>3492</v>
      </c>
      <c r="J1072" t="s">
        <v>2932</v>
      </c>
    </row>
    <row r="1073" spans="1:10" x14ac:dyDescent="0.25">
      <c r="A1073" t="s">
        <v>1418</v>
      </c>
      <c r="B1073" t="s">
        <v>63</v>
      </c>
      <c r="C1073">
        <v>8</v>
      </c>
      <c r="D1073" t="s">
        <v>3416</v>
      </c>
      <c r="E1073">
        <v>52</v>
      </c>
      <c r="F1073">
        <v>14</v>
      </c>
      <c r="G1073">
        <v>38</v>
      </c>
      <c r="H1073" t="s">
        <v>3493</v>
      </c>
      <c r="I1073" t="s">
        <v>3490</v>
      </c>
      <c r="J1073" t="s">
        <v>2932</v>
      </c>
    </row>
    <row r="1074" spans="1:10" x14ac:dyDescent="0.25">
      <c r="A1074" t="s">
        <v>1418</v>
      </c>
      <c r="B1074" t="s">
        <v>63</v>
      </c>
      <c r="C1074">
        <v>8</v>
      </c>
      <c r="D1074" t="s">
        <v>3418</v>
      </c>
      <c r="E1074">
        <v>87</v>
      </c>
      <c r="F1074">
        <v>26</v>
      </c>
      <c r="G1074">
        <v>61</v>
      </c>
      <c r="H1074" t="s">
        <v>196</v>
      </c>
      <c r="I1074" t="s">
        <v>3490</v>
      </c>
      <c r="J1074" t="s">
        <v>2932</v>
      </c>
    </row>
    <row r="1075" spans="1:10" x14ac:dyDescent="0.25">
      <c r="A1075" t="s">
        <v>1418</v>
      </c>
      <c r="B1075" t="s">
        <v>63</v>
      </c>
      <c r="C1075">
        <v>8</v>
      </c>
      <c r="D1075" t="s">
        <v>3420</v>
      </c>
      <c r="E1075">
        <v>54</v>
      </c>
      <c r="F1075">
        <v>13</v>
      </c>
      <c r="G1075">
        <v>41</v>
      </c>
      <c r="H1075" t="s">
        <v>3493</v>
      </c>
      <c r="I1075" t="s">
        <v>3490</v>
      </c>
      <c r="J1075" t="s">
        <v>2932</v>
      </c>
    </row>
    <row r="1076" spans="1:10" x14ac:dyDescent="0.25">
      <c r="A1076" t="s">
        <v>1418</v>
      </c>
      <c r="B1076" t="s">
        <v>63</v>
      </c>
      <c r="C1076">
        <v>8</v>
      </c>
      <c r="D1076" t="s">
        <v>3422</v>
      </c>
      <c r="E1076">
        <v>56</v>
      </c>
      <c r="F1076">
        <v>20</v>
      </c>
      <c r="G1076">
        <v>36</v>
      </c>
      <c r="H1076" t="s">
        <v>3493</v>
      </c>
      <c r="I1076" t="s">
        <v>3490</v>
      </c>
      <c r="J1076" t="s">
        <v>2932</v>
      </c>
    </row>
    <row r="1077" spans="1:10" x14ac:dyDescent="0.25">
      <c r="A1077" t="s">
        <v>1423</v>
      </c>
      <c r="B1077" t="s">
        <v>122</v>
      </c>
      <c r="C1077">
        <v>8</v>
      </c>
      <c r="D1077" t="s">
        <v>3294</v>
      </c>
      <c r="E1077">
        <v>78</v>
      </c>
      <c r="F1077">
        <v>15</v>
      </c>
      <c r="G1077">
        <v>63</v>
      </c>
      <c r="H1077" t="s">
        <v>3494</v>
      </c>
      <c r="I1077" t="s">
        <v>3490</v>
      </c>
      <c r="J1077" t="s">
        <v>2919</v>
      </c>
    </row>
    <row r="1078" spans="1:10" x14ac:dyDescent="0.25">
      <c r="A1078" t="s">
        <v>1423</v>
      </c>
      <c r="B1078" t="s">
        <v>122</v>
      </c>
      <c r="C1078">
        <v>8</v>
      </c>
      <c r="D1078" t="s">
        <v>3296</v>
      </c>
      <c r="E1078">
        <v>91</v>
      </c>
      <c r="F1078">
        <v>30</v>
      </c>
      <c r="G1078">
        <v>61</v>
      </c>
      <c r="H1078" t="s">
        <v>3495</v>
      </c>
      <c r="I1078" t="s">
        <v>3490</v>
      </c>
      <c r="J1078" t="s">
        <v>2919</v>
      </c>
    </row>
    <row r="1079" spans="1:10" x14ac:dyDescent="0.25">
      <c r="A1079" t="s">
        <v>1423</v>
      </c>
      <c r="B1079" t="s">
        <v>122</v>
      </c>
      <c r="C1079">
        <v>8</v>
      </c>
      <c r="D1079" t="s">
        <v>3298</v>
      </c>
      <c r="E1079">
        <v>44</v>
      </c>
      <c r="F1079">
        <v>10</v>
      </c>
      <c r="G1079">
        <v>34</v>
      </c>
      <c r="H1079" t="s">
        <v>3491</v>
      </c>
      <c r="I1079" t="s">
        <v>3492</v>
      </c>
      <c r="J1079" t="s">
        <v>2919</v>
      </c>
    </row>
    <row r="1080" spans="1:10" x14ac:dyDescent="0.25">
      <c r="A1080" t="s">
        <v>1423</v>
      </c>
      <c r="B1080" t="s">
        <v>122</v>
      </c>
      <c r="C1080">
        <v>8</v>
      </c>
      <c r="D1080" t="s">
        <v>3300</v>
      </c>
      <c r="E1080">
        <v>41</v>
      </c>
      <c r="F1080">
        <v>19</v>
      </c>
      <c r="G1080">
        <v>22</v>
      </c>
      <c r="H1080" t="s">
        <v>3491</v>
      </c>
      <c r="I1080" t="s">
        <v>3492</v>
      </c>
      <c r="J1080" t="s">
        <v>2919</v>
      </c>
    </row>
    <row r="1081" spans="1:10" x14ac:dyDescent="0.25">
      <c r="A1081" t="s">
        <v>1423</v>
      </c>
      <c r="B1081" t="s">
        <v>122</v>
      </c>
      <c r="C1081">
        <v>8</v>
      </c>
      <c r="D1081" t="s">
        <v>3302</v>
      </c>
      <c r="E1081">
        <v>40</v>
      </c>
      <c r="F1081">
        <v>17</v>
      </c>
      <c r="G1081">
        <v>23</v>
      </c>
      <c r="H1081" t="s">
        <v>3491</v>
      </c>
      <c r="I1081" t="s">
        <v>3492</v>
      </c>
      <c r="J1081" t="s">
        <v>2919</v>
      </c>
    </row>
    <row r="1082" spans="1:10" x14ac:dyDescent="0.25">
      <c r="A1082" t="s">
        <v>1428</v>
      </c>
      <c r="B1082" t="s">
        <v>212</v>
      </c>
      <c r="C1082">
        <v>4</v>
      </c>
      <c r="D1082" t="s">
        <v>3454</v>
      </c>
      <c r="E1082">
        <v>34</v>
      </c>
      <c r="F1082">
        <v>13</v>
      </c>
      <c r="G1082">
        <v>21</v>
      </c>
      <c r="H1082" t="s">
        <v>3491</v>
      </c>
      <c r="I1082" t="s">
        <v>3492</v>
      </c>
      <c r="J1082" t="s">
        <v>3001</v>
      </c>
    </row>
    <row r="1083" spans="1:10" x14ac:dyDescent="0.25">
      <c r="A1083" t="s">
        <v>1428</v>
      </c>
      <c r="B1083" t="s">
        <v>212</v>
      </c>
      <c r="C1083">
        <v>4</v>
      </c>
      <c r="D1083" t="s">
        <v>3456</v>
      </c>
      <c r="E1083">
        <v>72</v>
      </c>
      <c r="F1083">
        <v>29</v>
      </c>
      <c r="G1083">
        <v>43</v>
      </c>
      <c r="H1083" t="s">
        <v>3494</v>
      </c>
      <c r="I1083" t="s">
        <v>3490</v>
      </c>
      <c r="J1083" t="s">
        <v>3001</v>
      </c>
    </row>
    <row r="1084" spans="1:10" x14ac:dyDescent="0.25">
      <c r="A1084" t="s">
        <v>1428</v>
      </c>
      <c r="B1084" t="s">
        <v>212</v>
      </c>
      <c r="C1084">
        <v>4</v>
      </c>
      <c r="D1084" t="s">
        <v>3458</v>
      </c>
      <c r="E1084">
        <v>73</v>
      </c>
      <c r="F1084">
        <v>22</v>
      </c>
      <c r="G1084">
        <v>51</v>
      </c>
      <c r="H1084" t="s">
        <v>3494</v>
      </c>
      <c r="I1084" t="s">
        <v>3490</v>
      </c>
      <c r="J1084" t="s">
        <v>3001</v>
      </c>
    </row>
    <row r="1085" spans="1:10" x14ac:dyDescent="0.25">
      <c r="A1085" t="s">
        <v>1428</v>
      </c>
      <c r="B1085" t="s">
        <v>212</v>
      </c>
      <c r="C1085">
        <v>4</v>
      </c>
      <c r="D1085" t="s">
        <v>3460</v>
      </c>
      <c r="E1085">
        <v>97</v>
      </c>
      <c r="F1085">
        <v>28</v>
      </c>
      <c r="G1085">
        <v>69</v>
      </c>
      <c r="H1085" t="s">
        <v>3495</v>
      </c>
      <c r="I1085" t="s">
        <v>3490</v>
      </c>
      <c r="J1085" t="s">
        <v>3001</v>
      </c>
    </row>
    <row r="1086" spans="1:10" x14ac:dyDescent="0.25">
      <c r="A1086" t="s">
        <v>1428</v>
      </c>
      <c r="B1086" t="s">
        <v>212</v>
      </c>
      <c r="C1086">
        <v>4</v>
      </c>
      <c r="D1086" t="s">
        <v>3462</v>
      </c>
      <c r="E1086">
        <v>78</v>
      </c>
      <c r="F1086">
        <v>30</v>
      </c>
      <c r="G1086">
        <v>48</v>
      </c>
      <c r="H1086" t="s">
        <v>3494</v>
      </c>
      <c r="I1086" t="s">
        <v>3490</v>
      </c>
      <c r="J1086" t="s">
        <v>3001</v>
      </c>
    </row>
    <row r="1087" spans="1:10" x14ac:dyDescent="0.25">
      <c r="A1087" t="s">
        <v>1434</v>
      </c>
      <c r="B1087" t="s">
        <v>63</v>
      </c>
      <c r="C1087">
        <v>8</v>
      </c>
      <c r="D1087" t="s">
        <v>3414</v>
      </c>
      <c r="E1087">
        <v>68</v>
      </c>
      <c r="F1087">
        <v>21</v>
      </c>
      <c r="G1087">
        <v>47</v>
      </c>
      <c r="H1087" t="s">
        <v>3489</v>
      </c>
      <c r="I1087" t="s">
        <v>3490</v>
      </c>
      <c r="J1087" t="s">
        <v>2932</v>
      </c>
    </row>
    <row r="1088" spans="1:10" x14ac:dyDescent="0.25">
      <c r="A1088" t="s">
        <v>1434</v>
      </c>
      <c r="B1088" t="s">
        <v>63</v>
      </c>
      <c r="C1088">
        <v>8</v>
      </c>
      <c r="D1088" t="s">
        <v>3416</v>
      </c>
      <c r="E1088">
        <v>78</v>
      </c>
      <c r="F1088">
        <v>19</v>
      </c>
      <c r="G1088">
        <v>59</v>
      </c>
      <c r="H1088" t="s">
        <v>3494</v>
      </c>
      <c r="I1088" t="s">
        <v>3490</v>
      </c>
      <c r="J1088" t="s">
        <v>2932</v>
      </c>
    </row>
    <row r="1089" spans="1:10" x14ac:dyDescent="0.25">
      <c r="A1089" t="s">
        <v>1434</v>
      </c>
      <c r="B1089" t="s">
        <v>63</v>
      </c>
      <c r="C1089">
        <v>8</v>
      </c>
      <c r="D1089" t="s">
        <v>3418</v>
      </c>
      <c r="E1089">
        <v>55</v>
      </c>
      <c r="F1089">
        <v>12</v>
      </c>
      <c r="G1089">
        <v>43</v>
      </c>
      <c r="H1089" t="s">
        <v>3493</v>
      </c>
      <c r="I1089" t="s">
        <v>3490</v>
      </c>
      <c r="J1089" t="s">
        <v>2932</v>
      </c>
    </row>
    <row r="1090" spans="1:10" x14ac:dyDescent="0.25">
      <c r="A1090" t="s">
        <v>1434</v>
      </c>
      <c r="B1090" t="s">
        <v>63</v>
      </c>
      <c r="C1090">
        <v>8</v>
      </c>
      <c r="D1090" t="s">
        <v>3420</v>
      </c>
      <c r="E1090">
        <v>81</v>
      </c>
      <c r="F1090">
        <v>24</v>
      </c>
      <c r="G1090">
        <v>57</v>
      </c>
      <c r="H1090" t="s">
        <v>196</v>
      </c>
      <c r="I1090" t="s">
        <v>3490</v>
      </c>
      <c r="J1090" t="s">
        <v>2932</v>
      </c>
    </row>
    <row r="1091" spans="1:10" x14ac:dyDescent="0.25">
      <c r="A1091" t="s">
        <v>1434</v>
      </c>
      <c r="B1091" t="s">
        <v>63</v>
      </c>
      <c r="C1091">
        <v>8</v>
      </c>
      <c r="D1091" t="s">
        <v>3422</v>
      </c>
      <c r="E1091">
        <v>64</v>
      </c>
      <c r="F1091">
        <v>21</v>
      </c>
      <c r="G1091">
        <v>43</v>
      </c>
      <c r="H1091" t="s">
        <v>3489</v>
      </c>
      <c r="I1091" t="s">
        <v>3490</v>
      </c>
      <c r="J1091" t="s">
        <v>2932</v>
      </c>
    </row>
    <row r="1092" spans="1:10" x14ac:dyDescent="0.25">
      <c r="A1092" t="s">
        <v>1440</v>
      </c>
      <c r="B1092" t="s">
        <v>122</v>
      </c>
      <c r="C1092">
        <v>4</v>
      </c>
      <c r="D1092" t="s">
        <v>3274</v>
      </c>
      <c r="E1092">
        <v>66</v>
      </c>
      <c r="F1092">
        <v>19</v>
      </c>
      <c r="G1092">
        <v>47</v>
      </c>
      <c r="H1092" t="s">
        <v>3489</v>
      </c>
      <c r="I1092" t="s">
        <v>3490</v>
      </c>
      <c r="J1092" t="s">
        <v>2919</v>
      </c>
    </row>
    <row r="1093" spans="1:10" x14ac:dyDescent="0.25">
      <c r="A1093" t="s">
        <v>1440</v>
      </c>
      <c r="B1093" t="s">
        <v>122</v>
      </c>
      <c r="C1093">
        <v>4</v>
      </c>
      <c r="D1093" t="s">
        <v>3276</v>
      </c>
      <c r="E1093">
        <v>50</v>
      </c>
      <c r="F1093">
        <v>15</v>
      </c>
      <c r="G1093">
        <v>35</v>
      </c>
      <c r="H1093" t="s">
        <v>3493</v>
      </c>
      <c r="I1093" t="s">
        <v>3490</v>
      </c>
      <c r="J1093" t="s">
        <v>2919</v>
      </c>
    </row>
    <row r="1094" spans="1:10" x14ac:dyDescent="0.25">
      <c r="A1094" t="s">
        <v>1440</v>
      </c>
      <c r="B1094" t="s">
        <v>122</v>
      </c>
      <c r="C1094">
        <v>4</v>
      </c>
      <c r="D1094" t="s">
        <v>3278</v>
      </c>
      <c r="E1094">
        <v>68</v>
      </c>
      <c r="F1094">
        <v>18</v>
      </c>
      <c r="G1094">
        <v>50</v>
      </c>
      <c r="H1094" t="s">
        <v>3489</v>
      </c>
      <c r="I1094" t="s">
        <v>3490</v>
      </c>
      <c r="J1094" t="s">
        <v>2919</v>
      </c>
    </row>
    <row r="1095" spans="1:10" x14ac:dyDescent="0.25">
      <c r="A1095" t="s">
        <v>1440</v>
      </c>
      <c r="B1095" t="s">
        <v>122</v>
      </c>
      <c r="C1095">
        <v>4</v>
      </c>
      <c r="D1095" t="s">
        <v>3280</v>
      </c>
      <c r="E1095">
        <v>41</v>
      </c>
      <c r="F1095">
        <v>13</v>
      </c>
      <c r="G1095">
        <v>28</v>
      </c>
      <c r="H1095" t="s">
        <v>3491</v>
      </c>
      <c r="I1095" t="s">
        <v>3492</v>
      </c>
      <c r="J1095" t="s">
        <v>2919</v>
      </c>
    </row>
    <row r="1096" spans="1:10" x14ac:dyDescent="0.25">
      <c r="A1096" t="s">
        <v>1440</v>
      </c>
      <c r="B1096" t="s">
        <v>122</v>
      </c>
      <c r="C1096">
        <v>4</v>
      </c>
      <c r="D1096" t="s">
        <v>3282</v>
      </c>
      <c r="E1096">
        <v>67</v>
      </c>
      <c r="F1096">
        <v>18</v>
      </c>
      <c r="G1096">
        <v>49</v>
      </c>
      <c r="H1096" t="s">
        <v>3489</v>
      </c>
      <c r="I1096" t="s">
        <v>3490</v>
      </c>
      <c r="J1096" t="s">
        <v>2919</v>
      </c>
    </row>
    <row r="1097" spans="1:10" x14ac:dyDescent="0.25">
      <c r="A1097" t="s">
        <v>1444</v>
      </c>
      <c r="B1097" t="s">
        <v>95</v>
      </c>
      <c r="C1097">
        <v>6</v>
      </c>
      <c r="D1097" t="s">
        <v>3234</v>
      </c>
      <c r="E1097">
        <v>43</v>
      </c>
      <c r="F1097">
        <v>23</v>
      </c>
      <c r="G1097">
        <v>20</v>
      </c>
      <c r="H1097" t="s">
        <v>3491</v>
      </c>
      <c r="I1097" t="s">
        <v>3492</v>
      </c>
      <c r="J1097" t="s">
        <v>2889</v>
      </c>
    </row>
    <row r="1098" spans="1:10" x14ac:dyDescent="0.25">
      <c r="A1098" t="s">
        <v>1444</v>
      </c>
      <c r="B1098" t="s">
        <v>95</v>
      </c>
      <c r="C1098">
        <v>6</v>
      </c>
      <c r="D1098" t="s">
        <v>3236</v>
      </c>
      <c r="E1098">
        <v>35</v>
      </c>
      <c r="F1098">
        <v>13</v>
      </c>
      <c r="G1098">
        <v>22</v>
      </c>
      <c r="H1098" t="s">
        <v>3491</v>
      </c>
      <c r="I1098" t="s">
        <v>3492</v>
      </c>
      <c r="J1098" t="s">
        <v>2889</v>
      </c>
    </row>
    <row r="1099" spans="1:10" x14ac:dyDescent="0.25">
      <c r="A1099" t="s">
        <v>1444</v>
      </c>
      <c r="B1099" t="s">
        <v>95</v>
      </c>
      <c r="C1099">
        <v>6</v>
      </c>
      <c r="D1099" t="s">
        <v>3238</v>
      </c>
      <c r="E1099">
        <v>50</v>
      </c>
      <c r="F1099">
        <v>27</v>
      </c>
      <c r="G1099">
        <v>23</v>
      </c>
      <c r="H1099" t="s">
        <v>3493</v>
      </c>
      <c r="I1099" t="s">
        <v>3490</v>
      </c>
      <c r="J1099" t="s">
        <v>2889</v>
      </c>
    </row>
    <row r="1100" spans="1:10" x14ac:dyDescent="0.25">
      <c r="A1100" t="s">
        <v>1444</v>
      </c>
      <c r="B1100" t="s">
        <v>95</v>
      </c>
      <c r="C1100">
        <v>6</v>
      </c>
      <c r="D1100" t="s">
        <v>3240</v>
      </c>
      <c r="E1100">
        <v>83</v>
      </c>
      <c r="F1100">
        <v>13</v>
      </c>
      <c r="G1100">
        <v>70</v>
      </c>
      <c r="H1100" t="s">
        <v>196</v>
      </c>
      <c r="I1100" t="s">
        <v>3490</v>
      </c>
      <c r="J1100" t="s">
        <v>2889</v>
      </c>
    </row>
    <row r="1101" spans="1:10" x14ac:dyDescent="0.25">
      <c r="A1101" t="s">
        <v>1444</v>
      </c>
      <c r="B1101" t="s">
        <v>95</v>
      </c>
      <c r="C1101">
        <v>6</v>
      </c>
      <c r="D1101" t="s">
        <v>3242</v>
      </c>
      <c r="E1101">
        <v>53</v>
      </c>
      <c r="F1101">
        <v>26</v>
      </c>
      <c r="G1101">
        <v>27</v>
      </c>
      <c r="H1101" t="s">
        <v>3493</v>
      </c>
      <c r="I1101" t="s">
        <v>3490</v>
      </c>
      <c r="J1101" t="s">
        <v>2889</v>
      </c>
    </row>
    <row r="1102" spans="1:10" x14ac:dyDescent="0.25">
      <c r="A1102" t="s">
        <v>1449</v>
      </c>
      <c r="B1102" t="s">
        <v>63</v>
      </c>
      <c r="C1102">
        <v>6</v>
      </c>
      <c r="D1102" t="s">
        <v>3414</v>
      </c>
      <c r="E1102">
        <v>44</v>
      </c>
      <c r="F1102">
        <v>11</v>
      </c>
      <c r="G1102">
        <v>33</v>
      </c>
      <c r="H1102" t="s">
        <v>3491</v>
      </c>
      <c r="I1102" t="s">
        <v>3492</v>
      </c>
      <c r="J1102" t="s">
        <v>2932</v>
      </c>
    </row>
    <row r="1103" spans="1:10" x14ac:dyDescent="0.25">
      <c r="A1103" t="s">
        <v>1449</v>
      </c>
      <c r="B1103" t="s">
        <v>63</v>
      </c>
      <c r="C1103">
        <v>6</v>
      </c>
      <c r="D1103" t="s">
        <v>3416</v>
      </c>
      <c r="E1103">
        <v>77</v>
      </c>
      <c r="F1103">
        <v>10</v>
      </c>
      <c r="G1103">
        <v>67</v>
      </c>
      <c r="H1103" t="s">
        <v>3494</v>
      </c>
      <c r="I1103" t="s">
        <v>3490</v>
      </c>
      <c r="J1103" t="s">
        <v>2932</v>
      </c>
    </row>
    <row r="1104" spans="1:10" x14ac:dyDescent="0.25">
      <c r="A1104" t="s">
        <v>1449</v>
      </c>
      <c r="B1104" t="s">
        <v>63</v>
      </c>
      <c r="C1104">
        <v>6</v>
      </c>
      <c r="D1104" t="s">
        <v>3418</v>
      </c>
      <c r="E1104">
        <v>78</v>
      </c>
      <c r="F1104">
        <v>23</v>
      </c>
      <c r="G1104">
        <v>55</v>
      </c>
      <c r="H1104" t="s">
        <v>3494</v>
      </c>
      <c r="I1104" t="s">
        <v>3490</v>
      </c>
      <c r="J1104" t="s">
        <v>2932</v>
      </c>
    </row>
    <row r="1105" spans="1:10" x14ac:dyDescent="0.25">
      <c r="A1105" t="s">
        <v>1449</v>
      </c>
      <c r="B1105" t="s">
        <v>63</v>
      </c>
      <c r="C1105">
        <v>6</v>
      </c>
      <c r="D1105" t="s">
        <v>3420</v>
      </c>
      <c r="E1105">
        <v>43</v>
      </c>
      <c r="F1105">
        <v>17</v>
      </c>
      <c r="G1105">
        <v>26</v>
      </c>
      <c r="H1105" t="s">
        <v>3491</v>
      </c>
      <c r="I1105" t="s">
        <v>3492</v>
      </c>
      <c r="J1105" t="s">
        <v>2932</v>
      </c>
    </row>
    <row r="1106" spans="1:10" x14ac:dyDescent="0.25">
      <c r="A1106" t="s">
        <v>1449</v>
      </c>
      <c r="B1106" t="s">
        <v>63</v>
      </c>
      <c r="C1106">
        <v>6</v>
      </c>
      <c r="D1106" t="s">
        <v>3422</v>
      </c>
      <c r="E1106">
        <v>69</v>
      </c>
      <c r="F1106">
        <v>24</v>
      </c>
      <c r="G1106">
        <v>45</v>
      </c>
      <c r="H1106" t="s">
        <v>3489</v>
      </c>
      <c r="I1106" t="s">
        <v>3490</v>
      </c>
      <c r="J1106" t="s">
        <v>2932</v>
      </c>
    </row>
    <row r="1107" spans="1:10" x14ac:dyDescent="0.25">
      <c r="A1107" t="s">
        <v>1454</v>
      </c>
      <c r="B1107" t="s">
        <v>63</v>
      </c>
      <c r="C1107">
        <v>6</v>
      </c>
      <c r="D1107" t="s">
        <v>3414</v>
      </c>
      <c r="E1107">
        <v>86</v>
      </c>
      <c r="F1107">
        <v>18</v>
      </c>
      <c r="G1107">
        <v>68</v>
      </c>
      <c r="H1107" t="s">
        <v>196</v>
      </c>
      <c r="I1107" t="s">
        <v>3490</v>
      </c>
      <c r="J1107" t="s">
        <v>2932</v>
      </c>
    </row>
    <row r="1108" spans="1:10" x14ac:dyDescent="0.25">
      <c r="A1108" t="s">
        <v>1454</v>
      </c>
      <c r="B1108" t="s">
        <v>63</v>
      </c>
      <c r="C1108">
        <v>6</v>
      </c>
      <c r="D1108" t="s">
        <v>3416</v>
      </c>
      <c r="E1108">
        <v>63</v>
      </c>
      <c r="F1108">
        <v>12</v>
      </c>
      <c r="G1108">
        <v>51</v>
      </c>
      <c r="H1108" t="s">
        <v>3489</v>
      </c>
      <c r="I1108" t="s">
        <v>3490</v>
      </c>
      <c r="J1108" t="s">
        <v>2932</v>
      </c>
    </row>
    <row r="1109" spans="1:10" x14ac:dyDescent="0.25">
      <c r="A1109" t="s">
        <v>1454</v>
      </c>
      <c r="B1109" t="s">
        <v>63</v>
      </c>
      <c r="C1109">
        <v>6</v>
      </c>
      <c r="D1109" t="s">
        <v>3418</v>
      </c>
      <c r="E1109">
        <v>62</v>
      </c>
      <c r="F1109">
        <v>15</v>
      </c>
      <c r="G1109">
        <v>47</v>
      </c>
      <c r="H1109" t="s">
        <v>3489</v>
      </c>
      <c r="I1109" t="s">
        <v>3490</v>
      </c>
      <c r="J1109" t="s">
        <v>2932</v>
      </c>
    </row>
    <row r="1110" spans="1:10" x14ac:dyDescent="0.25">
      <c r="A1110" t="s">
        <v>1454</v>
      </c>
      <c r="B1110" t="s">
        <v>63</v>
      </c>
      <c r="C1110">
        <v>6</v>
      </c>
      <c r="D1110" t="s">
        <v>3420</v>
      </c>
      <c r="E1110">
        <v>48</v>
      </c>
      <c r="F1110">
        <v>26</v>
      </c>
      <c r="G1110">
        <v>22</v>
      </c>
      <c r="H1110" t="s">
        <v>3491</v>
      </c>
      <c r="I1110" t="s">
        <v>3492</v>
      </c>
      <c r="J1110" t="s">
        <v>2932</v>
      </c>
    </row>
    <row r="1111" spans="1:10" x14ac:dyDescent="0.25">
      <c r="A1111" t="s">
        <v>1454</v>
      </c>
      <c r="B1111" t="s">
        <v>63</v>
      </c>
      <c r="C1111">
        <v>6</v>
      </c>
      <c r="D1111" t="s">
        <v>3422</v>
      </c>
      <c r="E1111">
        <v>47</v>
      </c>
      <c r="F1111">
        <v>27</v>
      </c>
      <c r="G1111">
        <v>20</v>
      </c>
      <c r="H1111" t="s">
        <v>3491</v>
      </c>
      <c r="I1111" t="s">
        <v>3492</v>
      </c>
      <c r="J1111" t="s">
        <v>2932</v>
      </c>
    </row>
    <row r="1112" spans="1:10" x14ac:dyDescent="0.25">
      <c r="A1112" t="s">
        <v>1458</v>
      </c>
      <c r="B1112" t="s">
        <v>122</v>
      </c>
      <c r="C1112">
        <v>8</v>
      </c>
      <c r="D1112" t="s">
        <v>3294</v>
      </c>
      <c r="E1112">
        <v>52</v>
      </c>
      <c r="F1112">
        <v>26</v>
      </c>
      <c r="G1112">
        <v>26</v>
      </c>
      <c r="H1112" t="s">
        <v>3493</v>
      </c>
      <c r="I1112" t="s">
        <v>3490</v>
      </c>
      <c r="J1112" t="s">
        <v>2919</v>
      </c>
    </row>
    <row r="1113" spans="1:10" x14ac:dyDescent="0.25">
      <c r="A1113" t="s">
        <v>1458</v>
      </c>
      <c r="B1113" t="s">
        <v>122</v>
      </c>
      <c r="C1113">
        <v>8</v>
      </c>
      <c r="D1113" t="s">
        <v>3296</v>
      </c>
      <c r="E1113">
        <v>69</v>
      </c>
      <c r="F1113">
        <v>21</v>
      </c>
      <c r="G1113">
        <v>48</v>
      </c>
      <c r="H1113" t="s">
        <v>3489</v>
      </c>
      <c r="I1113" t="s">
        <v>3490</v>
      </c>
      <c r="J1113" t="s">
        <v>2919</v>
      </c>
    </row>
    <row r="1114" spans="1:10" x14ac:dyDescent="0.25">
      <c r="A1114" t="s">
        <v>1458</v>
      </c>
      <c r="B1114" t="s">
        <v>122</v>
      </c>
      <c r="C1114">
        <v>8</v>
      </c>
      <c r="D1114" t="s">
        <v>3298</v>
      </c>
      <c r="E1114">
        <v>42</v>
      </c>
      <c r="F1114">
        <v>13</v>
      </c>
      <c r="G1114">
        <v>29</v>
      </c>
      <c r="H1114" t="s">
        <v>3491</v>
      </c>
      <c r="I1114" t="s">
        <v>3492</v>
      </c>
      <c r="J1114" t="s">
        <v>2919</v>
      </c>
    </row>
    <row r="1115" spans="1:10" x14ac:dyDescent="0.25">
      <c r="A1115" t="s">
        <v>1458</v>
      </c>
      <c r="B1115" t="s">
        <v>122</v>
      </c>
      <c r="C1115">
        <v>8</v>
      </c>
      <c r="D1115" t="s">
        <v>3300</v>
      </c>
      <c r="E1115">
        <v>49</v>
      </c>
      <c r="F1115">
        <v>28</v>
      </c>
      <c r="G1115">
        <v>21</v>
      </c>
      <c r="H1115" t="s">
        <v>3491</v>
      </c>
      <c r="I1115" t="s">
        <v>3492</v>
      </c>
      <c r="J1115" t="s">
        <v>2919</v>
      </c>
    </row>
    <row r="1116" spans="1:10" x14ac:dyDescent="0.25">
      <c r="A1116" t="s">
        <v>1458</v>
      </c>
      <c r="B1116" t="s">
        <v>122</v>
      </c>
      <c r="C1116">
        <v>8</v>
      </c>
      <c r="D1116" t="s">
        <v>3302</v>
      </c>
      <c r="E1116">
        <v>54</v>
      </c>
      <c r="F1116">
        <v>13</v>
      </c>
      <c r="G1116">
        <v>41</v>
      </c>
      <c r="H1116" t="s">
        <v>3493</v>
      </c>
      <c r="I1116" t="s">
        <v>3490</v>
      </c>
      <c r="J1116" t="s">
        <v>2919</v>
      </c>
    </row>
    <row r="1117" spans="1:10" x14ac:dyDescent="0.25">
      <c r="A1117" t="s">
        <v>1463</v>
      </c>
      <c r="B1117" t="s">
        <v>212</v>
      </c>
      <c r="C1117">
        <v>4</v>
      </c>
      <c r="D1117" t="s">
        <v>3454</v>
      </c>
      <c r="E1117">
        <v>60</v>
      </c>
      <c r="F1117">
        <v>11</v>
      </c>
      <c r="G1117">
        <v>49</v>
      </c>
      <c r="H1117" t="s">
        <v>3489</v>
      </c>
      <c r="I1117" t="s">
        <v>3490</v>
      </c>
      <c r="J1117" t="s">
        <v>3001</v>
      </c>
    </row>
    <row r="1118" spans="1:10" x14ac:dyDescent="0.25">
      <c r="A1118" t="s">
        <v>1463</v>
      </c>
      <c r="B1118" t="s">
        <v>212</v>
      </c>
      <c r="C1118">
        <v>4</v>
      </c>
      <c r="D1118" t="s">
        <v>3456</v>
      </c>
      <c r="E1118">
        <v>44</v>
      </c>
      <c r="F1118">
        <v>12</v>
      </c>
      <c r="G1118">
        <v>32</v>
      </c>
      <c r="H1118" t="s">
        <v>3491</v>
      </c>
      <c r="I1118" t="s">
        <v>3492</v>
      </c>
      <c r="J1118" t="s">
        <v>3001</v>
      </c>
    </row>
    <row r="1119" spans="1:10" x14ac:dyDescent="0.25">
      <c r="A1119" t="s">
        <v>1463</v>
      </c>
      <c r="B1119" t="s">
        <v>212</v>
      </c>
      <c r="C1119">
        <v>4</v>
      </c>
      <c r="D1119" t="s">
        <v>3458</v>
      </c>
      <c r="E1119">
        <v>48</v>
      </c>
      <c r="F1119">
        <v>26</v>
      </c>
      <c r="G1119">
        <v>22</v>
      </c>
      <c r="H1119" t="s">
        <v>3491</v>
      </c>
      <c r="I1119" t="s">
        <v>3492</v>
      </c>
      <c r="J1119" t="s">
        <v>3001</v>
      </c>
    </row>
    <row r="1120" spans="1:10" x14ac:dyDescent="0.25">
      <c r="A1120" t="s">
        <v>1463</v>
      </c>
      <c r="B1120" t="s">
        <v>212</v>
      </c>
      <c r="C1120">
        <v>4</v>
      </c>
      <c r="D1120" t="s">
        <v>3460</v>
      </c>
      <c r="E1120">
        <v>71</v>
      </c>
      <c r="F1120">
        <v>23</v>
      </c>
      <c r="G1120">
        <v>48</v>
      </c>
      <c r="H1120" t="s">
        <v>3494</v>
      </c>
      <c r="I1120" t="s">
        <v>3490</v>
      </c>
      <c r="J1120" t="s">
        <v>3001</v>
      </c>
    </row>
    <row r="1121" spans="1:10" x14ac:dyDescent="0.25">
      <c r="A1121" t="s">
        <v>1463</v>
      </c>
      <c r="B1121" t="s">
        <v>212</v>
      </c>
      <c r="C1121">
        <v>4</v>
      </c>
      <c r="D1121" t="s">
        <v>3462</v>
      </c>
      <c r="E1121">
        <v>48</v>
      </c>
      <c r="F1121">
        <v>13</v>
      </c>
      <c r="G1121">
        <v>35</v>
      </c>
      <c r="H1121" t="s">
        <v>3491</v>
      </c>
      <c r="I1121" t="s">
        <v>3492</v>
      </c>
      <c r="J1121" t="s">
        <v>3001</v>
      </c>
    </row>
    <row r="1122" spans="1:10" x14ac:dyDescent="0.25">
      <c r="A1122" t="s">
        <v>1468</v>
      </c>
      <c r="B1122" t="s">
        <v>159</v>
      </c>
      <c r="C1122">
        <v>8</v>
      </c>
      <c r="D1122" t="s">
        <v>3114</v>
      </c>
      <c r="E1122">
        <v>60</v>
      </c>
      <c r="F1122">
        <v>11</v>
      </c>
      <c r="G1122">
        <v>49</v>
      </c>
      <c r="H1122" t="s">
        <v>3489</v>
      </c>
      <c r="I1122" t="s">
        <v>3490</v>
      </c>
      <c r="J1122" t="s">
        <v>2902</v>
      </c>
    </row>
    <row r="1123" spans="1:10" x14ac:dyDescent="0.25">
      <c r="A1123" t="s">
        <v>1468</v>
      </c>
      <c r="B1123" t="s">
        <v>159</v>
      </c>
      <c r="C1123">
        <v>8</v>
      </c>
      <c r="D1123" t="s">
        <v>3116</v>
      </c>
      <c r="E1123">
        <v>58</v>
      </c>
      <c r="F1123">
        <v>17</v>
      </c>
      <c r="G1123">
        <v>41</v>
      </c>
      <c r="H1123" t="s">
        <v>3493</v>
      </c>
      <c r="I1123" t="s">
        <v>3490</v>
      </c>
      <c r="J1123" t="s">
        <v>2902</v>
      </c>
    </row>
    <row r="1124" spans="1:10" x14ac:dyDescent="0.25">
      <c r="A1124" t="s">
        <v>1468</v>
      </c>
      <c r="B1124" t="s">
        <v>159</v>
      </c>
      <c r="C1124">
        <v>8</v>
      </c>
      <c r="D1124" t="s">
        <v>3118</v>
      </c>
      <c r="E1124">
        <v>35</v>
      </c>
      <c r="F1124">
        <v>12</v>
      </c>
      <c r="G1124">
        <v>23</v>
      </c>
      <c r="H1124" t="s">
        <v>3491</v>
      </c>
      <c r="I1124" t="s">
        <v>3492</v>
      </c>
      <c r="J1124" t="s">
        <v>2902</v>
      </c>
    </row>
    <row r="1125" spans="1:10" x14ac:dyDescent="0.25">
      <c r="A1125" t="s">
        <v>1468</v>
      </c>
      <c r="B1125" t="s">
        <v>159</v>
      </c>
      <c r="C1125">
        <v>8</v>
      </c>
      <c r="D1125" t="s">
        <v>3120</v>
      </c>
      <c r="E1125">
        <v>62</v>
      </c>
      <c r="F1125">
        <v>19</v>
      </c>
      <c r="G1125">
        <v>43</v>
      </c>
      <c r="H1125" t="s">
        <v>3489</v>
      </c>
      <c r="I1125" t="s">
        <v>3490</v>
      </c>
      <c r="J1125" t="s">
        <v>2902</v>
      </c>
    </row>
    <row r="1126" spans="1:10" x14ac:dyDescent="0.25">
      <c r="A1126" t="s">
        <v>1468</v>
      </c>
      <c r="B1126" t="s">
        <v>159</v>
      </c>
      <c r="C1126">
        <v>8</v>
      </c>
      <c r="D1126" t="s">
        <v>3122</v>
      </c>
      <c r="E1126">
        <v>63</v>
      </c>
      <c r="F1126">
        <v>26</v>
      </c>
      <c r="G1126">
        <v>37</v>
      </c>
      <c r="H1126" t="s">
        <v>3489</v>
      </c>
      <c r="I1126" t="s">
        <v>3490</v>
      </c>
      <c r="J1126" t="s">
        <v>2902</v>
      </c>
    </row>
    <row r="1127" spans="1:10" x14ac:dyDescent="0.25">
      <c r="A1127" t="s">
        <v>1473</v>
      </c>
      <c r="B1127" t="s">
        <v>122</v>
      </c>
      <c r="C1127">
        <v>8</v>
      </c>
      <c r="D1127" t="s">
        <v>3294</v>
      </c>
      <c r="E1127">
        <v>64</v>
      </c>
      <c r="F1127">
        <v>25</v>
      </c>
      <c r="G1127">
        <v>39</v>
      </c>
      <c r="H1127" t="s">
        <v>3489</v>
      </c>
      <c r="I1127" t="s">
        <v>3490</v>
      </c>
      <c r="J1127" t="s">
        <v>2919</v>
      </c>
    </row>
    <row r="1128" spans="1:10" x14ac:dyDescent="0.25">
      <c r="A1128" t="s">
        <v>1473</v>
      </c>
      <c r="B1128" t="s">
        <v>122</v>
      </c>
      <c r="C1128">
        <v>8</v>
      </c>
      <c r="D1128" t="s">
        <v>3296</v>
      </c>
      <c r="E1128">
        <v>61</v>
      </c>
      <c r="F1128">
        <v>16</v>
      </c>
      <c r="G1128">
        <v>45</v>
      </c>
      <c r="H1128" t="s">
        <v>3489</v>
      </c>
      <c r="I1128" t="s">
        <v>3490</v>
      </c>
      <c r="J1128" t="s">
        <v>2919</v>
      </c>
    </row>
    <row r="1129" spans="1:10" x14ac:dyDescent="0.25">
      <c r="A1129" t="s">
        <v>1473</v>
      </c>
      <c r="B1129" t="s">
        <v>122</v>
      </c>
      <c r="C1129">
        <v>8</v>
      </c>
      <c r="D1129" t="s">
        <v>3298</v>
      </c>
      <c r="E1129">
        <v>42</v>
      </c>
      <c r="F1129">
        <v>15</v>
      </c>
      <c r="G1129">
        <v>27</v>
      </c>
      <c r="H1129" t="s">
        <v>3491</v>
      </c>
      <c r="I1129" t="s">
        <v>3492</v>
      </c>
      <c r="J1129" t="s">
        <v>2919</v>
      </c>
    </row>
    <row r="1130" spans="1:10" x14ac:dyDescent="0.25">
      <c r="A1130" t="s">
        <v>1473</v>
      </c>
      <c r="B1130" t="s">
        <v>122</v>
      </c>
      <c r="C1130">
        <v>8</v>
      </c>
      <c r="D1130" t="s">
        <v>3300</v>
      </c>
      <c r="E1130">
        <v>37</v>
      </c>
      <c r="F1130">
        <v>16</v>
      </c>
      <c r="G1130">
        <v>21</v>
      </c>
      <c r="H1130" t="s">
        <v>3491</v>
      </c>
      <c r="I1130" t="s">
        <v>3492</v>
      </c>
      <c r="J1130" t="s">
        <v>2919</v>
      </c>
    </row>
    <row r="1131" spans="1:10" x14ac:dyDescent="0.25">
      <c r="A1131" t="s">
        <v>1473</v>
      </c>
      <c r="B1131" t="s">
        <v>122</v>
      </c>
      <c r="C1131">
        <v>8</v>
      </c>
      <c r="D1131" t="s">
        <v>3302</v>
      </c>
      <c r="E1131">
        <v>66</v>
      </c>
      <c r="F1131">
        <v>10</v>
      </c>
      <c r="G1131">
        <v>56</v>
      </c>
      <c r="H1131" t="s">
        <v>3489</v>
      </c>
      <c r="I1131" t="s">
        <v>3490</v>
      </c>
      <c r="J1131" t="s">
        <v>2919</v>
      </c>
    </row>
    <row r="1132" spans="1:10" x14ac:dyDescent="0.25">
      <c r="A1132" t="s">
        <v>1478</v>
      </c>
      <c r="B1132" t="s">
        <v>75</v>
      </c>
      <c r="C1132">
        <v>4</v>
      </c>
      <c r="D1132" t="s">
        <v>3034</v>
      </c>
      <c r="E1132">
        <v>54</v>
      </c>
      <c r="F1132">
        <v>23</v>
      </c>
      <c r="G1132">
        <v>31</v>
      </c>
      <c r="H1132" t="s">
        <v>3493</v>
      </c>
      <c r="I1132" t="s">
        <v>3490</v>
      </c>
      <c r="J1132" t="s">
        <v>2961</v>
      </c>
    </row>
    <row r="1133" spans="1:10" x14ac:dyDescent="0.25">
      <c r="A1133" t="s">
        <v>1478</v>
      </c>
      <c r="B1133" t="s">
        <v>75</v>
      </c>
      <c r="C1133">
        <v>4</v>
      </c>
      <c r="D1133" t="s">
        <v>3036</v>
      </c>
      <c r="E1133">
        <v>75</v>
      </c>
      <c r="F1133">
        <v>21</v>
      </c>
      <c r="G1133">
        <v>54</v>
      </c>
      <c r="H1133" t="s">
        <v>3494</v>
      </c>
      <c r="I1133" t="s">
        <v>3490</v>
      </c>
      <c r="J1133" t="s">
        <v>2961</v>
      </c>
    </row>
    <row r="1134" spans="1:10" x14ac:dyDescent="0.25">
      <c r="A1134" t="s">
        <v>1478</v>
      </c>
      <c r="B1134" t="s">
        <v>75</v>
      </c>
      <c r="C1134">
        <v>4</v>
      </c>
      <c r="D1134" t="s">
        <v>3038</v>
      </c>
      <c r="E1134">
        <v>89</v>
      </c>
      <c r="F1134">
        <v>26</v>
      </c>
      <c r="G1134">
        <v>63</v>
      </c>
      <c r="H1134" t="s">
        <v>196</v>
      </c>
      <c r="I1134" t="s">
        <v>3490</v>
      </c>
      <c r="J1134" t="s">
        <v>2961</v>
      </c>
    </row>
    <row r="1135" spans="1:10" x14ac:dyDescent="0.25">
      <c r="A1135" t="s">
        <v>1478</v>
      </c>
      <c r="B1135" t="s">
        <v>75</v>
      </c>
      <c r="C1135">
        <v>4</v>
      </c>
      <c r="D1135" t="s">
        <v>3040</v>
      </c>
      <c r="E1135">
        <v>69</v>
      </c>
      <c r="F1135">
        <v>21</v>
      </c>
      <c r="G1135">
        <v>48</v>
      </c>
      <c r="H1135" t="s">
        <v>3489</v>
      </c>
      <c r="I1135" t="s">
        <v>3490</v>
      </c>
      <c r="J1135" t="s">
        <v>2961</v>
      </c>
    </row>
    <row r="1136" spans="1:10" x14ac:dyDescent="0.25">
      <c r="A1136" t="s">
        <v>1478</v>
      </c>
      <c r="B1136" t="s">
        <v>75</v>
      </c>
      <c r="C1136">
        <v>4</v>
      </c>
      <c r="D1136" t="s">
        <v>3042</v>
      </c>
      <c r="E1136">
        <v>88</v>
      </c>
      <c r="F1136">
        <v>23</v>
      </c>
      <c r="G1136">
        <v>65</v>
      </c>
      <c r="H1136" t="s">
        <v>196</v>
      </c>
      <c r="I1136" t="s">
        <v>3490</v>
      </c>
      <c r="J1136" t="s">
        <v>2961</v>
      </c>
    </row>
    <row r="1137" spans="1:10" x14ac:dyDescent="0.25">
      <c r="A1137" t="s">
        <v>1482</v>
      </c>
      <c r="B1137" t="s">
        <v>63</v>
      </c>
      <c r="C1137">
        <v>6</v>
      </c>
      <c r="D1137" t="s">
        <v>3414</v>
      </c>
      <c r="E1137">
        <v>81</v>
      </c>
      <c r="F1137">
        <v>23</v>
      </c>
      <c r="G1137">
        <v>58</v>
      </c>
      <c r="H1137" t="s">
        <v>196</v>
      </c>
      <c r="I1137" t="s">
        <v>3490</v>
      </c>
      <c r="J1137" t="s">
        <v>2932</v>
      </c>
    </row>
    <row r="1138" spans="1:10" x14ac:dyDescent="0.25">
      <c r="A1138" t="s">
        <v>1482</v>
      </c>
      <c r="B1138" t="s">
        <v>63</v>
      </c>
      <c r="C1138">
        <v>6</v>
      </c>
      <c r="D1138" t="s">
        <v>3416</v>
      </c>
      <c r="E1138">
        <v>69</v>
      </c>
      <c r="F1138">
        <v>18</v>
      </c>
      <c r="G1138">
        <v>51</v>
      </c>
      <c r="H1138" t="s">
        <v>3489</v>
      </c>
      <c r="I1138" t="s">
        <v>3490</v>
      </c>
      <c r="J1138" t="s">
        <v>2932</v>
      </c>
    </row>
    <row r="1139" spans="1:10" x14ac:dyDescent="0.25">
      <c r="A1139" t="s">
        <v>1482</v>
      </c>
      <c r="B1139" t="s">
        <v>63</v>
      </c>
      <c r="C1139">
        <v>6</v>
      </c>
      <c r="D1139" t="s">
        <v>3418</v>
      </c>
      <c r="E1139">
        <v>43</v>
      </c>
      <c r="F1139">
        <v>10</v>
      </c>
      <c r="G1139">
        <v>33</v>
      </c>
      <c r="H1139" t="s">
        <v>3491</v>
      </c>
      <c r="I1139" t="s">
        <v>3492</v>
      </c>
      <c r="J1139" t="s">
        <v>2932</v>
      </c>
    </row>
    <row r="1140" spans="1:10" x14ac:dyDescent="0.25">
      <c r="A1140" t="s">
        <v>1482</v>
      </c>
      <c r="B1140" t="s">
        <v>63</v>
      </c>
      <c r="C1140">
        <v>6</v>
      </c>
      <c r="D1140" t="s">
        <v>3420</v>
      </c>
      <c r="E1140">
        <v>68</v>
      </c>
      <c r="F1140">
        <v>13</v>
      </c>
      <c r="G1140">
        <v>55</v>
      </c>
      <c r="H1140" t="s">
        <v>3489</v>
      </c>
      <c r="I1140" t="s">
        <v>3490</v>
      </c>
      <c r="J1140" t="s">
        <v>2932</v>
      </c>
    </row>
    <row r="1141" spans="1:10" x14ac:dyDescent="0.25">
      <c r="A1141" t="s">
        <v>1482</v>
      </c>
      <c r="B1141" t="s">
        <v>63</v>
      </c>
      <c r="C1141">
        <v>6</v>
      </c>
      <c r="D1141" t="s">
        <v>3422</v>
      </c>
      <c r="E1141">
        <v>51</v>
      </c>
      <c r="F1141">
        <v>10</v>
      </c>
      <c r="G1141">
        <v>41</v>
      </c>
      <c r="H1141" t="s">
        <v>3493</v>
      </c>
      <c r="I1141" t="s">
        <v>3490</v>
      </c>
      <c r="J1141" t="s">
        <v>2932</v>
      </c>
    </row>
    <row r="1142" spans="1:10" x14ac:dyDescent="0.25">
      <c r="A1142" t="s">
        <v>1487</v>
      </c>
      <c r="B1142" t="s">
        <v>95</v>
      </c>
      <c r="C1142">
        <v>4</v>
      </c>
      <c r="D1142" t="s">
        <v>3214</v>
      </c>
      <c r="E1142">
        <v>78</v>
      </c>
      <c r="F1142">
        <v>16</v>
      </c>
      <c r="G1142">
        <v>62</v>
      </c>
      <c r="H1142" t="s">
        <v>3494</v>
      </c>
      <c r="I1142" t="s">
        <v>3490</v>
      </c>
      <c r="J1142" t="s">
        <v>2889</v>
      </c>
    </row>
    <row r="1143" spans="1:10" x14ac:dyDescent="0.25">
      <c r="A1143" t="s">
        <v>1487</v>
      </c>
      <c r="B1143" t="s">
        <v>95</v>
      </c>
      <c r="C1143">
        <v>4</v>
      </c>
      <c r="D1143" t="s">
        <v>3216</v>
      </c>
      <c r="E1143">
        <v>74</v>
      </c>
      <c r="F1143">
        <v>16</v>
      </c>
      <c r="G1143">
        <v>58</v>
      </c>
      <c r="H1143" t="s">
        <v>3494</v>
      </c>
      <c r="I1143" t="s">
        <v>3490</v>
      </c>
      <c r="J1143" t="s">
        <v>2889</v>
      </c>
    </row>
    <row r="1144" spans="1:10" x14ac:dyDescent="0.25">
      <c r="A1144" t="s">
        <v>1487</v>
      </c>
      <c r="B1144" t="s">
        <v>95</v>
      </c>
      <c r="C1144">
        <v>4</v>
      </c>
      <c r="D1144" t="s">
        <v>3218</v>
      </c>
      <c r="E1144">
        <v>52</v>
      </c>
      <c r="F1144">
        <v>22</v>
      </c>
      <c r="G1144">
        <v>30</v>
      </c>
      <c r="H1144" t="s">
        <v>3493</v>
      </c>
      <c r="I1144" t="s">
        <v>3490</v>
      </c>
      <c r="J1144" t="s">
        <v>2889</v>
      </c>
    </row>
    <row r="1145" spans="1:10" x14ac:dyDescent="0.25">
      <c r="A1145" t="s">
        <v>1487</v>
      </c>
      <c r="B1145" t="s">
        <v>95</v>
      </c>
      <c r="C1145">
        <v>4</v>
      </c>
      <c r="D1145" t="s">
        <v>3220</v>
      </c>
      <c r="E1145">
        <v>60</v>
      </c>
      <c r="F1145">
        <v>24</v>
      </c>
      <c r="G1145">
        <v>36</v>
      </c>
      <c r="H1145" t="s">
        <v>3489</v>
      </c>
      <c r="I1145" t="s">
        <v>3490</v>
      </c>
      <c r="J1145" t="s">
        <v>2889</v>
      </c>
    </row>
    <row r="1146" spans="1:10" x14ac:dyDescent="0.25">
      <c r="A1146" t="s">
        <v>1487</v>
      </c>
      <c r="B1146" t="s">
        <v>95</v>
      </c>
      <c r="C1146">
        <v>4</v>
      </c>
      <c r="D1146" t="s">
        <v>3222</v>
      </c>
      <c r="E1146">
        <v>68</v>
      </c>
      <c r="F1146">
        <v>23</v>
      </c>
      <c r="G1146">
        <v>45</v>
      </c>
      <c r="H1146" t="s">
        <v>3489</v>
      </c>
      <c r="I1146" t="s">
        <v>3490</v>
      </c>
      <c r="J1146" t="s">
        <v>2889</v>
      </c>
    </row>
    <row r="1147" spans="1:10" x14ac:dyDescent="0.25">
      <c r="A1147" t="s">
        <v>1492</v>
      </c>
      <c r="B1147" t="s">
        <v>212</v>
      </c>
      <c r="C1147">
        <v>4</v>
      </c>
      <c r="D1147" t="s">
        <v>3454</v>
      </c>
      <c r="E1147">
        <v>52</v>
      </c>
      <c r="F1147">
        <v>23</v>
      </c>
      <c r="G1147">
        <v>29</v>
      </c>
      <c r="H1147" t="s">
        <v>3493</v>
      </c>
      <c r="I1147" t="s">
        <v>3490</v>
      </c>
      <c r="J1147" t="s">
        <v>3001</v>
      </c>
    </row>
    <row r="1148" spans="1:10" x14ac:dyDescent="0.25">
      <c r="A1148" t="s">
        <v>1492</v>
      </c>
      <c r="B1148" t="s">
        <v>212</v>
      </c>
      <c r="C1148">
        <v>4</v>
      </c>
      <c r="D1148" t="s">
        <v>3456</v>
      </c>
      <c r="E1148">
        <v>54</v>
      </c>
      <c r="F1148">
        <v>12</v>
      </c>
      <c r="G1148">
        <v>42</v>
      </c>
      <c r="H1148" t="s">
        <v>3493</v>
      </c>
      <c r="I1148" t="s">
        <v>3490</v>
      </c>
      <c r="J1148" t="s">
        <v>3001</v>
      </c>
    </row>
    <row r="1149" spans="1:10" x14ac:dyDescent="0.25">
      <c r="A1149" t="s">
        <v>1492</v>
      </c>
      <c r="B1149" t="s">
        <v>212</v>
      </c>
      <c r="C1149">
        <v>4</v>
      </c>
      <c r="D1149" t="s">
        <v>3458</v>
      </c>
      <c r="E1149">
        <v>52</v>
      </c>
      <c r="F1149">
        <v>28</v>
      </c>
      <c r="G1149">
        <v>24</v>
      </c>
      <c r="H1149" t="s">
        <v>3493</v>
      </c>
      <c r="I1149" t="s">
        <v>3490</v>
      </c>
      <c r="J1149" t="s">
        <v>3001</v>
      </c>
    </row>
    <row r="1150" spans="1:10" x14ac:dyDescent="0.25">
      <c r="A1150" t="s">
        <v>1492</v>
      </c>
      <c r="B1150" t="s">
        <v>212</v>
      </c>
      <c r="C1150">
        <v>4</v>
      </c>
      <c r="D1150" t="s">
        <v>3460</v>
      </c>
      <c r="E1150">
        <v>61</v>
      </c>
      <c r="F1150">
        <v>26</v>
      </c>
      <c r="G1150">
        <v>35</v>
      </c>
      <c r="H1150" t="s">
        <v>3489</v>
      </c>
      <c r="I1150" t="s">
        <v>3490</v>
      </c>
      <c r="J1150" t="s">
        <v>3001</v>
      </c>
    </row>
    <row r="1151" spans="1:10" x14ac:dyDescent="0.25">
      <c r="A1151" t="s">
        <v>1492</v>
      </c>
      <c r="B1151" t="s">
        <v>212</v>
      </c>
      <c r="C1151">
        <v>4</v>
      </c>
      <c r="D1151" t="s">
        <v>3462</v>
      </c>
      <c r="E1151">
        <v>78</v>
      </c>
      <c r="F1151">
        <v>14</v>
      </c>
      <c r="G1151">
        <v>64</v>
      </c>
      <c r="H1151" t="s">
        <v>3494</v>
      </c>
      <c r="I1151" t="s">
        <v>3490</v>
      </c>
      <c r="J1151" t="s">
        <v>3001</v>
      </c>
    </row>
    <row r="1152" spans="1:10" x14ac:dyDescent="0.25">
      <c r="A1152" t="s">
        <v>1498</v>
      </c>
      <c r="B1152" t="s">
        <v>95</v>
      </c>
      <c r="C1152">
        <v>8</v>
      </c>
      <c r="D1152" t="s">
        <v>3234</v>
      </c>
      <c r="E1152">
        <v>46</v>
      </c>
      <c r="F1152">
        <v>25</v>
      </c>
      <c r="G1152">
        <v>21</v>
      </c>
      <c r="H1152" t="s">
        <v>3491</v>
      </c>
      <c r="I1152" t="s">
        <v>3492</v>
      </c>
      <c r="J1152" t="s">
        <v>2889</v>
      </c>
    </row>
    <row r="1153" spans="1:10" x14ac:dyDescent="0.25">
      <c r="A1153" t="s">
        <v>1498</v>
      </c>
      <c r="B1153" t="s">
        <v>95</v>
      </c>
      <c r="C1153">
        <v>8</v>
      </c>
      <c r="D1153" t="s">
        <v>3236</v>
      </c>
      <c r="E1153">
        <v>34</v>
      </c>
      <c r="F1153">
        <v>11</v>
      </c>
      <c r="G1153">
        <v>23</v>
      </c>
      <c r="H1153" t="s">
        <v>3491</v>
      </c>
      <c r="I1153" t="s">
        <v>3492</v>
      </c>
      <c r="J1153" t="s">
        <v>2889</v>
      </c>
    </row>
    <row r="1154" spans="1:10" x14ac:dyDescent="0.25">
      <c r="A1154" t="s">
        <v>1498</v>
      </c>
      <c r="B1154" t="s">
        <v>95</v>
      </c>
      <c r="C1154">
        <v>8</v>
      </c>
      <c r="D1154" t="s">
        <v>3238</v>
      </c>
      <c r="E1154">
        <v>63</v>
      </c>
      <c r="F1154">
        <v>18</v>
      </c>
      <c r="G1154">
        <v>45</v>
      </c>
      <c r="H1154" t="s">
        <v>3489</v>
      </c>
      <c r="I1154" t="s">
        <v>3490</v>
      </c>
      <c r="J1154" t="s">
        <v>2889</v>
      </c>
    </row>
    <row r="1155" spans="1:10" x14ac:dyDescent="0.25">
      <c r="A1155" t="s">
        <v>1498</v>
      </c>
      <c r="B1155" t="s">
        <v>95</v>
      </c>
      <c r="C1155">
        <v>8</v>
      </c>
      <c r="D1155" t="s">
        <v>3240</v>
      </c>
      <c r="E1155">
        <v>70</v>
      </c>
      <c r="F1155">
        <v>23</v>
      </c>
      <c r="G1155">
        <v>47</v>
      </c>
      <c r="H1155" t="s">
        <v>3494</v>
      </c>
      <c r="I1155" t="s">
        <v>3490</v>
      </c>
      <c r="J1155" t="s">
        <v>2889</v>
      </c>
    </row>
    <row r="1156" spans="1:10" x14ac:dyDescent="0.25">
      <c r="A1156" t="s">
        <v>1498</v>
      </c>
      <c r="B1156" t="s">
        <v>95</v>
      </c>
      <c r="C1156">
        <v>8</v>
      </c>
      <c r="D1156" t="s">
        <v>3242</v>
      </c>
      <c r="E1156">
        <v>52</v>
      </c>
      <c r="F1156">
        <v>13</v>
      </c>
      <c r="G1156">
        <v>39</v>
      </c>
      <c r="H1156" t="s">
        <v>3493</v>
      </c>
      <c r="I1156" t="s">
        <v>3490</v>
      </c>
      <c r="J1156" t="s">
        <v>2889</v>
      </c>
    </row>
    <row r="1157" spans="1:10" x14ac:dyDescent="0.25">
      <c r="A1157" t="s">
        <v>1503</v>
      </c>
      <c r="B1157" t="s">
        <v>212</v>
      </c>
      <c r="C1157">
        <v>8</v>
      </c>
      <c r="D1157" t="s">
        <v>3474</v>
      </c>
      <c r="E1157">
        <v>80</v>
      </c>
      <c r="F1157">
        <v>20</v>
      </c>
      <c r="G1157">
        <v>60</v>
      </c>
      <c r="H1157" t="s">
        <v>196</v>
      </c>
      <c r="I1157" t="s">
        <v>3490</v>
      </c>
      <c r="J1157" t="s">
        <v>3001</v>
      </c>
    </row>
    <row r="1158" spans="1:10" x14ac:dyDescent="0.25">
      <c r="A1158" t="s">
        <v>1503</v>
      </c>
      <c r="B1158" t="s">
        <v>212</v>
      </c>
      <c r="C1158">
        <v>8</v>
      </c>
      <c r="D1158" t="s">
        <v>3476</v>
      </c>
      <c r="E1158">
        <v>49</v>
      </c>
      <c r="F1158">
        <v>28</v>
      </c>
      <c r="G1158">
        <v>21</v>
      </c>
      <c r="H1158" t="s">
        <v>3491</v>
      </c>
      <c r="I1158" t="s">
        <v>3492</v>
      </c>
      <c r="J1158" t="s">
        <v>3001</v>
      </c>
    </row>
    <row r="1159" spans="1:10" x14ac:dyDescent="0.25">
      <c r="A1159" t="s">
        <v>1503</v>
      </c>
      <c r="B1159" t="s">
        <v>212</v>
      </c>
      <c r="C1159">
        <v>8</v>
      </c>
      <c r="D1159" t="s">
        <v>3478</v>
      </c>
      <c r="E1159">
        <v>82</v>
      </c>
      <c r="F1159">
        <v>12</v>
      </c>
      <c r="G1159">
        <v>70</v>
      </c>
      <c r="H1159" t="s">
        <v>196</v>
      </c>
      <c r="I1159" t="s">
        <v>3490</v>
      </c>
      <c r="J1159" t="s">
        <v>3001</v>
      </c>
    </row>
    <row r="1160" spans="1:10" x14ac:dyDescent="0.25">
      <c r="A1160" t="s">
        <v>1503</v>
      </c>
      <c r="B1160" t="s">
        <v>212</v>
      </c>
      <c r="C1160">
        <v>8</v>
      </c>
      <c r="D1160" t="s">
        <v>3480</v>
      </c>
      <c r="E1160">
        <v>36</v>
      </c>
      <c r="F1160">
        <v>13</v>
      </c>
      <c r="G1160">
        <v>23</v>
      </c>
      <c r="H1160" t="s">
        <v>3491</v>
      </c>
      <c r="I1160" t="s">
        <v>3492</v>
      </c>
      <c r="J1160" t="s">
        <v>3001</v>
      </c>
    </row>
    <row r="1161" spans="1:10" x14ac:dyDescent="0.25">
      <c r="A1161" t="s">
        <v>1503</v>
      </c>
      <c r="B1161" t="s">
        <v>212</v>
      </c>
      <c r="C1161">
        <v>8</v>
      </c>
      <c r="D1161" t="s">
        <v>3482</v>
      </c>
      <c r="E1161">
        <v>81</v>
      </c>
      <c r="F1161">
        <v>24</v>
      </c>
      <c r="G1161">
        <v>57</v>
      </c>
      <c r="H1161" t="s">
        <v>196</v>
      </c>
      <c r="I1161" t="s">
        <v>3490</v>
      </c>
      <c r="J1161" t="s">
        <v>3001</v>
      </c>
    </row>
    <row r="1162" spans="1:10" x14ac:dyDescent="0.25">
      <c r="A1162" t="s">
        <v>1508</v>
      </c>
      <c r="B1162" t="s">
        <v>159</v>
      </c>
      <c r="C1162">
        <v>4</v>
      </c>
      <c r="D1162" t="s">
        <v>3094</v>
      </c>
      <c r="E1162">
        <v>87</v>
      </c>
      <c r="F1162">
        <v>25</v>
      </c>
      <c r="G1162">
        <v>62</v>
      </c>
      <c r="H1162" t="s">
        <v>196</v>
      </c>
      <c r="I1162" t="s">
        <v>3490</v>
      </c>
      <c r="J1162" t="s">
        <v>2902</v>
      </c>
    </row>
    <row r="1163" spans="1:10" x14ac:dyDescent="0.25">
      <c r="A1163" t="s">
        <v>1508</v>
      </c>
      <c r="B1163" t="s">
        <v>159</v>
      </c>
      <c r="C1163">
        <v>4</v>
      </c>
      <c r="D1163" t="s">
        <v>3096</v>
      </c>
      <c r="E1163">
        <v>51</v>
      </c>
      <c r="F1163">
        <v>24</v>
      </c>
      <c r="G1163">
        <v>27</v>
      </c>
      <c r="H1163" t="s">
        <v>3493</v>
      </c>
      <c r="I1163" t="s">
        <v>3490</v>
      </c>
      <c r="J1163" t="s">
        <v>2902</v>
      </c>
    </row>
    <row r="1164" spans="1:10" x14ac:dyDescent="0.25">
      <c r="A1164" t="s">
        <v>1508</v>
      </c>
      <c r="B1164" t="s">
        <v>159</v>
      </c>
      <c r="C1164">
        <v>4</v>
      </c>
      <c r="D1164" t="s">
        <v>3098</v>
      </c>
      <c r="E1164">
        <v>40</v>
      </c>
      <c r="F1164">
        <v>18</v>
      </c>
      <c r="G1164">
        <v>22</v>
      </c>
      <c r="H1164" t="s">
        <v>3491</v>
      </c>
      <c r="I1164" t="s">
        <v>3492</v>
      </c>
      <c r="J1164" t="s">
        <v>2902</v>
      </c>
    </row>
    <row r="1165" spans="1:10" x14ac:dyDescent="0.25">
      <c r="A1165" t="s">
        <v>1508</v>
      </c>
      <c r="B1165" t="s">
        <v>159</v>
      </c>
      <c r="C1165">
        <v>4</v>
      </c>
      <c r="D1165" t="s">
        <v>3100</v>
      </c>
      <c r="E1165">
        <v>77</v>
      </c>
      <c r="F1165">
        <v>10</v>
      </c>
      <c r="G1165">
        <v>67</v>
      </c>
      <c r="H1165" t="s">
        <v>3494</v>
      </c>
      <c r="I1165" t="s">
        <v>3490</v>
      </c>
      <c r="J1165" t="s">
        <v>2902</v>
      </c>
    </row>
    <row r="1166" spans="1:10" x14ac:dyDescent="0.25">
      <c r="A1166" t="s">
        <v>1508</v>
      </c>
      <c r="B1166" t="s">
        <v>159</v>
      </c>
      <c r="C1166">
        <v>4</v>
      </c>
      <c r="D1166" t="s">
        <v>3102</v>
      </c>
      <c r="E1166">
        <v>66</v>
      </c>
      <c r="F1166">
        <v>30</v>
      </c>
      <c r="G1166">
        <v>36</v>
      </c>
      <c r="H1166" t="s">
        <v>3489</v>
      </c>
      <c r="I1166" t="s">
        <v>3490</v>
      </c>
      <c r="J1166" t="s">
        <v>2902</v>
      </c>
    </row>
    <row r="1167" spans="1:10" x14ac:dyDescent="0.25">
      <c r="A1167" t="s">
        <v>1513</v>
      </c>
      <c r="B1167" t="s">
        <v>75</v>
      </c>
      <c r="C1167">
        <v>6</v>
      </c>
      <c r="D1167" t="s">
        <v>3054</v>
      </c>
      <c r="E1167">
        <v>63</v>
      </c>
      <c r="F1167">
        <v>28</v>
      </c>
      <c r="G1167">
        <v>35</v>
      </c>
      <c r="H1167" t="s">
        <v>3489</v>
      </c>
      <c r="I1167" t="s">
        <v>3490</v>
      </c>
      <c r="J1167" t="s">
        <v>2961</v>
      </c>
    </row>
    <row r="1168" spans="1:10" x14ac:dyDescent="0.25">
      <c r="A1168" t="s">
        <v>1513</v>
      </c>
      <c r="B1168" t="s">
        <v>75</v>
      </c>
      <c r="C1168">
        <v>6</v>
      </c>
      <c r="D1168" t="s">
        <v>3056</v>
      </c>
      <c r="E1168">
        <v>96</v>
      </c>
      <c r="F1168">
        <v>27</v>
      </c>
      <c r="G1168">
        <v>69</v>
      </c>
      <c r="H1168" t="s">
        <v>3495</v>
      </c>
      <c r="I1168" t="s">
        <v>3490</v>
      </c>
      <c r="J1168" t="s">
        <v>2961</v>
      </c>
    </row>
    <row r="1169" spans="1:10" x14ac:dyDescent="0.25">
      <c r="A1169" t="s">
        <v>1513</v>
      </c>
      <c r="B1169" t="s">
        <v>75</v>
      </c>
      <c r="C1169">
        <v>6</v>
      </c>
      <c r="D1169" t="s">
        <v>3058</v>
      </c>
      <c r="E1169">
        <v>51</v>
      </c>
      <c r="F1169">
        <v>27</v>
      </c>
      <c r="G1169">
        <v>24</v>
      </c>
      <c r="H1169" t="s">
        <v>3493</v>
      </c>
      <c r="I1169" t="s">
        <v>3490</v>
      </c>
      <c r="J1169" t="s">
        <v>2961</v>
      </c>
    </row>
    <row r="1170" spans="1:10" x14ac:dyDescent="0.25">
      <c r="A1170" t="s">
        <v>1513</v>
      </c>
      <c r="B1170" t="s">
        <v>75</v>
      </c>
      <c r="C1170">
        <v>6</v>
      </c>
      <c r="D1170" t="s">
        <v>3060</v>
      </c>
      <c r="E1170">
        <v>96</v>
      </c>
      <c r="F1170">
        <v>28</v>
      </c>
      <c r="G1170">
        <v>68</v>
      </c>
      <c r="H1170" t="s">
        <v>3495</v>
      </c>
      <c r="I1170" t="s">
        <v>3490</v>
      </c>
      <c r="J1170" t="s">
        <v>2961</v>
      </c>
    </row>
    <row r="1171" spans="1:10" x14ac:dyDescent="0.25">
      <c r="A1171" t="s">
        <v>1513</v>
      </c>
      <c r="B1171" t="s">
        <v>75</v>
      </c>
      <c r="C1171">
        <v>6</v>
      </c>
      <c r="D1171" t="s">
        <v>3062</v>
      </c>
      <c r="E1171">
        <v>94</v>
      </c>
      <c r="F1171">
        <v>30</v>
      </c>
      <c r="G1171">
        <v>64</v>
      </c>
      <c r="H1171" t="s">
        <v>3495</v>
      </c>
      <c r="I1171" t="s">
        <v>3490</v>
      </c>
      <c r="J1171" t="s">
        <v>2961</v>
      </c>
    </row>
    <row r="1172" spans="1:10" x14ac:dyDescent="0.25">
      <c r="A1172" t="s">
        <v>1518</v>
      </c>
      <c r="B1172" t="s">
        <v>122</v>
      </c>
      <c r="C1172">
        <v>8</v>
      </c>
      <c r="D1172" t="s">
        <v>3294</v>
      </c>
      <c r="E1172">
        <v>74</v>
      </c>
      <c r="F1172">
        <v>18</v>
      </c>
      <c r="G1172">
        <v>56</v>
      </c>
      <c r="H1172" t="s">
        <v>3494</v>
      </c>
      <c r="I1172" t="s">
        <v>3490</v>
      </c>
      <c r="J1172" t="s">
        <v>2919</v>
      </c>
    </row>
    <row r="1173" spans="1:10" x14ac:dyDescent="0.25">
      <c r="A1173" t="s">
        <v>1518</v>
      </c>
      <c r="B1173" t="s">
        <v>122</v>
      </c>
      <c r="C1173">
        <v>8</v>
      </c>
      <c r="D1173" t="s">
        <v>3296</v>
      </c>
      <c r="E1173">
        <v>50</v>
      </c>
      <c r="F1173">
        <v>10</v>
      </c>
      <c r="G1173">
        <v>40</v>
      </c>
      <c r="H1173" t="s">
        <v>3493</v>
      </c>
      <c r="I1173" t="s">
        <v>3490</v>
      </c>
      <c r="J1173" t="s">
        <v>2919</v>
      </c>
    </row>
    <row r="1174" spans="1:10" x14ac:dyDescent="0.25">
      <c r="A1174" t="s">
        <v>1518</v>
      </c>
      <c r="B1174" t="s">
        <v>122</v>
      </c>
      <c r="C1174">
        <v>8</v>
      </c>
      <c r="D1174" t="s">
        <v>3298</v>
      </c>
      <c r="E1174">
        <v>79</v>
      </c>
      <c r="F1174">
        <v>17</v>
      </c>
      <c r="G1174">
        <v>62</v>
      </c>
      <c r="H1174" t="s">
        <v>3494</v>
      </c>
      <c r="I1174" t="s">
        <v>3490</v>
      </c>
      <c r="J1174" t="s">
        <v>2919</v>
      </c>
    </row>
    <row r="1175" spans="1:10" x14ac:dyDescent="0.25">
      <c r="A1175" t="s">
        <v>1518</v>
      </c>
      <c r="B1175" t="s">
        <v>122</v>
      </c>
      <c r="C1175">
        <v>8</v>
      </c>
      <c r="D1175" t="s">
        <v>3300</v>
      </c>
      <c r="E1175">
        <v>52</v>
      </c>
      <c r="F1175">
        <v>12</v>
      </c>
      <c r="G1175">
        <v>40</v>
      </c>
      <c r="H1175" t="s">
        <v>3493</v>
      </c>
      <c r="I1175" t="s">
        <v>3490</v>
      </c>
      <c r="J1175" t="s">
        <v>2919</v>
      </c>
    </row>
    <row r="1176" spans="1:10" x14ac:dyDescent="0.25">
      <c r="A1176" t="s">
        <v>1518</v>
      </c>
      <c r="B1176" t="s">
        <v>122</v>
      </c>
      <c r="C1176">
        <v>8</v>
      </c>
      <c r="D1176" t="s">
        <v>3302</v>
      </c>
      <c r="E1176">
        <v>37</v>
      </c>
      <c r="F1176">
        <v>15</v>
      </c>
      <c r="G1176">
        <v>22</v>
      </c>
      <c r="H1176" t="s">
        <v>3491</v>
      </c>
      <c r="I1176" t="s">
        <v>3492</v>
      </c>
      <c r="J1176" t="s">
        <v>2919</v>
      </c>
    </row>
    <row r="1177" spans="1:10" x14ac:dyDescent="0.25">
      <c r="A1177" t="s">
        <v>1524</v>
      </c>
      <c r="B1177" t="s">
        <v>63</v>
      </c>
      <c r="C1177">
        <v>6</v>
      </c>
      <c r="D1177" t="s">
        <v>3414</v>
      </c>
      <c r="E1177">
        <v>77</v>
      </c>
      <c r="F1177">
        <v>18</v>
      </c>
      <c r="G1177">
        <v>59</v>
      </c>
      <c r="H1177" t="s">
        <v>3494</v>
      </c>
      <c r="I1177" t="s">
        <v>3490</v>
      </c>
      <c r="J1177" t="s">
        <v>2932</v>
      </c>
    </row>
    <row r="1178" spans="1:10" x14ac:dyDescent="0.25">
      <c r="A1178" t="s">
        <v>1524</v>
      </c>
      <c r="B1178" t="s">
        <v>63</v>
      </c>
      <c r="C1178">
        <v>6</v>
      </c>
      <c r="D1178" t="s">
        <v>3416</v>
      </c>
      <c r="E1178">
        <v>81</v>
      </c>
      <c r="F1178">
        <v>29</v>
      </c>
      <c r="G1178">
        <v>52</v>
      </c>
      <c r="H1178" t="s">
        <v>196</v>
      </c>
      <c r="I1178" t="s">
        <v>3490</v>
      </c>
      <c r="J1178" t="s">
        <v>2932</v>
      </c>
    </row>
    <row r="1179" spans="1:10" x14ac:dyDescent="0.25">
      <c r="A1179" t="s">
        <v>1524</v>
      </c>
      <c r="B1179" t="s">
        <v>63</v>
      </c>
      <c r="C1179">
        <v>6</v>
      </c>
      <c r="D1179" t="s">
        <v>3418</v>
      </c>
      <c r="E1179">
        <v>68</v>
      </c>
      <c r="F1179">
        <v>11</v>
      </c>
      <c r="G1179">
        <v>57</v>
      </c>
      <c r="H1179" t="s">
        <v>3489</v>
      </c>
      <c r="I1179" t="s">
        <v>3490</v>
      </c>
      <c r="J1179" t="s">
        <v>2932</v>
      </c>
    </row>
    <row r="1180" spans="1:10" x14ac:dyDescent="0.25">
      <c r="A1180" t="s">
        <v>1524</v>
      </c>
      <c r="B1180" t="s">
        <v>63</v>
      </c>
      <c r="C1180">
        <v>6</v>
      </c>
      <c r="D1180" t="s">
        <v>3420</v>
      </c>
      <c r="E1180">
        <v>80</v>
      </c>
      <c r="F1180">
        <v>19</v>
      </c>
      <c r="G1180">
        <v>61</v>
      </c>
      <c r="H1180" t="s">
        <v>196</v>
      </c>
      <c r="I1180" t="s">
        <v>3490</v>
      </c>
      <c r="J1180" t="s">
        <v>2932</v>
      </c>
    </row>
    <row r="1181" spans="1:10" x14ac:dyDescent="0.25">
      <c r="A1181" t="s">
        <v>1524</v>
      </c>
      <c r="B1181" t="s">
        <v>63</v>
      </c>
      <c r="C1181">
        <v>6</v>
      </c>
      <c r="D1181" t="s">
        <v>3422</v>
      </c>
      <c r="E1181">
        <v>80</v>
      </c>
      <c r="F1181">
        <v>29</v>
      </c>
      <c r="G1181">
        <v>51</v>
      </c>
      <c r="H1181" t="s">
        <v>196</v>
      </c>
      <c r="I1181" t="s">
        <v>3490</v>
      </c>
      <c r="J1181" t="s">
        <v>2932</v>
      </c>
    </row>
    <row r="1182" spans="1:10" x14ac:dyDescent="0.25">
      <c r="A1182" t="s">
        <v>1529</v>
      </c>
      <c r="B1182" t="s">
        <v>95</v>
      </c>
      <c r="C1182">
        <v>4</v>
      </c>
      <c r="D1182" t="s">
        <v>3214</v>
      </c>
      <c r="E1182">
        <v>92</v>
      </c>
      <c r="F1182">
        <v>22</v>
      </c>
      <c r="G1182">
        <v>70</v>
      </c>
      <c r="H1182" t="s">
        <v>3495</v>
      </c>
      <c r="I1182" t="s">
        <v>3490</v>
      </c>
      <c r="J1182" t="s">
        <v>2889</v>
      </c>
    </row>
    <row r="1183" spans="1:10" x14ac:dyDescent="0.25">
      <c r="A1183" t="s">
        <v>1529</v>
      </c>
      <c r="B1183" t="s">
        <v>95</v>
      </c>
      <c r="C1183">
        <v>4</v>
      </c>
      <c r="D1183" t="s">
        <v>3216</v>
      </c>
      <c r="E1183">
        <v>82</v>
      </c>
      <c r="F1183">
        <v>29</v>
      </c>
      <c r="G1183">
        <v>53</v>
      </c>
      <c r="H1183" t="s">
        <v>196</v>
      </c>
      <c r="I1183" t="s">
        <v>3490</v>
      </c>
      <c r="J1183" t="s">
        <v>2889</v>
      </c>
    </row>
    <row r="1184" spans="1:10" x14ac:dyDescent="0.25">
      <c r="A1184" t="s">
        <v>1529</v>
      </c>
      <c r="B1184" t="s">
        <v>95</v>
      </c>
      <c r="C1184">
        <v>4</v>
      </c>
      <c r="D1184" t="s">
        <v>3218</v>
      </c>
      <c r="E1184">
        <v>85</v>
      </c>
      <c r="F1184">
        <v>25</v>
      </c>
      <c r="G1184">
        <v>60</v>
      </c>
      <c r="H1184" t="s">
        <v>196</v>
      </c>
      <c r="I1184" t="s">
        <v>3490</v>
      </c>
      <c r="J1184" t="s">
        <v>2889</v>
      </c>
    </row>
    <row r="1185" spans="1:10" x14ac:dyDescent="0.25">
      <c r="A1185" t="s">
        <v>1529</v>
      </c>
      <c r="B1185" t="s">
        <v>95</v>
      </c>
      <c r="C1185">
        <v>4</v>
      </c>
      <c r="D1185" t="s">
        <v>3220</v>
      </c>
      <c r="E1185">
        <v>78</v>
      </c>
      <c r="F1185">
        <v>17</v>
      </c>
      <c r="G1185">
        <v>61</v>
      </c>
      <c r="H1185" t="s">
        <v>3494</v>
      </c>
      <c r="I1185" t="s">
        <v>3490</v>
      </c>
      <c r="J1185" t="s">
        <v>2889</v>
      </c>
    </row>
    <row r="1186" spans="1:10" x14ac:dyDescent="0.25">
      <c r="A1186" t="s">
        <v>1529</v>
      </c>
      <c r="B1186" t="s">
        <v>95</v>
      </c>
      <c r="C1186">
        <v>4</v>
      </c>
      <c r="D1186" t="s">
        <v>3222</v>
      </c>
      <c r="E1186">
        <v>44</v>
      </c>
      <c r="F1186">
        <v>12</v>
      </c>
      <c r="G1186">
        <v>32</v>
      </c>
      <c r="H1186" t="s">
        <v>3491</v>
      </c>
      <c r="I1186" t="s">
        <v>3492</v>
      </c>
      <c r="J1186" t="s">
        <v>2889</v>
      </c>
    </row>
    <row r="1187" spans="1:10" x14ac:dyDescent="0.25">
      <c r="A1187" t="s">
        <v>1534</v>
      </c>
      <c r="B1187" t="s">
        <v>105</v>
      </c>
      <c r="C1187">
        <v>8</v>
      </c>
      <c r="D1187" t="s">
        <v>3174</v>
      </c>
      <c r="E1187">
        <v>81</v>
      </c>
      <c r="F1187">
        <v>24</v>
      </c>
      <c r="G1187">
        <v>57</v>
      </c>
      <c r="H1187" t="s">
        <v>196</v>
      </c>
      <c r="I1187" t="s">
        <v>3490</v>
      </c>
      <c r="J1187" t="s">
        <v>2908</v>
      </c>
    </row>
    <row r="1188" spans="1:10" x14ac:dyDescent="0.25">
      <c r="A1188" t="s">
        <v>1534</v>
      </c>
      <c r="B1188" t="s">
        <v>105</v>
      </c>
      <c r="C1188">
        <v>8</v>
      </c>
      <c r="D1188" t="s">
        <v>3176</v>
      </c>
      <c r="E1188">
        <v>87</v>
      </c>
      <c r="F1188">
        <v>24</v>
      </c>
      <c r="G1188">
        <v>63</v>
      </c>
      <c r="H1188" t="s">
        <v>196</v>
      </c>
      <c r="I1188" t="s">
        <v>3490</v>
      </c>
      <c r="J1188" t="s">
        <v>2908</v>
      </c>
    </row>
    <row r="1189" spans="1:10" x14ac:dyDescent="0.25">
      <c r="A1189" t="s">
        <v>1534</v>
      </c>
      <c r="B1189" t="s">
        <v>105</v>
      </c>
      <c r="C1189">
        <v>8</v>
      </c>
      <c r="D1189" t="s">
        <v>3178</v>
      </c>
      <c r="E1189">
        <v>59</v>
      </c>
      <c r="F1189">
        <v>13</v>
      </c>
      <c r="G1189">
        <v>46</v>
      </c>
      <c r="H1189" t="s">
        <v>3493</v>
      </c>
      <c r="I1189" t="s">
        <v>3490</v>
      </c>
      <c r="J1189" t="s">
        <v>2908</v>
      </c>
    </row>
    <row r="1190" spans="1:10" x14ac:dyDescent="0.25">
      <c r="A1190" t="s">
        <v>1534</v>
      </c>
      <c r="B1190" t="s">
        <v>105</v>
      </c>
      <c r="C1190">
        <v>8</v>
      </c>
      <c r="D1190" t="s">
        <v>3180</v>
      </c>
      <c r="E1190">
        <v>80</v>
      </c>
      <c r="F1190">
        <v>22</v>
      </c>
      <c r="G1190">
        <v>58</v>
      </c>
      <c r="H1190" t="s">
        <v>196</v>
      </c>
      <c r="I1190" t="s">
        <v>3490</v>
      </c>
      <c r="J1190" t="s">
        <v>2908</v>
      </c>
    </row>
    <row r="1191" spans="1:10" x14ac:dyDescent="0.25">
      <c r="A1191" t="s">
        <v>1534</v>
      </c>
      <c r="B1191" t="s">
        <v>105</v>
      </c>
      <c r="C1191">
        <v>8</v>
      </c>
      <c r="D1191" t="s">
        <v>3182</v>
      </c>
      <c r="E1191">
        <v>94</v>
      </c>
      <c r="F1191">
        <v>27</v>
      </c>
      <c r="G1191">
        <v>67</v>
      </c>
      <c r="H1191" t="s">
        <v>3495</v>
      </c>
      <c r="I1191" t="s">
        <v>3490</v>
      </c>
      <c r="J1191" t="s">
        <v>2908</v>
      </c>
    </row>
    <row r="1192" spans="1:10" x14ac:dyDescent="0.25">
      <c r="A1192" t="s">
        <v>1539</v>
      </c>
      <c r="B1192" t="s">
        <v>75</v>
      </c>
      <c r="C1192">
        <v>4</v>
      </c>
      <c r="D1192" t="s">
        <v>3034</v>
      </c>
      <c r="E1192">
        <v>45</v>
      </c>
      <c r="F1192">
        <v>19</v>
      </c>
      <c r="G1192">
        <v>26</v>
      </c>
      <c r="H1192" t="s">
        <v>3491</v>
      </c>
      <c r="I1192" t="s">
        <v>3492</v>
      </c>
      <c r="J1192" t="s">
        <v>2961</v>
      </c>
    </row>
    <row r="1193" spans="1:10" x14ac:dyDescent="0.25">
      <c r="A1193" t="s">
        <v>1539</v>
      </c>
      <c r="B1193" t="s">
        <v>75</v>
      </c>
      <c r="C1193">
        <v>4</v>
      </c>
      <c r="D1193" t="s">
        <v>3036</v>
      </c>
      <c r="E1193">
        <v>67</v>
      </c>
      <c r="F1193">
        <v>23</v>
      </c>
      <c r="G1193">
        <v>44</v>
      </c>
      <c r="H1193" t="s">
        <v>3489</v>
      </c>
      <c r="I1193" t="s">
        <v>3490</v>
      </c>
      <c r="J1193" t="s">
        <v>2961</v>
      </c>
    </row>
    <row r="1194" spans="1:10" x14ac:dyDescent="0.25">
      <c r="A1194" t="s">
        <v>1539</v>
      </c>
      <c r="B1194" t="s">
        <v>75</v>
      </c>
      <c r="C1194">
        <v>4</v>
      </c>
      <c r="D1194" t="s">
        <v>3038</v>
      </c>
      <c r="E1194">
        <v>42</v>
      </c>
      <c r="F1194">
        <v>13</v>
      </c>
      <c r="G1194">
        <v>29</v>
      </c>
      <c r="H1194" t="s">
        <v>3491</v>
      </c>
      <c r="I1194" t="s">
        <v>3492</v>
      </c>
      <c r="J1194" t="s">
        <v>2961</v>
      </c>
    </row>
    <row r="1195" spans="1:10" x14ac:dyDescent="0.25">
      <c r="A1195" t="s">
        <v>1539</v>
      </c>
      <c r="B1195" t="s">
        <v>75</v>
      </c>
      <c r="C1195">
        <v>4</v>
      </c>
      <c r="D1195" t="s">
        <v>3040</v>
      </c>
      <c r="E1195">
        <v>67</v>
      </c>
      <c r="F1195">
        <v>16</v>
      </c>
      <c r="G1195">
        <v>51</v>
      </c>
      <c r="H1195" t="s">
        <v>3489</v>
      </c>
      <c r="I1195" t="s">
        <v>3490</v>
      </c>
      <c r="J1195" t="s">
        <v>2961</v>
      </c>
    </row>
    <row r="1196" spans="1:10" x14ac:dyDescent="0.25">
      <c r="A1196" t="s">
        <v>1539</v>
      </c>
      <c r="B1196" t="s">
        <v>75</v>
      </c>
      <c r="C1196">
        <v>4</v>
      </c>
      <c r="D1196" t="s">
        <v>3042</v>
      </c>
      <c r="E1196">
        <v>42</v>
      </c>
      <c r="F1196">
        <v>19</v>
      </c>
      <c r="G1196">
        <v>23</v>
      </c>
      <c r="H1196" t="s">
        <v>3491</v>
      </c>
      <c r="I1196" t="s">
        <v>3492</v>
      </c>
      <c r="J1196" t="s">
        <v>2961</v>
      </c>
    </row>
    <row r="1197" spans="1:10" x14ac:dyDescent="0.25">
      <c r="A1197" t="s">
        <v>1545</v>
      </c>
      <c r="B1197" t="s">
        <v>63</v>
      </c>
      <c r="C1197">
        <v>8</v>
      </c>
      <c r="D1197" t="s">
        <v>3414</v>
      </c>
      <c r="E1197">
        <v>75</v>
      </c>
      <c r="F1197">
        <v>25</v>
      </c>
      <c r="G1197">
        <v>50</v>
      </c>
      <c r="H1197" t="s">
        <v>3494</v>
      </c>
      <c r="I1197" t="s">
        <v>3490</v>
      </c>
      <c r="J1197" t="s">
        <v>2932</v>
      </c>
    </row>
    <row r="1198" spans="1:10" x14ac:dyDescent="0.25">
      <c r="A1198" t="s">
        <v>1545</v>
      </c>
      <c r="B1198" t="s">
        <v>63</v>
      </c>
      <c r="C1198">
        <v>8</v>
      </c>
      <c r="D1198" t="s">
        <v>3416</v>
      </c>
      <c r="E1198">
        <v>65</v>
      </c>
      <c r="F1198">
        <v>28</v>
      </c>
      <c r="G1198">
        <v>37</v>
      </c>
      <c r="H1198" t="s">
        <v>3489</v>
      </c>
      <c r="I1198" t="s">
        <v>3490</v>
      </c>
      <c r="J1198" t="s">
        <v>2932</v>
      </c>
    </row>
    <row r="1199" spans="1:10" x14ac:dyDescent="0.25">
      <c r="A1199" t="s">
        <v>1545</v>
      </c>
      <c r="B1199" t="s">
        <v>63</v>
      </c>
      <c r="C1199">
        <v>8</v>
      </c>
      <c r="D1199" t="s">
        <v>3418</v>
      </c>
      <c r="E1199">
        <v>51</v>
      </c>
      <c r="F1199">
        <v>17</v>
      </c>
      <c r="G1199">
        <v>34</v>
      </c>
      <c r="H1199" t="s">
        <v>3493</v>
      </c>
      <c r="I1199" t="s">
        <v>3490</v>
      </c>
      <c r="J1199" t="s">
        <v>2932</v>
      </c>
    </row>
    <row r="1200" spans="1:10" x14ac:dyDescent="0.25">
      <c r="A1200" t="s">
        <v>1545</v>
      </c>
      <c r="B1200" t="s">
        <v>63</v>
      </c>
      <c r="C1200">
        <v>8</v>
      </c>
      <c r="D1200" t="s">
        <v>3420</v>
      </c>
      <c r="E1200">
        <v>83</v>
      </c>
      <c r="F1200">
        <v>15</v>
      </c>
      <c r="G1200">
        <v>68</v>
      </c>
      <c r="H1200" t="s">
        <v>196</v>
      </c>
      <c r="I1200" t="s">
        <v>3490</v>
      </c>
      <c r="J1200" t="s">
        <v>2932</v>
      </c>
    </row>
    <row r="1201" spans="1:10" x14ac:dyDescent="0.25">
      <c r="A1201" t="s">
        <v>1545</v>
      </c>
      <c r="B1201" t="s">
        <v>63</v>
      </c>
      <c r="C1201">
        <v>8</v>
      </c>
      <c r="D1201" t="s">
        <v>3422</v>
      </c>
      <c r="E1201">
        <v>67</v>
      </c>
      <c r="F1201">
        <v>20</v>
      </c>
      <c r="G1201">
        <v>47</v>
      </c>
      <c r="H1201" t="s">
        <v>3489</v>
      </c>
      <c r="I1201" t="s">
        <v>3490</v>
      </c>
      <c r="J1201" t="s">
        <v>2932</v>
      </c>
    </row>
    <row r="1202" spans="1:10" x14ac:dyDescent="0.25">
      <c r="A1202" t="s">
        <v>1551</v>
      </c>
      <c r="B1202" t="s">
        <v>95</v>
      </c>
      <c r="C1202">
        <v>6</v>
      </c>
      <c r="D1202" t="s">
        <v>3234</v>
      </c>
      <c r="E1202">
        <v>48</v>
      </c>
      <c r="F1202">
        <v>15</v>
      </c>
      <c r="G1202">
        <v>33</v>
      </c>
      <c r="H1202" t="s">
        <v>3491</v>
      </c>
      <c r="I1202" t="s">
        <v>3492</v>
      </c>
      <c r="J1202" t="s">
        <v>2889</v>
      </c>
    </row>
    <row r="1203" spans="1:10" x14ac:dyDescent="0.25">
      <c r="A1203" t="s">
        <v>1551</v>
      </c>
      <c r="B1203" t="s">
        <v>95</v>
      </c>
      <c r="C1203">
        <v>6</v>
      </c>
      <c r="D1203" t="s">
        <v>3236</v>
      </c>
      <c r="E1203">
        <v>88</v>
      </c>
      <c r="F1203">
        <v>26</v>
      </c>
      <c r="G1203">
        <v>62</v>
      </c>
      <c r="H1203" t="s">
        <v>196</v>
      </c>
      <c r="I1203" t="s">
        <v>3490</v>
      </c>
      <c r="J1203" t="s">
        <v>2889</v>
      </c>
    </row>
    <row r="1204" spans="1:10" x14ac:dyDescent="0.25">
      <c r="A1204" t="s">
        <v>1551</v>
      </c>
      <c r="B1204" t="s">
        <v>95</v>
      </c>
      <c r="C1204">
        <v>6</v>
      </c>
      <c r="D1204" t="s">
        <v>3238</v>
      </c>
      <c r="E1204">
        <v>86</v>
      </c>
      <c r="F1204">
        <v>28</v>
      </c>
      <c r="G1204">
        <v>58</v>
      </c>
      <c r="H1204" t="s">
        <v>196</v>
      </c>
      <c r="I1204" t="s">
        <v>3490</v>
      </c>
      <c r="J1204" t="s">
        <v>2889</v>
      </c>
    </row>
    <row r="1205" spans="1:10" x14ac:dyDescent="0.25">
      <c r="A1205" t="s">
        <v>1551</v>
      </c>
      <c r="B1205" t="s">
        <v>95</v>
      </c>
      <c r="C1205">
        <v>6</v>
      </c>
      <c r="D1205" t="s">
        <v>3240</v>
      </c>
      <c r="E1205">
        <v>76</v>
      </c>
      <c r="F1205">
        <v>19</v>
      </c>
      <c r="G1205">
        <v>57</v>
      </c>
      <c r="H1205" t="s">
        <v>3494</v>
      </c>
      <c r="I1205" t="s">
        <v>3490</v>
      </c>
      <c r="J1205" t="s">
        <v>2889</v>
      </c>
    </row>
    <row r="1206" spans="1:10" x14ac:dyDescent="0.25">
      <c r="A1206" t="s">
        <v>1551</v>
      </c>
      <c r="B1206" t="s">
        <v>95</v>
      </c>
      <c r="C1206">
        <v>6</v>
      </c>
      <c r="D1206" t="s">
        <v>3242</v>
      </c>
      <c r="E1206">
        <v>55</v>
      </c>
      <c r="F1206">
        <v>28</v>
      </c>
      <c r="G1206">
        <v>27</v>
      </c>
      <c r="H1206" t="s">
        <v>3493</v>
      </c>
      <c r="I1206" t="s">
        <v>3490</v>
      </c>
      <c r="J1206" t="s">
        <v>2889</v>
      </c>
    </row>
    <row r="1207" spans="1:10" x14ac:dyDescent="0.25">
      <c r="A1207" t="s">
        <v>1558</v>
      </c>
      <c r="B1207" t="s">
        <v>75</v>
      </c>
      <c r="C1207">
        <v>8</v>
      </c>
      <c r="D1207" t="s">
        <v>3054</v>
      </c>
      <c r="E1207">
        <v>77</v>
      </c>
      <c r="F1207">
        <v>29</v>
      </c>
      <c r="G1207">
        <v>48</v>
      </c>
      <c r="H1207" t="s">
        <v>3494</v>
      </c>
      <c r="I1207" t="s">
        <v>3490</v>
      </c>
      <c r="J1207" t="s">
        <v>2961</v>
      </c>
    </row>
    <row r="1208" spans="1:10" x14ac:dyDescent="0.25">
      <c r="A1208" t="s">
        <v>1558</v>
      </c>
      <c r="B1208" t="s">
        <v>75</v>
      </c>
      <c r="C1208">
        <v>8</v>
      </c>
      <c r="D1208" t="s">
        <v>3056</v>
      </c>
      <c r="E1208">
        <v>34</v>
      </c>
      <c r="F1208">
        <v>10</v>
      </c>
      <c r="G1208">
        <v>24</v>
      </c>
      <c r="H1208" t="s">
        <v>3491</v>
      </c>
      <c r="I1208" t="s">
        <v>3492</v>
      </c>
      <c r="J1208" t="s">
        <v>2961</v>
      </c>
    </row>
    <row r="1209" spans="1:10" x14ac:dyDescent="0.25">
      <c r="A1209" t="s">
        <v>1558</v>
      </c>
      <c r="B1209" t="s">
        <v>75</v>
      </c>
      <c r="C1209">
        <v>8</v>
      </c>
      <c r="D1209" t="s">
        <v>3058</v>
      </c>
      <c r="E1209">
        <v>48</v>
      </c>
      <c r="F1209">
        <v>18</v>
      </c>
      <c r="G1209">
        <v>30</v>
      </c>
      <c r="H1209" t="s">
        <v>3491</v>
      </c>
      <c r="I1209" t="s">
        <v>3492</v>
      </c>
      <c r="J1209" t="s">
        <v>2961</v>
      </c>
    </row>
    <row r="1210" spans="1:10" x14ac:dyDescent="0.25">
      <c r="A1210" t="s">
        <v>1558</v>
      </c>
      <c r="B1210" t="s">
        <v>75</v>
      </c>
      <c r="C1210">
        <v>8</v>
      </c>
      <c r="D1210" t="s">
        <v>3060</v>
      </c>
      <c r="E1210">
        <v>85</v>
      </c>
      <c r="F1210">
        <v>23</v>
      </c>
      <c r="G1210">
        <v>62</v>
      </c>
      <c r="H1210" t="s">
        <v>196</v>
      </c>
      <c r="I1210" t="s">
        <v>3490</v>
      </c>
      <c r="J1210" t="s">
        <v>2961</v>
      </c>
    </row>
    <row r="1211" spans="1:10" x14ac:dyDescent="0.25">
      <c r="A1211" t="s">
        <v>1558</v>
      </c>
      <c r="B1211" t="s">
        <v>75</v>
      </c>
      <c r="C1211">
        <v>8</v>
      </c>
      <c r="D1211" t="s">
        <v>3062</v>
      </c>
      <c r="E1211">
        <v>35</v>
      </c>
      <c r="F1211">
        <v>14</v>
      </c>
      <c r="G1211">
        <v>21</v>
      </c>
      <c r="H1211" t="s">
        <v>3491</v>
      </c>
      <c r="I1211" t="s">
        <v>3492</v>
      </c>
      <c r="J1211" t="s">
        <v>2961</v>
      </c>
    </row>
    <row r="1212" spans="1:10" x14ac:dyDescent="0.25">
      <c r="A1212" t="s">
        <v>1565</v>
      </c>
      <c r="B1212" t="s">
        <v>122</v>
      </c>
      <c r="C1212">
        <v>8</v>
      </c>
      <c r="D1212" t="s">
        <v>3294</v>
      </c>
      <c r="E1212">
        <v>65</v>
      </c>
      <c r="F1212">
        <v>16</v>
      </c>
      <c r="G1212">
        <v>49</v>
      </c>
      <c r="H1212" t="s">
        <v>3489</v>
      </c>
      <c r="I1212" t="s">
        <v>3490</v>
      </c>
      <c r="J1212" t="s">
        <v>2919</v>
      </c>
    </row>
    <row r="1213" spans="1:10" x14ac:dyDescent="0.25">
      <c r="A1213" t="s">
        <v>1565</v>
      </c>
      <c r="B1213" t="s">
        <v>122</v>
      </c>
      <c r="C1213">
        <v>8</v>
      </c>
      <c r="D1213" t="s">
        <v>3296</v>
      </c>
      <c r="E1213">
        <v>63</v>
      </c>
      <c r="F1213">
        <v>11</v>
      </c>
      <c r="G1213">
        <v>52</v>
      </c>
      <c r="H1213" t="s">
        <v>3489</v>
      </c>
      <c r="I1213" t="s">
        <v>3490</v>
      </c>
      <c r="J1213" t="s">
        <v>2919</v>
      </c>
    </row>
    <row r="1214" spans="1:10" x14ac:dyDescent="0.25">
      <c r="A1214" t="s">
        <v>1565</v>
      </c>
      <c r="B1214" t="s">
        <v>122</v>
      </c>
      <c r="C1214">
        <v>8</v>
      </c>
      <c r="D1214" t="s">
        <v>3298</v>
      </c>
      <c r="E1214">
        <v>78</v>
      </c>
      <c r="F1214">
        <v>24</v>
      </c>
      <c r="G1214">
        <v>54</v>
      </c>
      <c r="H1214" t="s">
        <v>3494</v>
      </c>
      <c r="I1214" t="s">
        <v>3490</v>
      </c>
      <c r="J1214" t="s">
        <v>2919</v>
      </c>
    </row>
    <row r="1215" spans="1:10" x14ac:dyDescent="0.25">
      <c r="A1215" t="s">
        <v>1565</v>
      </c>
      <c r="B1215" t="s">
        <v>122</v>
      </c>
      <c r="C1215">
        <v>8</v>
      </c>
      <c r="D1215" t="s">
        <v>3300</v>
      </c>
      <c r="E1215">
        <v>41</v>
      </c>
      <c r="F1215">
        <v>15</v>
      </c>
      <c r="G1215">
        <v>26</v>
      </c>
      <c r="H1215" t="s">
        <v>3491</v>
      </c>
      <c r="I1215" t="s">
        <v>3492</v>
      </c>
      <c r="J1215" t="s">
        <v>2919</v>
      </c>
    </row>
    <row r="1216" spans="1:10" x14ac:dyDescent="0.25">
      <c r="A1216" t="s">
        <v>1565</v>
      </c>
      <c r="B1216" t="s">
        <v>122</v>
      </c>
      <c r="C1216">
        <v>8</v>
      </c>
      <c r="D1216" t="s">
        <v>3302</v>
      </c>
      <c r="E1216">
        <v>58</v>
      </c>
      <c r="F1216">
        <v>12</v>
      </c>
      <c r="G1216">
        <v>46</v>
      </c>
      <c r="H1216" t="s">
        <v>3493</v>
      </c>
      <c r="I1216" t="s">
        <v>3490</v>
      </c>
      <c r="J1216" t="s">
        <v>2919</v>
      </c>
    </row>
    <row r="1217" spans="1:10" x14ac:dyDescent="0.25">
      <c r="A1217" t="s">
        <v>1570</v>
      </c>
      <c r="B1217" t="s">
        <v>122</v>
      </c>
      <c r="C1217">
        <v>8</v>
      </c>
      <c r="D1217" t="s">
        <v>3294</v>
      </c>
      <c r="E1217">
        <v>41</v>
      </c>
      <c r="F1217">
        <v>11</v>
      </c>
      <c r="G1217">
        <v>30</v>
      </c>
      <c r="H1217" t="s">
        <v>3491</v>
      </c>
      <c r="I1217" t="s">
        <v>3492</v>
      </c>
      <c r="J1217" t="s">
        <v>2919</v>
      </c>
    </row>
    <row r="1218" spans="1:10" x14ac:dyDescent="0.25">
      <c r="A1218" t="s">
        <v>1570</v>
      </c>
      <c r="B1218" t="s">
        <v>122</v>
      </c>
      <c r="C1218">
        <v>8</v>
      </c>
      <c r="D1218" t="s">
        <v>3296</v>
      </c>
      <c r="E1218">
        <v>70</v>
      </c>
      <c r="F1218">
        <v>10</v>
      </c>
      <c r="G1218">
        <v>60</v>
      </c>
      <c r="H1218" t="s">
        <v>3494</v>
      </c>
      <c r="I1218" t="s">
        <v>3490</v>
      </c>
      <c r="J1218" t="s">
        <v>2919</v>
      </c>
    </row>
    <row r="1219" spans="1:10" x14ac:dyDescent="0.25">
      <c r="A1219" t="s">
        <v>1570</v>
      </c>
      <c r="B1219" t="s">
        <v>122</v>
      </c>
      <c r="C1219">
        <v>8</v>
      </c>
      <c r="D1219" t="s">
        <v>3298</v>
      </c>
      <c r="E1219">
        <v>66</v>
      </c>
      <c r="F1219">
        <v>30</v>
      </c>
      <c r="G1219">
        <v>36</v>
      </c>
      <c r="H1219" t="s">
        <v>3489</v>
      </c>
      <c r="I1219" t="s">
        <v>3490</v>
      </c>
      <c r="J1219" t="s">
        <v>2919</v>
      </c>
    </row>
    <row r="1220" spans="1:10" x14ac:dyDescent="0.25">
      <c r="A1220" t="s">
        <v>1570</v>
      </c>
      <c r="B1220" t="s">
        <v>122</v>
      </c>
      <c r="C1220">
        <v>8</v>
      </c>
      <c r="D1220" t="s">
        <v>3300</v>
      </c>
      <c r="E1220">
        <v>67</v>
      </c>
      <c r="F1220">
        <v>13</v>
      </c>
      <c r="G1220">
        <v>54</v>
      </c>
      <c r="H1220" t="s">
        <v>3489</v>
      </c>
      <c r="I1220" t="s">
        <v>3490</v>
      </c>
      <c r="J1220" t="s">
        <v>2919</v>
      </c>
    </row>
    <row r="1221" spans="1:10" x14ac:dyDescent="0.25">
      <c r="A1221" t="s">
        <v>1570</v>
      </c>
      <c r="B1221" t="s">
        <v>122</v>
      </c>
      <c r="C1221">
        <v>8</v>
      </c>
      <c r="D1221" t="s">
        <v>3302</v>
      </c>
      <c r="E1221">
        <v>47</v>
      </c>
      <c r="F1221">
        <v>12</v>
      </c>
      <c r="G1221">
        <v>35</v>
      </c>
      <c r="H1221" t="s">
        <v>3491</v>
      </c>
      <c r="I1221" t="s">
        <v>3492</v>
      </c>
      <c r="J1221" t="s">
        <v>2919</v>
      </c>
    </row>
    <row r="1222" spans="1:10" x14ac:dyDescent="0.25">
      <c r="A1222" t="s">
        <v>1575</v>
      </c>
      <c r="B1222" t="s">
        <v>212</v>
      </c>
      <c r="C1222">
        <v>8</v>
      </c>
      <c r="D1222" t="s">
        <v>3474</v>
      </c>
      <c r="E1222">
        <v>84</v>
      </c>
      <c r="F1222">
        <v>21</v>
      </c>
      <c r="G1222">
        <v>63</v>
      </c>
      <c r="H1222" t="s">
        <v>196</v>
      </c>
      <c r="I1222" t="s">
        <v>3490</v>
      </c>
      <c r="J1222" t="s">
        <v>3001</v>
      </c>
    </row>
    <row r="1223" spans="1:10" x14ac:dyDescent="0.25">
      <c r="A1223" t="s">
        <v>1575</v>
      </c>
      <c r="B1223" t="s">
        <v>212</v>
      </c>
      <c r="C1223">
        <v>8</v>
      </c>
      <c r="D1223" t="s">
        <v>3476</v>
      </c>
      <c r="E1223">
        <v>85</v>
      </c>
      <c r="F1223">
        <v>29</v>
      </c>
      <c r="G1223">
        <v>56</v>
      </c>
      <c r="H1223" t="s">
        <v>196</v>
      </c>
      <c r="I1223" t="s">
        <v>3490</v>
      </c>
      <c r="J1223" t="s">
        <v>3001</v>
      </c>
    </row>
    <row r="1224" spans="1:10" x14ac:dyDescent="0.25">
      <c r="A1224" t="s">
        <v>1575</v>
      </c>
      <c r="B1224" t="s">
        <v>212</v>
      </c>
      <c r="C1224">
        <v>8</v>
      </c>
      <c r="D1224" t="s">
        <v>3478</v>
      </c>
      <c r="E1224">
        <v>84</v>
      </c>
      <c r="F1224">
        <v>26</v>
      </c>
      <c r="G1224">
        <v>58</v>
      </c>
      <c r="H1224" t="s">
        <v>196</v>
      </c>
      <c r="I1224" t="s">
        <v>3490</v>
      </c>
      <c r="J1224" t="s">
        <v>3001</v>
      </c>
    </row>
    <row r="1225" spans="1:10" x14ac:dyDescent="0.25">
      <c r="A1225" t="s">
        <v>1575</v>
      </c>
      <c r="B1225" t="s">
        <v>212</v>
      </c>
      <c r="C1225">
        <v>8</v>
      </c>
      <c r="D1225" t="s">
        <v>3480</v>
      </c>
      <c r="E1225">
        <v>95</v>
      </c>
      <c r="F1225">
        <v>26</v>
      </c>
      <c r="G1225">
        <v>69</v>
      </c>
      <c r="H1225" t="s">
        <v>3495</v>
      </c>
      <c r="I1225" t="s">
        <v>3490</v>
      </c>
      <c r="J1225" t="s">
        <v>3001</v>
      </c>
    </row>
    <row r="1226" spans="1:10" x14ac:dyDescent="0.25">
      <c r="A1226" t="s">
        <v>1575</v>
      </c>
      <c r="B1226" t="s">
        <v>212</v>
      </c>
      <c r="C1226">
        <v>8</v>
      </c>
      <c r="D1226" t="s">
        <v>3482</v>
      </c>
      <c r="E1226">
        <v>76</v>
      </c>
      <c r="F1226">
        <v>28</v>
      </c>
      <c r="G1226">
        <v>48</v>
      </c>
      <c r="H1226" t="s">
        <v>3494</v>
      </c>
      <c r="I1226" t="s">
        <v>3490</v>
      </c>
      <c r="J1226" t="s">
        <v>3001</v>
      </c>
    </row>
    <row r="1227" spans="1:10" x14ac:dyDescent="0.25">
      <c r="A1227" t="s">
        <v>1580</v>
      </c>
      <c r="B1227" t="s">
        <v>75</v>
      </c>
      <c r="C1227">
        <v>4</v>
      </c>
      <c r="D1227" t="s">
        <v>3034</v>
      </c>
      <c r="E1227">
        <v>41</v>
      </c>
      <c r="F1227">
        <v>14</v>
      </c>
      <c r="G1227">
        <v>27</v>
      </c>
      <c r="H1227" t="s">
        <v>3491</v>
      </c>
      <c r="I1227" t="s">
        <v>3492</v>
      </c>
      <c r="J1227" t="s">
        <v>2961</v>
      </c>
    </row>
    <row r="1228" spans="1:10" x14ac:dyDescent="0.25">
      <c r="A1228" t="s">
        <v>1580</v>
      </c>
      <c r="B1228" t="s">
        <v>75</v>
      </c>
      <c r="C1228">
        <v>4</v>
      </c>
      <c r="D1228" t="s">
        <v>3036</v>
      </c>
      <c r="E1228">
        <v>60</v>
      </c>
      <c r="F1228">
        <v>12</v>
      </c>
      <c r="G1228">
        <v>48</v>
      </c>
      <c r="H1228" t="s">
        <v>3489</v>
      </c>
      <c r="I1228" t="s">
        <v>3490</v>
      </c>
      <c r="J1228" t="s">
        <v>2961</v>
      </c>
    </row>
    <row r="1229" spans="1:10" x14ac:dyDescent="0.25">
      <c r="A1229" t="s">
        <v>1580</v>
      </c>
      <c r="B1229" t="s">
        <v>75</v>
      </c>
      <c r="C1229">
        <v>4</v>
      </c>
      <c r="D1229" t="s">
        <v>3038</v>
      </c>
      <c r="E1229">
        <v>76</v>
      </c>
      <c r="F1229">
        <v>10</v>
      </c>
      <c r="G1229">
        <v>66</v>
      </c>
      <c r="H1229" t="s">
        <v>3494</v>
      </c>
      <c r="I1229" t="s">
        <v>3490</v>
      </c>
      <c r="J1229" t="s">
        <v>2961</v>
      </c>
    </row>
    <row r="1230" spans="1:10" x14ac:dyDescent="0.25">
      <c r="A1230" t="s">
        <v>1580</v>
      </c>
      <c r="B1230" t="s">
        <v>75</v>
      </c>
      <c r="C1230">
        <v>4</v>
      </c>
      <c r="D1230" t="s">
        <v>3040</v>
      </c>
      <c r="E1230">
        <v>79</v>
      </c>
      <c r="F1230">
        <v>27</v>
      </c>
      <c r="G1230">
        <v>52</v>
      </c>
      <c r="H1230" t="s">
        <v>3494</v>
      </c>
      <c r="I1230" t="s">
        <v>3490</v>
      </c>
      <c r="J1230" t="s">
        <v>2961</v>
      </c>
    </row>
    <row r="1231" spans="1:10" x14ac:dyDescent="0.25">
      <c r="A1231" t="s">
        <v>1580</v>
      </c>
      <c r="B1231" t="s">
        <v>75</v>
      </c>
      <c r="C1231">
        <v>4</v>
      </c>
      <c r="D1231" t="s">
        <v>3042</v>
      </c>
      <c r="E1231">
        <v>87</v>
      </c>
      <c r="F1231">
        <v>30</v>
      </c>
      <c r="G1231">
        <v>57</v>
      </c>
      <c r="H1231" t="s">
        <v>196</v>
      </c>
      <c r="I1231" t="s">
        <v>3490</v>
      </c>
      <c r="J1231" t="s">
        <v>2961</v>
      </c>
    </row>
    <row r="1232" spans="1:10" x14ac:dyDescent="0.25">
      <c r="A1232" t="s">
        <v>1586</v>
      </c>
      <c r="B1232" t="s">
        <v>159</v>
      </c>
      <c r="C1232">
        <v>8</v>
      </c>
      <c r="D1232" t="s">
        <v>3114</v>
      </c>
      <c r="E1232">
        <v>81</v>
      </c>
      <c r="F1232">
        <v>19</v>
      </c>
      <c r="G1232">
        <v>62</v>
      </c>
      <c r="H1232" t="s">
        <v>196</v>
      </c>
      <c r="I1232" t="s">
        <v>3490</v>
      </c>
      <c r="J1232" t="s">
        <v>2902</v>
      </c>
    </row>
    <row r="1233" spans="1:10" x14ac:dyDescent="0.25">
      <c r="A1233" t="s">
        <v>1586</v>
      </c>
      <c r="B1233" t="s">
        <v>159</v>
      </c>
      <c r="C1233">
        <v>8</v>
      </c>
      <c r="D1233" t="s">
        <v>3116</v>
      </c>
      <c r="E1233">
        <v>47</v>
      </c>
      <c r="F1233">
        <v>26</v>
      </c>
      <c r="G1233">
        <v>21</v>
      </c>
      <c r="H1233" t="s">
        <v>3491</v>
      </c>
      <c r="I1233" t="s">
        <v>3492</v>
      </c>
      <c r="J1233" t="s">
        <v>2902</v>
      </c>
    </row>
    <row r="1234" spans="1:10" x14ac:dyDescent="0.25">
      <c r="A1234" t="s">
        <v>1586</v>
      </c>
      <c r="B1234" t="s">
        <v>159</v>
      </c>
      <c r="C1234">
        <v>8</v>
      </c>
      <c r="D1234" t="s">
        <v>3118</v>
      </c>
      <c r="E1234">
        <v>66</v>
      </c>
      <c r="F1234">
        <v>12</v>
      </c>
      <c r="G1234">
        <v>54</v>
      </c>
      <c r="H1234" t="s">
        <v>3489</v>
      </c>
      <c r="I1234" t="s">
        <v>3490</v>
      </c>
      <c r="J1234" t="s">
        <v>2902</v>
      </c>
    </row>
    <row r="1235" spans="1:10" x14ac:dyDescent="0.25">
      <c r="A1235" t="s">
        <v>1586</v>
      </c>
      <c r="B1235" t="s">
        <v>159</v>
      </c>
      <c r="C1235">
        <v>8</v>
      </c>
      <c r="D1235" t="s">
        <v>3120</v>
      </c>
      <c r="E1235">
        <v>58</v>
      </c>
      <c r="F1235">
        <v>22</v>
      </c>
      <c r="G1235">
        <v>36</v>
      </c>
      <c r="H1235" t="s">
        <v>3493</v>
      </c>
      <c r="I1235" t="s">
        <v>3490</v>
      </c>
      <c r="J1235" t="s">
        <v>2902</v>
      </c>
    </row>
    <row r="1236" spans="1:10" x14ac:dyDescent="0.25">
      <c r="A1236" t="s">
        <v>1586</v>
      </c>
      <c r="B1236" t="s">
        <v>159</v>
      </c>
      <c r="C1236">
        <v>8</v>
      </c>
      <c r="D1236" t="s">
        <v>3122</v>
      </c>
      <c r="E1236">
        <v>73</v>
      </c>
      <c r="F1236">
        <v>19</v>
      </c>
      <c r="G1236">
        <v>54</v>
      </c>
      <c r="H1236" t="s">
        <v>3494</v>
      </c>
      <c r="I1236" t="s">
        <v>3490</v>
      </c>
      <c r="J1236" t="s">
        <v>2902</v>
      </c>
    </row>
    <row r="1237" spans="1:10" x14ac:dyDescent="0.25">
      <c r="A1237" t="s">
        <v>1591</v>
      </c>
      <c r="B1237" t="s">
        <v>63</v>
      </c>
      <c r="C1237">
        <v>6</v>
      </c>
      <c r="D1237" t="s">
        <v>3414</v>
      </c>
      <c r="E1237">
        <v>44</v>
      </c>
      <c r="F1237">
        <v>14</v>
      </c>
      <c r="G1237">
        <v>30</v>
      </c>
      <c r="H1237" t="s">
        <v>3491</v>
      </c>
      <c r="I1237" t="s">
        <v>3492</v>
      </c>
      <c r="J1237" t="s">
        <v>2932</v>
      </c>
    </row>
    <row r="1238" spans="1:10" x14ac:dyDescent="0.25">
      <c r="A1238" t="s">
        <v>1591</v>
      </c>
      <c r="B1238" t="s">
        <v>63</v>
      </c>
      <c r="C1238">
        <v>6</v>
      </c>
      <c r="D1238" t="s">
        <v>3416</v>
      </c>
      <c r="E1238">
        <v>61</v>
      </c>
      <c r="F1238">
        <v>13</v>
      </c>
      <c r="G1238">
        <v>48</v>
      </c>
      <c r="H1238" t="s">
        <v>3489</v>
      </c>
      <c r="I1238" t="s">
        <v>3490</v>
      </c>
      <c r="J1238" t="s">
        <v>2932</v>
      </c>
    </row>
    <row r="1239" spans="1:10" x14ac:dyDescent="0.25">
      <c r="A1239" t="s">
        <v>1591</v>
      </c>
      <c r="B1239" t="s">
        <v>63</v>
      </c>
      <c r="C1239">
        <v>6</v>
      </c>
      <c r="D1239" t="s">
        <v>3418</v>
      </c>
      <c r="E1239">
        <v>74</v>
      </c>
      <c r="F1239">
        <v>21</v>
      </c>
      <c r="G1239">
        <v>53</v>
      </c>
      <c r="H1239" t="s">
        <v>3494</v>
      </c>
      <c r="I1239" t="s">
        <v>3490</v>
      </c>
      <c r="J1239" t="s">
        <v>2932</v>
      </c>
    </row>
    <row r="1240" spans="1:10" x14ac:dyDescent="0.25">
      <c r="A1240" t="s">
        <v>1591</v>
      </c>
      <c r="B1240" t="s">
        <v>63</v>
      </c>
      <c r="C1240">
        <v>6</v>
      </c>
      <c r="D1240" t="s">
        <v>3420</v>
      </c>
      <c r="E1240">
        <v>93</v>
      </c>
      <c r="F1240">
        <v>26</v>
      </c>
      <c r="G1240">
        <v>67</v>
      </c>
      <c r="H1240" t="s">
        <v>3495</v>
      </c>
      <c r="I1240" t="s">
        <v>3490</v>
      </c>
      <c r="J1240" t="s">
        <v>2932</v>
      </c>
    </row>
    <row r="1241" spans="1:10" x14ac:dyDescent="0.25">
      <c r="A1241" t="s">
        <v>1591</v>
      </c>
      <c r="B1241" t="s">
        <v>63</v>
      </c>
      <c r="C1241">
        <v>6</v>
      </c>
      <c r="D1241" t="s">
        <v>3422</v>
      </c>
      <c r="E1241">
        <v>73</v>
      </c>
      <c r="F1241">
        <v>17</v>
      </c>
      <c r="G1241">
        <v>56</v>
      </c>
      <c r="H1241" t="s">
        <v>3494</v>
      </c>
      <c r="I1241" t="s">
        <v>3490</v>
      </c>
      <c r="J1241" t="s">
        <v>2932</v>
      </c>
    </row>
    <row r="1242" spans="1:10" x14ac:dyDescent="0.25">
      <c r="A1242" t="s">
        <v>1596</v>
      </c>
      <c r="B1242" t="s">
        <v>95</v>
      </c>
      <c r="C1242">
        <v>6</v>
      </c>
      <c r="D1242" t="s">
        <v>3234</v>
      </c>
      <c r="E1242">
        <v>76</v>
      </c>
      <c r="F1242">
        <v>24</v>
      </c>
      <c r="G1242">
        <v>52</v>
      </c>
      <c r="H1242" t="s">
        <v>3494</v>
      </c>
      <c r="I1242" t="s">
        <v>3490</v>
      </c>
      <c r="J1242" t="s">
        <v>2889</v>
      </c>
    </row>
    <row r="1243" spans="1:10" x14ac:dyDescent="0.25">
      <c r="A1243" t="s">
        <v>1596</v>
      </c>
      <c r="B1243" t="s">
        <v>95</v>
      </c>
      <c r="C1243">
        <v>6</v>
      </c>
      <c r="D1243" t="s">
        <v>3236</v>
      </c>
      <c r="E1243">
        <v>69</v>
      </c>
      <c r="F1243">
        <v>21</v>
      </c>
      <c r="G1243">
        <v>48</v>
      </c>
      <c r="H1243" t="s">
        <v>3489</v>
      </c>
      <c r="I1243" t="s">
        <v>3490</v>
      </c>
      <c r="J1243" t="s">
        <v>2889</v>
      </c>
    </row>
    <row r="1244" spans="1:10" x14ac:dyDescent="0.25">
      <c r="A1244" t="s">
        <v>1596</v>
      </c>
      <c r="B1244" t="s">
        <v>95</v>
      </c>
      <c r="C1244">
        <v>6</v>
      </c>
      <c r="D1244" t="s">
        <v>3238</v>
      </c>
      <c r="E1244">
        <v>64</v>
      </c>
      <c r="F1244">
        <v>10</v>
      </c>
      <c r="G1244">
        <v>54</v>
      </c>
      <c r="H1244" t="s">
        <v>3489</v>
      </c>
      <c r="I1244" t="s">
        <v>3490</v>
      </c>
      <c r="J1244" t="s">
        <v>2889</v>
      </c>
    </row>
    <row r="1245" spans="1:10" x14ac:dyDescent="0.25">
      <c r="A1245" t="s">
        <v>1596</v>
      </c>
      <c r="B1245" t="s">
        <v>95</v>
      </c>
      <c r="C1245">
        <v>6</v>
      </c>
      <c r="D1245" t="s">
        <v>3240</v>
      </c>
      <c r="E1245">
        <v>38</v>
      </c>
      <c r="F1245">
        <v>15</v>
      </c>
      <c r="G1245">
        <v>23</v>
      </c>
      <c r="H1245" t="s">
        <v>3491</v>
      </c>
      <c r="I1245" t="s">
        <v>3492</v>
      </c>
      <c r="J1245" t="s">
        <v>2889</v>
      </c>
    </row>
    <row r="1246" spans="1:10" x14ac:dyDescent="0.25">
      <c r="A1246" t="s">
        <v>1596</v>
      </c>
      <c r="B1246" t="s">
        <v>95</v>
      </c>
      <c r="C1246">
        <v>6</v>
      </c>
      <c r="D1246" t="s">
        <v>3242</v>
      </c>
      <c r="E1246">
        <v>46</v>
      </c>
      <c r="F1246">
        <v>10</v>
      </c>
      <c r="G1246">
        <v>36</v>
      </c>
      <c r="H1246" t="s">
        <v>3491</v>
      </c>
      <c r="I1246" t="s">
        <v>3492</v>
      </c>
      <c r="J1246" t="s">
        <v>2889</v>
      </c>
    </row>
    <row r="1247" spans="1:10" x14ac:dyDescent="0.25">
      <c r="A1247" t="s">
        <v>1601</v>
      </c>
      <c r="B1247" t="s">
        <v>212</v>
      </c>
      <c r="C1247">
        <v>8</v>
      </c>
      <c r="D1247" t="s">
        <v>3474</v>
      </c>
      <c r="E1247">
        <v>49</v>
      </c>
      <c r="F1247">
        <v>27</v>
      </c>
      <c r="G1247">
        <v>22</v>
      </c>
      <c r="H1247" t="s">
        <v>3491</v>
      </c>
      <c r="I1247" t="s">
        <v>3492</v>
      </c>
      <c r="J1247" t="s">
        <v>3001</v>
      </c>
    </row>
    <row r="1248" spans="1:10" x14ac:dyDescent="0.25">
      <c r="A1248" t="s">
        <v>1601</v>
      </c>
      <c r="B1248" t="s">
        <v>212</v>
      </c>
      <c r="C1248">
        <v>8</v>
      </c>
      <c r="D1248" t="s">
        <v>3476</v>
      </c>
      <c r="E1248">
        <v>73</v>
      </c>
      <c r="F1248">
        <v>23</v>
      </c>
      <c r="G1248">
        <v>50</v>
      </c>
      <c r="H1248" t="s">
        <v>3494</v>
      </c>
      <c r="I1248" t="s">
        <v>3490</v>
      </c>
      <c r="J1248" t="s">
        <v>3001</v>
      </c>
    </row>
    <row r="1249" spans="1:10" x14ac:dyDescent="0.25">
      <c r="A1249" t="s">
        <v>1601</v>
      </c>
      <c r="B1249" t="s">
        <v>212</v>
      </c>
      <c r="C1249">
        <v>8</v>
      </c>
      <c r="D1249" t="s">
        <v>3478</v>
      </c>
      <c r="E1249">
        <v>70</v>
      </c>
      <c r="F1249">
        <v>20</v>
      </c>
      <c r="G1249">
        <v>50</v>
      </c>
      <c r="H1249" t="s">
        <v>3494</v>
      </c>
      <c r="I1249" t="s">
        <v>3490</v>
      </c>
      <c r="J1249" t="s">
        <v>3001</v>
      </c>
    </row>
    <row r="1250" spans="1:10" x14ac:dyDescent="0.25">
      <c r="A1250" t="s">
        <v>1601</v>
      </c>
      <c r="B1250" t="s">
        <v>212</v>
      </c>
      <c r="C1250">
        <v>8</v>
      </c>
      <c r="D1250" t="s">
        <v>3480</v>
      </c>
      <c r="E1250">
        <v>43</v>
      </c>
      <c r="F1250">
        <v>12</v>
      </c>
      <c r="G1250">
        <v>31</v>
      </c>
      <c r="H1250" t="s">
        <v>3491</v>
      </c>
      <c r="I1250" t="s">
        <v>3492</v>
      </c>
      <c r="J1250" t="s">
        <v>3001</v>
      </c>
    </row>
    <row r="1251" spans="1:10" x14ac:dyDescent="0.25">
      <c r="A1251" t="s">
        <v>1601</v>
      </c>
      <c r="B1251" t="s">
        <v>212</v>
      </c>
      <c r="C1251">
        <v>8</v>
      </c>
      <c r="D1251" t="s">
        <v>3482</v>
      </c>
      <c r="E1251">
        <v>60</v>
      </c>
      <c r="F1251">
        <v>16</v>
      </c>
      <c r="G1251">
        <v>44</v>
      </c>
      <c r="H1251" t="s">
        <v>3489</v>
      </c>
      <c r="I1251" t="s">
        <v>3490</v>
      </c>
      <c r="J1251" t="s">
        <v>3001</v>
      </c>
    </row>
    <row r="1252" spans="1:10" x14ac:dyDescent="0.25">
      <c r="A1252" t="s">
        <v>1606</v>
      </c>
      <c r="B1252" t="s">
        <v>30</v>
      </c>
      <c r="C1252">
        <v>4</v>
      </c>
      <c r="D1252" t="s">
        <v>3334</v>
      </c>
      <c r="E1252">
        <v>53</v>
      </c>
      <c r="F1252">
        <v>28</v>
      </c>
      <c r="G1252">
        <v>25</v>
      </c>
      <c r="H1252" t="s">
        <v>3493</v>
      </c>
      <c r="I1252" t="s">
        <v>3490</v>
      </c>
      <c r="J1252" t="s">
        <v>2895</v>
      </c>
    </row>
    <row r="1253" spans="1:10" x14ac:dyDescent="0.25">
      <c r="A1253" t="s">
        <v>1606</v>
      </c>
      <c r="B1253" t="s">
        <v>30</v>
      </c>
      <c r="C1253">
        <v>4</v>
      </c>
      <c r="D1253" t="s">
        <v>3336</v>
      </c>
      <c r="E1253">
        <v>77</v>
      </c>
      <c r="F1253">
        <v>19</v>
      </c>
      <c r="G1253">
        <v>58</v>
      </c>
      <c r="H1253" t="s">
        <v>3494</v>
      </c>
      <c r="I1253" t="s">
        <v>3490</v>
      </c>
      <c r="J1253" t="s">
        <v>2895</v>
      </c>
    </row>
    <row r="1254" spans="1:10" x14ac:dyDescent="0.25">
      <c r="A1254" t="s">
        <v>1606</v>
      </c>
      <c r="B1254" t="s">
        <v>30</v>
      </c>
      <c r="C1254">
        <v>4</v>
      </c>
      <c r="D1254" t="s">
        <v>3338</v>
      </c>
      <c r="E1254">
        <v>47</v>
      </c>
      <c r="F1254">
        <v>22</v>
      </c>
      <c r="G1254">
        <v>25</v>
      </c>
      <c r="H1254" t="s">
        <v>3491</v>
      </c>
      <c r="I1254" t="s">
        <v>3492</v>
      </c>
      <c r="J1254" t="s">
        <v>2895</v>
      </c>
    </row>
    <row r="1255" spans="1:10" x14ac:dyDescent="0.25">
      <c r="A1255" t="s">
        <v>1606</v>
      </c>
      <c r="B1255" t="s">
        <v>30</v>
      </c>
      <c r="C1255">
        <v>4</v>
      </c>
      <c r="D1255" t="s">
        <v>3340</v>
      </c>
      <c r="E1255">
        <v>92</v>
      </c>
      <c r="F1255">
        <v>30</v>
      </c>
      <c r="G1255">
        <v>62</v>
      </c>
      <c r="H1255" t="s">
        <v>3495</v>
      </c>
      <c r="I1255" t="s">
        <v>3490</v>
      </c>
      <c r="J1255" t="s">
        <v>2895</v>
      </c>
    </row>
    <row r="1256" spans="1:10" x14ac:dyDescent="0.25">
      <c r="A1256" t="s">
        <v>1606</v>
      </c>
      <c r="B1256" t="s">
        <v>30</v>
      </c>
      <c r="C1256">
        <v>4</v>
      </c>
      <c r="D1256" t="s">
        <v>3342</v>
      </c>
      <c r="E1256">
        <v>42</v>
      </c>
      <c r="F1256">
        <v>12</v>
      </c>
      <c r="G1256">
        <v>30</v>
      </c>
      <c r="H1256" t="s">
        <v>3491</v>
      </c>
      <c r="I1256" t="s">
        <v>3492</v>
      </c>
      <c r="J1256" t="s">
        <v>2895</v>
      </c>
    </row>
    <row r="1257" spans="1:10" x14ac:dyDescent="0.25">
      <c r="A1257" t="s">
        <v>1612</v>
      </c>
      <c r="B1257" t="s">
        <v>30</v>
      </c>
      <c r="C1257">
        <v>6</v>
      </c>
      <c r="D1257" t="s">
        <v>3354</v>
      </c>
      <c r="E1257">
        <v>77</v>
      </c>
      <c r="F1257">
        <v>26</v>
      </c>
      <c r="G1257">
        <v>51</v>
      </c>
      <c r="H1257" t="s">
        <v>3494</v>
      </c>
      <c r="I1257" t="s">
        <v>3490</v>
      </c>
      <c r="J1257" t="s">
        <v>2895</v>
      </c>
    </row>
    <row r="1258" spans="1:10" x14ac:dyDescent="0.25">
      <c r="A1258" t="s">
        <v>1612</v>
      </c>
      <c r="B1258" t="s">
        <v>30</v>
      </c>
      <c r="C1258">
        <v>6</v>
      </c>
      <c r="D1258" t="s">
        <v>3356</v>
      </c>
      <c r="E1258">
        <v>65</v>
      </c>
      <c r="F1258">
        <v>28</v>
      </c>
      <c r="G1258">
        <v>37</v>
      </c>
      <c r="H1258" t="s">
        <v>3489</v>
      </c>
      <c r="I1258" t="s">
        <v>3490</v>
      </c>
      <c r="J1258" t="s">
        <v>2895</v>
      </c>
    </row>
    <row r="1259" spans="1:10" x14ac:dyDescent="0.25">
      <c r="A1259" t="s">
        <v>1612</v>
      </c>
      <c r="B1259" t="s">
        <v>30</v>
      </c>
      <c r="C1259">
        <v>6</v>
      </c>
      <c r="D1259" t="s">
        <v>3358</v>
      </c>
      <c r="E1259">
        <v>73</v>
      </c>
      <c r="F1259">
        <v>15</v>
      </c>
      <c r="G1259">
        <v>58</v>
      </c>
      <c r="H1259" t="s">
        <v>3494</v>
      </c>
      <c r="I1259" t="s">
        <v>3490</v>
      </c>
      <c r="J1259" t="s">
        <v>2895</v>
      </c>
    </row>
    <row r="1260" spans="1:10" x14ac:dyDescent="0.25">
      <c r="A1260" t="s">
        <v>1612</v>
      </c>
      <c r="B1260" t="s">
        <v>30</v>
      </c>
      <c r="C1260">
        <v>6</v>
      </c>
      <c r="D1260" t="s">
        <v>3360</v>
      </c>
      <c r="E1260">
        <v>78</v>
      </c>
      <c r="F1260">
        <v>23</v>
      </c>
      <c r="G1260">
        <v>55</v>
      </c>
      <c r="H1260" t="s">
        <v>3494</v>
      </c>
      <c r="I1260" t="s">
        <v>3490</v>
      </c>
      <c r="J1260" t="s">
        <v>2895</v>
      </c>
    </row>
    <row r="1261" spans="1:10" x14ac:dyDescent="0.25">
      <c r="A1261" t="s">
        <v>1612</v>
      </c>
      <c r="B1261" t="s">
        <v>30</v>
      </c>
      <c r="C1261">
        <v>6</v>
      </c>
      <c r="D1261" t="s">
        <v>3362</v>
      </c>
      <c r="E1261">
        <v>55</v>
      </c>
      <c r="F1261">
        <v>26</v>
      </c>
      <c r="G1261">
        <v>29</v>
      </c>
      <c r="H1261" t="s">
        <v>3493</v>
      </c>
      <c r="I1261" t="s">
        <v>3490</v>
      </c>
      <c r="J1261" t="s">
        <v>2895</v>
      </c>
    </row>
    <row r="1262" spans="1:10" x14ac:dyDescent="0.25">
      <c r="A1262" t="s">
        <v>1617</v>
      </c>
      <c r="B1262" t="s">
        <v>75</v>
      </c>
      <c r="C1262">
        <v>6</v>
      </c>
      <c r="D1262" t="s">
        <v>3054</v>
      </c>
      <c r="E1262">
        <v>90</v>
      </c>
      <c r="F1262">
        <v>24</v>
      </c>
      <c r="G1262">
        <v>66</v>
      </c>
      <c r="H1262" t="s">
        <v>3495</v>
      </c>
      <c r="I1262" t="s">
        <v>3490</v>
      </c>
      <c r="J1262" t="s">
        <v>2961</v>
      </c>
    </row>
    <row r="1263" spans="1:10" x14ac:dyDescent="0.25">
      <c r="A1263" t="s">
        <v>1617</v>
      </c>
      <c r="B1263" t="s">
        <v>75</v>
      </c>
      <c r="C1263">
        <v>6</v>
      </c>
      <c r="D1263" t="s">
        <v>3056</v>
      </c>
      <c r="E1263">
        <v>79</v>
      </c>
      <c r="F1263">
        <v>22</v>
      </c>
      <c r="G1263">
        <v>57</v>
      </c>
      <c r="H1263" t="s">
        <v>3494</v>
      </c>
      <c r="I1263" t="s">
        <v>3490</v>
      </c>
      <c r="J1263" t="s">
        <v>2961</v>
      </c>
    </row>
    <row r="1264" spans="1:10" x14ac:dyDescent="0.25">
      <c r="A1264" t="s">
        <v>1617</v>
      </c>
      <c r="B1264" t="s">
        <v>75</v>
      </c>
      <c r="C1264">
        <v>6</v>
      </c>
      <c r="D1264" t="s">
        <v>3058</v>
      </c>
      <c r="E1264">
        <v>87</v>
      </c>
      <c r="F1264">
        <v>25</v>
      </c>
      <c r="G1264">
        <v>62</v>
      </c>
      <c r="H1264" t="s">
        <v>196</v>
      </c>
      <c r="I1264" t="s">
        <v>3490</v>
      </c>
      <c r="J1264" t="s">
        <v>2961</v>
      </c>
    </row>
    <row r="1265" spans="1:10" x14ac:dyDescent="0.25">
      <c r="A1265" t="s">
        <v>1617</v>
      </c>
      <c r="B1265" t="s">
        <v>75</v>
      </c>
      <c r="C1265">
        <v>6</v>
      </c>
      <c r="D1265" t="s">
        <v>3060</v>
      </c>
      <c r="E1265">
        <v>53</v>
      </c>
      <c r="F1265">
        <v>30</v>
      </c>
      <c r="G1265">
        <v>23</v>
      </c>
      <c r="H1265" t="s">
        <v>3493</v>
      </c>
      <c r="I1265" t="s">
        <v>3490</v>
      </c>
      <c r="J1265" t="s">
        <v>2961</v>
      </c>
    </row>
    <row r="1266" spans="1:10" x14ac:dyDescent="0.25">
      <c r="A1266" t="s">
        <v>1617</v>
      </c>
      <c r="B1266" t="s">
        <v>75</v>
      </c>
      <c r="C1266">
        <v>6</v>
      </c>
      <c r="D1266" t="s">
        <v>3062</v>
      </c>
      <c r="E1266">
        <v>40</v>
      </c>
      <c r="F1266">
        <v>18</v>
      </c>
      <c r="G1266">
        <v>22</v>
      </c>
      <c r="H1266" t="s">
        <v>3491</v>
      </c>
      <c r="I1266" t="s">
        <v>3492</v>
      </c>
      <c r="J1266" t="s">
        <v>2961</v>
      </c>
    </row>
    <row r="1267" spans="1:10" x14ac:dyDescent="0.25">
      <c r="A1267" t="s">
        <v>1624</v>
      </c>
      <c r="B1267" t="s">
        <v>159</v>
      </c>
      <c r="C1267">
        <v>8</v>
      </c>
      <c r="D1267" t="s">
        <v>3114</v>
      </c>
      <c r="E1267">
        <v>70</v>
      </c>
      <c r="F1267">
        <v>28</v>
      </c>
      <c r="G1267">
        <v>42</v>
      </c>
      <c r="H1267" t="s">
        <v>3494</v>
      </c>
      <c r="I1267" t="s">
        <v>3490</v>
      </c>
      <c r="J1267" t="s">
        <v>2902</v>
      </c>
    </row>
    <row r="1268" spans="1:10" x14ac:dyDescent="0.25">
      <c r="A1268" t="s">
        <v>1624</v>
      </c>
      <c r="B1268" t="s">
        <v>159</v>
      </c>
      <c r="C1268">
        <v>8</v>
      </c>
      <c r="D1268" t="s">
        <v>3116</v>
      </c>
      <c r="E1268">
        <v>82</v>
      </c>
      <c r="F1268">
        <v>17</v>
      </c>
      <c r="G1268">
        <v>65</v>
      </c>
      <c r="H1268" t="s">
        <v>196</v>
      </c>
      <c r="I1268" t="s">
        <v>3490</v>
      </c>
      <c r="J1268" t="s">
        <v>2902</v>
      </c>
    </row>
    <row r="1269" spans="1:10" x14ac:dyDescent="0.25">
      <c r="A1269" t="s">
        <v>1624</v>
      </c>
      <c r="B1269" t="s">
        <v>159</v>
      </c>
      <c r="C1269">
        <v>8</v>
      </c>
      <c r="D1269" t="s">
        <v>3118</v>
      </c>
      <c r="E1269">
        <v>49</v>
      </c>
      <c r="F1269">
        <v>13</v>
      </c>
      <c r="G1269">
        <v>36</v>
      </c>
      <c r="H1269" t="s">
        <v>3491</v>
      </c>
      <c r="I1269" t="s">
        <v>3492</v>
      </c>
      <c r="J1269" t="s">
        <v>2902</v>
      </c>
    </row>
    <row r="1270" spans="1:10" x14ac:dyDescent="0.25">
      <c r="A1270" t="s">
        <v>1624</v>
      </c>
      <c r="B1270" t="s">
        <v>159</v>
      </c>
      <c r="C1270">
        <v>8</v>
      </c>
      <c r="D1270" t="s">
        <v>3120</v>
      </c>
      <c r="E1270">
        <v>82</v>
      </c>
      <c r="F1270">
        <v>12</v>
      </c>
      <c r="G1270">
        <v>70</v>
      </c>
      <c r="H1270" t="s">
        <v>196</v>
      </c>
      <c r="I1270" t="s">
        <v>3490</v>
      </c>
      <c r="J1270" t="s">
        <v>2902</v>
      </c>
    </row>
    <row r="1271" spans="1:10" x14ac:dyDescent="0.25">
      <c r="A1271" t="s">
        <v>1624</v>
      </c>
      <c r="B1271" t="s">
        <v>159</v>
      </c>
      <c r="C1271">
        <v>8</v>
      </c>
      <c r="D1271" t="s">
        <v>3122</v>
      </c>
      <c r="E1271">
        <v>75</v>
      </c>
      <c r="F1271">
        <v>28</v>
      </c>
      <c r="G1271">
        <v>47</v>
      </c>
      <c r="H1271" t="s">
        <v>3494</v>
      </c>
      <c r="I1271" t="s">
        <v>3490</v>
      </c>
      <c r="J1271" t="s">
        <v>2902</v>
      </c>
    </row>
    <row r="1272" spans="1:10" x14ac:dyDescent="0.25">
      <c r="A1272" t="s">
        <v>1630</v>
      </c>
      <c r="B1272" t="s">
        <v>30</v>
      </c>
      <c r="C1272">
        <v>4</v>
      </c>
      <c r="D1272" t="s">
        <v>3334</v>
      </c>
      <c r="E1272">
        <v>55</v>
      </c>
      <c r="F1272">
        <v>13</v>
      </c>
      <c r="G1272">
        <v>42</v>
      </c>
      <c r="H1272" t="s">
        <v>3493</v>
      </c>
      <c r="I1272" t="s">
        <v>3490</v>
      </c>
      <c r="J1272" t="s">
        <v>2895</v>
      </c>
    </row>
    <row r="1273" spans="1:10" x14ac:dyDescent="0.25">
      <c r="A1273" t="s">
        <v>1630</v>
      </c>
      <c r="B1273" t="s">
        <v>30</v>
      </c>
      <c r="C1273">
        <v>4</v>
      </c>
      <c r="D1273" t="s">
        <v>3336</v>
      </c>
      <c r="E1273">
        <v>45</v>
      </c>
      <c r="F1273">
        <v>23</v>
      </c>
      <c r="G1273">
        <v>22</v>
      </c>
      <c r="H1273" t="s">
        <v>3491</v>
      </c>
      <c r="I1273" t="s">
        <v>3492</v>
      </c>
      <c r="J1273" t="s">
        <v>2895</v>
      </c>
    </row>
    <row r="1274" spans="1:10" x14ac:dyDescent="0.25">
      <c r="A1274" t="s">
        <v>1630</v>
      </c>
      <c r="B1274" t="s">
        <v>30</v>
      </c>
      <c r="C1274">
        <v>4</v>
      </c>
      <c r="D1274" t="s">
        <v>3338</v>
      </c>
      <c r="E1274">
        <v>80</v>
      </c>
      <c r="F1274">
        <v>25</v>
      </c>
      <c r="G1274">
        <v>55</v>
      </c>
      <c r="H1274" t="s">
        <v>196</v>
      </c>
      <c r="I1274" t="s">
        <v>3490</v>
      </c>
      <c r="J1274" t="s">
        <v>2895</v>
      </c>
    </row>
    <row r="1275" spans="1:10" x14ac:dyDescent="0.25">
      <c r="A1275" t="s">
        <v>1630</v>
      </c>
      <c r="B1275" t="s">
        <v>30</v>
      </c>
      <c r="C1275">
        <v>4</v>
      </c>
      <c r="D1275" t="s">
        <v>3340</v>
      </c>
      <c r="E1275">
        <v>65</v>
      </c>
      <c r="F1275">
        <v>30</v>
      </c>
      <c r="G1275">
        <v>35</v>
      </c>
      <c r="H1275" t="s">
        <v>3489</v>
      </c>
      <c r="I1275" t="s">
        <v>3490</v>
      </c>
      <c r="J1275" t="s">
        <v>2895</v>
      </c>
    </row>
    <row r="1276" spans="1:10" x14ac:dyDescent="0.25">
      <c r="A1276" t="s">
        <v>1630</v>
      </c>
      <c r="B1276" t="s">
        <v>30</v>
      </c>
      <c r="C1276">
        <v>4</v>
      </c>
      <c r="D1276" t="s">
        <v>3342</v>
      </c>
      <c r="E1276">
        <v>66</v>
      </c>
      <c r="F1276">
        <v>15</v>
      </c>
      <c r="G1276">
        <v>51</v>
      </c>
      <c r="H1276" t="s">
        <v>3489</v>
      </c>
      <c r="I1276" t="s">
        <v>3490</v>
      </c>
      <c r="J1276" t="s">
        <v>2895</v>
      </c>
    </row>
    <row r="1277" spans="1:10" x14ac:dyDescent="0.25">
      <c r="A1277" t="s">
        <v>1635</v>
      </c>
      <c r="B1277" t="s">
        <v>30</v>
      </c>
      <c r="C1277">
        <v>4</v>
      </c>
      <c r="D1277" t="s">
        <v>3334</v>
      </c>
      <c r="E1277">
        <v>82</v>
      </c>
      <c r="F1277">
        <v>19</v>
      </c>
      <c r="G1277">
        <v>63</v>
      </c>
      <c r="H1277" t="s">
        <v>196</v>
      </c>
      <c r="I1277" t="s">
        <v>3490</v>
      </c>
      <c r="J1277" t="s">
        <v>2895</v>
      </c>
    </row>
    <row r="1278" spans="1:10" x14ac:dyDescent="0.25">
      <c r="A1278" t="s">
        <v>1635</v>
      </c>
      <c r="B1278" t="s">
        <v>30</v>
      </c>
      <c r="C1278">
        <v>4</v>
      </c>
      <c r="D1278" t="s">
        <v>3336</v>
      </c>
      <c r="E1278">
        <v>82</v>
      </c>
      <c r="F1278">
        <v>27</v>
      </c>
      <c r="G1278">
        <v>55</v>
      </c>
      <c r="H1278" t="s">
        <v>196</v>
      </c>
      <c r="I1278" t="s">
        <v>3490</v>
      </c>
      <c r="J1278" t="s">
        <v>2895</v>
      </c>
    </row>
    <row r="1279" spans="1:10" x14ac:dyDescent="0.25">
      <c r="A1279" t="s">
        <v>1635</v>
      </c>
      <c r="B1279" t="s">
        <v>30</v>
      </c>
      <c r="C1279">
        <v>4</v>
      </c>
      <c r="D1279" t="s">
        <v>3338</v>
      </c>
      <c r="E1279">
        <v>58</v>
      </c>
      <c r="F1279">
        <v>17</v>
      </c>
      <c r="G1279">
        <v>41</v>
      </c>
      <c r="H1279" t="s">
        <v>3493</v>
      </c>
      <c r="I1279" t="s">
        <v>3490</v>
      </c>
      <c r="J1279" t="s">
        <v>2895</v>
      </c>
    </row>
    <row r="1280" spans="1:10" x14ac:dyDescent="0.25">
      <c r="A1280" t="s">
        <v>1635</v>
      </c>
      <c r="B1280" t="s">
        <v>30</v>
      </c>
      <c r="C1280">
        <v>4</v>
      </c>
      <c r="D1280" t="s">
        <v>3340</v>
      </c>
      <c r="E1280">
        <v>64</v>
      </c>
      <c r="F1280">
        <v>22</v>
      </c>
      <c r="G1280">
        <v>42</v>
      </c>
      <c r="H1280" t="s">
        <v>3489</v>
      </c>
      <c r="I1280" t="s">
        <v>3490</v>
      </c>
      <c r="J1280" t="s">
        <v>2895</v>
      </c>
    </row>
    <row r="1281" spans="1:10" x14ac:dyDescent="0.25">
      <c r="A1281" t="s">
        <v>1635</v>
      </c>
      <c r="B1281" t="s">
        <v>30</v>
      </c>
      <c r="C1281">
        <v>4</v>
      </c>
      <c r="D1281" t="s">
        <v>3342</v>
      </c>
      <c r="E1281">
        <v>82</v>
      </c>
      <c r="F1281">
        <v>13</v>
      </c>
      <c r="G1281">
        <v>69</v>
      </c>
      <c r="H1281" t="s">
        <v>196</v>
      </c>
      <c r="I1281" t="s">
        <v>3490</v>
      </c>
      <c r="J1281" t="s">
        <v>2895</v>
      </c>
    </row>
    <row r="1282" spans="1:10" x14ac:dyDescent="0.25">
      <c r="A1282" t="s">
        <v>1640</v>
      </c>
      <c r="B1282" t="s">
        <v>30</v>
      </c>
      <c r="C1282">
        <v>8</v>
      </c>
      <c r="D1282" t="s">
        <v>3354</v>
      </c>
      <c r="E1282">
        <v>81</v>
      </c>
      <c r="F1282">
        <v>24</v>
      </c>
      <c r="G1282">
        <v>57</v>
      </c>
      <c r="H1282" t="s">
        <v>196</v>
      </c>
      <c r="I1282" t="s">
        <v>3490</v>
      </c>
      <c r="J1282" t="s">
        <v>2895</v>
      </c>
    </row>
    <row r="1283" spans="1:10" x14ac:dyDescent="0.25">
      <c r="A1283" t="s">
        <v>1640</v>
      </c>
      <c r="B1283" t="s">
        <v>30</v>
      </c>
      <c r="C1283">
        <v>8</v>
      </c>
      <c r="D1283" t="s">
        <v>3356</v>
      </c>
      <c r="E1283">
        <v>75</v>
      </c>
      <c r="F1283">
        <v>30</v>
      </c>
      <c r="G1283">
        <v>45</v>
      </c>
      <c r="H1283" t="s">
        <v>3494</v>
      </c>
      <c r="I1283" t="s">
        <v>3490</v>
      </c>
      <c r="J1283" t="s">
        <v>2895</v>
      </c>
    </row>
    <row r="1284" spans="1:10" x14ac:dyDescent="0.25">
      <c r="A1284" t="s">
        <v>1640</v>
      </c>
      <c r="B1284" t="s">
        <v>30</v>
      </c>
      <c r="C1284">
        <v>8</v>
      </c>
      <c r="D1284" t="s">
        <v>3358</v>
      </c>
      <c r="E1284">
        <v>53</v>
      </c>
      <c r="F1284">
        <v>15</v>
      </c>
      <c r="G1284">
        <v>38</v>
      </c>
      <c r="H1284" t="s">
        <v>3493</v>
      </c>
      <c r="I1284" t="s">
        <v>3490</v>
      </c>
      <c r="J1284" t="s">
        <v>2895</v>
      </c>
    </row>
    <row r="1285" spans="1:10" x14ac:dyDescent="0.25">
      <c r="A1285" t="s">
        <v>1640</v>
      </c>
      <c r="B1285" t="s">
        <v>30</v>
      </c>
      <c r="C1285">
        <v>8</v>
      </c>
      <c r="D1285" t="s">
        <v>3360</v>
      </c>
      <c r="E1285">
        <v>52</v>
      </c>
      <c r="F1285">
        <v>30</v>
      </c>
      <c r="G1285">
        <v>22</v>
      </c>
      <c r="H1285" t="s">
        <v>3493</v>
      </c>
      <c r="I1285" t="s">
        <v>3490</v>
      </c>
      <c r="J1285" t="s">
        <v>2895</v>
      </c>
    </row>
    <row r="1286" spans="1:10" x14ac:dyDescent="0.25">
      <c r="A1286" t="s">
        <v>1640</v>
      </c>
      <c r="B1286" t="s">
        <v>30</v>
      </c>
      <c r="C1286">
        <v>8</v>
      </c>
      <c r="D1286" t="s">
        <v>3362</v>
      </c>
      <c r="E1286">
        <v>75</v>
      </c>
      <c r="F1286">
        <v>29</v>
      </c>
      <c r="G1286">
        <v>46</v>
      </c>
      <c r="H1286" t="s">
        <v>3494</v>
      </c>
      <c r="I1286" t="s">
        <v>3490</v>
      </c>
      <c r="J1286" t="s">
        <v>2895</v>
      </c>
    </row>
    <row r="1287" spans="1:10" x14ac:dyDescent="0.25">
      <c r="A1287" t="s">
        <v>1646</v>
      </c>
      <c r="B1287" t="s">
        <v>95</v>
      </c>
      <c r="C1287">
        <v>8</v>
      </c>
      <c r="D1287" t="s">
        <v>3234</v>
      </c>
      <c r="E1287">
        <v>68</v>
      </c>
      <c r="F1287">
        <v>30</v>
      </c>
      <c r="G1287">
        <v>38</v>
      </c>
      <c r="H1287" t="s">
        <v>3489</v>
      </c>
      <c r="I1287" t="s">
        <v>3490</v>
      </c>
      <c r="J1287" t="s">
        <v>2889</v>
      </c>
    </row>
    <row r="1288" spans="1:10" x14ac:dyDescent="0.25">
      <c r="A1288" t="s">
        <v>1646</v>
      </c>
      <c r="B1288" t="s">
        <v>95</v>
      </c>
      <c r="C1288">
        <v>8</v>
      </c>
      <c r="D1288" t="s">
        <v>3236</v>
      </c>
      <c r="E1288">
        <v>73</v>
      </c>
      <c r="F1288">
        <v>29</v>
      </c>
      <c r="G1288">
        <v>44</v>
      </c>
      <c r="H1288" t="s">
        <v>3494</v>
      </c>
      <c r="I1288" t="s">
        <v>3490</v>
      </c>
      <c r="J1288" t="s">
        <v>2889</v>
      </c>
    </row>
    <row r="1289" spans="1:10" x14ac:dyDescent="0.25">
      <c r="A1289" t="s">
        <v>1646</v>
      </c>
      <c r="B1289" t="s">
        <v>95</v>
      </c>
      <c r="C1289">
        <v>8</v>
      </c>
      <c r="D1289" t="s">
        <v>3238</v>
      </c>
      <c r="E1289">
        <v>76</v>
      </c>
      <c r="F1289">
        <v>22</v>
      </c>
      <c r="G1289">
        <v>54</v>
      </c>
      <c r="H1289" t="s">
        <v>3494</v>
      </c>
      <c r="I1289" t="s">
        <v>3490</v>
      </c>
      <c r="J1289" t="s">
        <v>2889</v>
      </c>
    </row>
    <row r="1290" spans="1:10" x14ac:dyDescent="0.25">
      <c r="A1290" t="s">
        <v>1646</v>
      </c>
      <c r="B1290" t="s">
        <v>95</v>
      </c>
      <c r="C1290">
        <v>8</v>
      </c>
      <c r="D1290" t="s">
        <v>3240</v>
      </c>
      <c r="E1290">
        <v>83</v>
      </c>
      <c r="F1290">
        <v>17</v>
      </c>
      <c r="G1290">
        <v>66</v>
      </c>
      <c r="H1290" t="s">
        <v>196</v>
      </c>
      <c r="I1290" t="s">
        <v>3490</v>
      </c>
      <c r="J1290" t="s">
        <v>2889</v>
      </c>
    </row>
    <row r="1291" spans="1:10" x14ac:dyDescent="0.25">
      <c r="A1291" t="s">
        <v>1646</v>
      </c>
      <c r="B1291" t="s">
        <v>95</v>
      </c>
      <c r="C1291">
        <v>8</v>
      </c>
      <c r="D1291" t="s">
        <v>3242</v>
      </c>
      <c r="E1291">
        <v>77</v>
      </c>
      <c r="F1291">
        <v>18</v>
      </c>
      <c r="G1291">
        <v>59</v>
      </c>
      <c r="H1291" t="s">
        <v>3494</v>
      </c>
      <c r="I1291" t="s">
        <v>3490</v>
      </c>
      <c r="J1291" t="s">
        <v>2889</v>
      </c>
    </row>
    <row r="1292" spans="1:10" x14ac:dyDescent="0.25">
      <c r="A1292" t="s">
        <v>1651</v>
      </c>
      <c r="B1292" t="s">
        <v>122</v>
      </c>
      <c r="C1292">
        <v>4</v>
      </c>
      <c r="D1292" t="s">
        <v>3274</v>
      </c>
      <c r="E1292">
        <v>44</v>
      </c>
      <c r="F1292">
        <v>23</v>
      </c>
      <c r="G1292">
        <v>21</v>
      </c>
      <c r="H1292" t="s">
        <v>3491</v>
      </c>
      <c r="I1292" t="s">
        <v>3492</v>
      </c>
      <c r="J1292" t="s">
        <v>2919</v>
      </c>
    </row>
    <row r="1293" spans="1:10" x14ac:dyDescent="0.25">
      <c r="A1293" t="s">
        <v>1651</v>
      </c>
      <c r="B1293" t="s">
        <v>122</v>
      </c>
      <c r="C1293">
        <v>4</v>
      </c>
      <c r="D1293" t="s">
        <v>3276</v>
      </c>
      <c r="E1293">
        <v>66</v>
      </c>
      <c r="F1293">
        <v>18</v>
      </c>
      <c r="G1293">
        <v>48</v>
      </c>
      <c r="H1293" t="s">
        <v>3489</v>
      </c>
      <c r="I1293" t="s">
        <v>3490</v>
      </c>
      <c r="J1293" t="s">
        <v>2919</v>
      </c>
    </row>
    <row r="1294" spans="1:10" x14ac:dyDescent="0.25">
      <c r="A1294" t="s">
        <v>1651</v>
      </c>
      <c r="B1294" t="s">
        <v>122</v>
      </c>
      <c r="C1294">
        <v>4</v>
      </c>
      <c r="D1294" t="s">
        <v>3278</v>
      </c>
      <c r="E1294">
        <v>65</v>
      </c>
      <c r="F1294">
        <v>26</v>
      </c>
      <c r="G1294">
        <v>39</v>
      </c>
      <c r="H1294" t="s">
        <v>3489</v>
      </c>
      <c r="I1294" t="s">
        <v>3490</v>
      </c>
      <c r="J1294" t="s">
        <v>2919</v>
      </c>
    </row>
    <row r="1295" spans="1:10" x14ac:dyDescent="0.25">
      <c r="A1295" t="s">
        <v>1651</v>
      </c>
      <c r="B1295" t="s">
        <v>122</v>
      </c>
      <c r="C1295">
        <v>4</v>
      </c>
      <c r="D1295" t="s">
        <v>3280</v>
      </c>
      <c r="E1295">
        <v>38</v>
      </c>
      <c r="F1295">
        <v>14</v>
      </c>
      <c r="G1295">
        <v>24</v>
      </c>
      <c r="H1295" t="s">
        <v>3491</v>
      </c>
      <c r="I1295" t="s">
        <v>3492</v>
      </c>
      <c r="J1295" t="s">
        <v>2919</v>
      </c>
    </row>
    <row r="1296" spans="1:10" x14ac:dyDescent="0.25">
      <c r="A1296" t="s">
        <v>1651</v>
      </c>
      <c r="B1296" t="s">
        <v>122</v>
      </c>
      <c r="C1296">
        <v>4</v>
      </c>
      <c r="D1296" t="s">
        <v>3282</v>
      </c>
      <c r="E1296">
        <v>44</v>
      </c>
      <c r="F1296">
        <v>24</v>
      </c>
      <c r="G1296">
        <v>20</v>
      </c>
      <c r="H1296" t="s">
        <v>3491</v>
      </c>
      <c r="I1296" t="s">
        <v>3492</v>
      </c>
      <c r="J1296" t="s">
        <v>2919</v>
      </c>
    </row>
    <row r="1297" spans="1:10" x14ac:dyDescent="0.25">
      <c r="A1297" t="s">
        <v>1656</v>
      </c>
      <c r="B1297" t="s">
        <v>122</v>
      </c>
      <c r="C1297">
        <v>4</v>
      </c>
      <c r="D1297" t="s">
        <v>3274</v>
      </c>
      <c r="E1297">
        <v>69</v>
      </c>
      <c r="F1297">
        <v>14</v>
      </c>
      <c r="G1297">
        <v>55</v>
      </c>
      <c r="H1297" t="s">
        <v>3489</v>
      </c>
      <c r="I1297" t="s">
        <v>3490</v>
      </c>
      <c r="J1297" t="s">
        <v>2919</v>
      </c>
    </row>
    <row r="1298" spans="1:10" x14ac:dyDescent="0.25">
      <c r="A1298" t="s">
        <v>1656</v>
      </c>
      <c r="B1298" t="s">
        <v>122</v>
      </c>
      <c r="C1298">
        <v>4</v>
      </c>
      <c r="D1298" t="s">
        <v>3276</v>
      </c>
      <c r="E1298">
        <v>46</v>
      </c>
      <c r="F1298">
        <v>20</v>
      </c>
      <c r="G1298">
        <v>26</v>
      </c>
      <c r="H1298" t="s">
        <v>3491</v>
      </c>
      <c r="I1298" t="s">
        <v>3492</v>
      </c>
      <c r="J1298" t="s">
        <v>2919</v>
      </c>
    </row>
    <row r="1299" spans="1:10" x14ac:dyDescent="0.25">
      <c r="A1299" t="s">
        <v>1656</v>
      </c>
      <c r="B1299" t="s">
        <v>122</v>
      </c>
      <c r="C1299">
        <v>4</v>
      </c>
      <c r="D1299" t="s">
        <v>3278</v>
      </c>
      <c r="E1299">
        <v>51</v>
      </c>
      <c r="F1299">
        <v>22</v>
      </c>
      <c r="G1299">
        <v>29</v>
      </c>
      <c r="H1299" t="s">
        <v>3493</v>
      </c>
      <c r="I1299" t="s">
        <v>3490</v>
      </c>
      <c r="J1299" t="s">
        <v>2919</v>
      </c>
    </row>
    <row r="1300" spans="1:10" x14ac:dyDescent="0.25">
      <c r="A1300" t="s">
        <v>1656</v>
      </c>
      <c r="B1300" t="s">
        <v>122</v>
      </c>
      <c r="C1300">
        <v>4</v>
      </c>
      <c r="D1300" t="s">
        <v>3280</v>
      </c>
      <c r="E1300">
        <v>57</v>
      </c>
      <c r="F1300">
        <v>15</v>
      </c>
      <c r="G1300">
        <v>42</v>
      </c>
      <c r="H1300" t="s">
        <v>3493</v>
      </c>
      <c r="I1300" t="s">
        <v>3490</v>
      </c>
      <c r="J1300" t="s">
        <v>2919</v>
      </c>
    </row>
    <row r="1301" spans="1:10" x14ac:dyDescent="0.25">
      <c r="A1301" t="s">
        <v>1656</v>
      </c>
      <c r="B1301" t="s">
        <v>122</v>
      </c>
      <c r="C1301">
        <v>4</v>
      </c>
      <c r="D1301" t="s">
        <v>3282</v>
      </c>
      <c r="E1301">
        <v>96</v>
      </c>
      <c r="F1301">
        <v>28</v>
      </c>
      <c r="G1301">
        <v>68</v>
      </c>
      <c r="H1301" t="s">
        <v>3495</v>
      </c>
      <c r="I1301" t="s">
        <v>3490</v>
      </c>
      <c r="J1301" t="s">
        <v>2919</v>
      </c>
    </row>
    <row r="1302" spans="1:10" x14ac:dyDescent="0.25">
      <c r="A1302" t="s">
        <v>1661</v>
      </c>
      <c r="B1302" t="s">
        <v>212</v>
      </c>
      <c r="C1302">
        <v>8</v>
      </c>
      <c r="D1302" t="s">
        <v>3474</v>
      </c>
      <c r="E1302">
        <v>77</v>
      </c>
      <c r="F1302">
        <v>17</v>
      </c>
      <c r="G1302">
        <v>60</v>
      </c>
      <c r="H1302" t="s">
        <v>3494</v>
      </c>
      <c r="I1302" t="s">
        <v>3490</v>
      </c>
      <c r="J1302" t="s">
        <v>3001</v>
      </c>
    </row>
    <row r="1303" spans="1:10" x14ac:dyDescent="0.25">
      <c r="A1303" t="s">
        <v>1661</v>
      </c>
      <c r="B1303" t="s">
        <v>212</v>
      </c>
      <c r="C1303">
        <v>8</v>
      </c>
      <c r="D1303" t="s">
        <v>3476</v>
      </c>
      <c r="E1303">
        <v>60</v>
      </c>
      <c r="F1303">
        <v>23</v>
      </c>
      <c r="G1303">
        <v>37</v>
      </c>
      <c r="H1303" t="s">
        <v>3489</v>
      </c>
      <c r="I1303" t="s">
        <v>3490</v>
      </c>
      <c r="J1303" t="s">
        <v>3001</v>
      </c>
    </row>
    <row r="1304" spans="1:10" x14ac:dyDescent="0.25">
      <c r="A1304" t="s">
        <v>1661</v>
      </c>
      <c r="B1304" t="s">
        <v>212</v>
      </c>
      <c r="C1304">
        <v>8</v>
      </c>
      <c r="D1304" t="s">
        <v>3478</v>
      </c>
      <c r="E1304">
        <v>81</v>
      </c>
      <c r="F1304">
        <v>27</v>
      </c>
      <c r="G1304">
        <v>54</v>
      </c>
      <c r="H1304" t="s">
        <v>196</v>
      </c>
      <c r="I1304" t="s">
        <v>3490</v>
      </c>
      <c r="J1304" t="s">
        <v>3001</v>
      </c>
    </row>
    <row r="1305" spans="1:10" x14ac:dyDescent="0.25">
      <c r="A1305" t="s">
        <v>1661</v>
      </c>
      <c r="B1305" t="s">
        <v>212</v>
      </c>
      <c r="C1305">
        <v>8</v>
      </c>
      <c r="D1305" t="s">
        <v>3480</v>
      </c>
      <c r="E1305">
        <v>34</v>
      </c>
      <c r="F1305">
        <v>14</v>
      </c>
      <c r="G1305">
        <v>20</v>
      </c>
      <c r="H1305" t="s">
        <v>3491</v>
      </c>
      <c r="I1305" t="s">
        <v>3492</v>
      </c>
      <c r="J1305" t="s">
        <v>3001</v>
      </c>
    </row>
    <row r="1306" spans="1:10" x14ac:dyDescent="0.25">
      <c r="A1306" t="s">
        <v>1661</v>
      </c>
      <c r="B1306" t="s">
        <v>212</v>
      </c>
      <c r="C1306">
        <v>8</v>
      </c>
      <c r="D1306" t="s">
        <v>3482</v>
      </c>
      <c r="E1306">
        <v>82</v>
      </c>
      <c r="F1306">
        <v>26</v>
      </c>
      <c r="G1306">
        <v>56</v>
      </c>
      <c r="H1306" t="s">
        <v>196</v>
      </c>
      <c r="I1306" t="s">
        <v>3490</v>
      </c>
      <c r="J1306" t="s">
        <v>3001</v>
      </c>
    </row>
    <row r="1307" spans="1:10" x14ac:dyDescent="0.25">
      <c r="A1307" t="s">
        <v>1666</v>
      </c>
      <c r="B1307" t="s">
        <v>105</v>
      </c>
      <c r="C1307">
        <v>4</v>
      </c>
      <c r="D1307" t="s">
        <v>3154</v>
      </c>
      <c r="E1307">
        <v>54</v>
      </c>
      <c r="F1307">
        <v>17</v>
      </c>
      <c r="G1307">
        <v>37</v>
      </c>
      <c r="H1307" t="s">
        <v>3493</v>
      </c>
      <c r="I1307" t="s">
        <v>3490</v>
      </c>
      <c r="J1307" t="s">
        <v>2908</v>
      </c>
    </row>
    <row r="1308" spans="1:10" x14ac:dyDescent="0.25">
      <c r="A1308" t="s">
        <v>1666</v>
      </c>
      <c r="B1308" t="s">
        <v>105</v>
      </c>
      <c r="C1308">
        <v>4</v>
      </c>
      <c r="D1308" t="s">
        <v>3156</v>
      </c>
      <c r="E1308">
        <v>72</v>
      </c>
      <c r="F1308">
        <v>27</v>
      </c>
      <c r="G1308">
        <v>45</v>
      </c>
      <c r="H1308" t="s">
        <v>3494</v>
      </c>
      <c r="I1308" t="s">
        <v>3490</v>
      </c>
      <c r="J1308" t="s">
        <v>2908</v>
      </c>
    </row>
    <row r="1309" spans="1:10" x14ac:dyDescent="0.25">
      <c r="A1309" t="s">
        <v>1666</v>
      </c>
      <c r="B1309" t="s">
        <v>105</v>
      </c>
      <c r="C1309">
        <v>4</v>
      </c>
      <c r="D1309" t="s">
        <v>3158</v>
      </c>
      <c r="E1309">
        <v>91</v>
      </c>
      <c r="F1309">
        <v>27</v>
      </c>
      <c r="G1309">
        <v>64</v>
      </c>
      <c r="H1309" t="s">
        <v>3495</v>
      </c>
      <c r="I1309" t="s">
        <v>3490</v>
      </c>
      <c r="J1309" t="s">
        <v>2908</v>
      </c>
    </row>
    <row r="1310" spans="1:10" x14ac:dyDescent="0.25">
      <c r="A1310" t="s">
        <v>1666</v>
      </c>
      <c r="B1310" t="s">
        <v>105</v>
      </c>
      <c r="C1310">
        <v>4</v>
      </c>
      <c r="D1310" t="s">
        <v>3160</v>
      </c>
      <c r="E1310">
        <v>60</v>
      </c>
      <c r="F1310">
        <v>26</v>
      </c>
      <c r="G1310">
        <v>34</v>
      </c>
      <c r="H1310" t="s">
        <v>3489</v>
      </c>
      <c r="I1310" t="s">
        <v>3490</v>
      </c>
      <c r="J1310" t="s">
        <v>2908</v>
      </c>
    </row>
    <row r="1311" spans="1:10" x14ac:dyDescent="0.25">
      <c r="A1311" t="s">
        <v>1666</v>
      </c>
      <c r="B1311" t="s">
        <v>105</v>
      </c>
      <c r="C1311">
        <v>4</v>
      </c>
      <c r="D1311" t="s">
        <v>3162</v>
      </c>
      <c r="E1311">
        <v>51</v>
      </c>
      <c r="F1311">
        <v>29</v>
      </c>
      <c r="G1311">
        <v>22</v>
      </c>
      <c r="H1311" t="s">
        <v>3493</v>
      </c>
      <c r="I1311" t="s">
        <v>3490</v>
      </c>
      <c r="J1311" t="s">
        <v>2908</v>
      </c>
    </row>
    <row r="1312" spans="1:10" x14ac:dyDescent="0.25">
      <c r="A1312" t="s">
        <v>1672</v>
      </c>
      <c r="B1312" t="s">
        <v>95</v>
      </c>
      <c r="C1312">
        <v>4</v>
      </c>
      <c r="D1312" t="s">
        <v>3214</v>
      </c>
      <c r="E1312">
        <v>51</v>
      </c>
      <c r="F1312">
        <v>23</v>
      </c>
      <c r="G1312">
        <v>28</v>
      </c>
      <c r="H1312" t="s">
        <v>3493</v>
      </c>
      <c r="I1312" t="s">
        <v>3490</v>
      </c>
      <c r="J1312" t="s">
        <v>2889</v>
      </c>
    </row>
    <row r="1313" spans="1:10" x14ac:dyDescent="0.25">
      <c r="A1313" t="s">
        <v>1672</v>
      </c>
      <c r="B1313" t="s">
        <v>95</v>
      </c>
      <c r="C1313">
        <v>4</v>
      </c>
      <c r="D1313" t="s">
        <v>3216</v>
      </c>
      <c r="E1313">
        <v>63</v>
      </c>
      <c r="F1313">
        <v>18</v>
      </c>
      <c r="G1313">
        <v>45</v>
      </c>
      <c r="H1313" t="s">
        <v>3489</v>
      </c>
      <c r="I1313" t="s">
        <v>3490</v>
      </c>
      <c r="J1313" t="s">
        <v>2889</v>
      </c>
    </row>
    <row r="1314" spans="1:10" x14ac:dyDescent="0.25">
      <c r="A1314" t="s">
        <v>1672</v>
      </c>
      <c r="B1314" t="s">
        <v>95</v>
      </c>
      <c r="C1314">
        <v>4</v>
      </c>
      <c r="D1314" t="s">
        <v>3218</v>
      </c>
      <c r="E1314">
        <v>54</v>
      </c>
      <c r="F1314">
        <v>25</v>
      </c>
      <c r="G1314">
        <v>29</v>
      </c>
      <c r="H1314" t="s">
        <v>3493</v>
      </c>
      <c r="I1314" t="s">
        <v>3490</v>
      </c>
      <c r="J1314" t="s">
        <v>2889</v>
      </c>
    </row>
    <row r="1315" spans="1:10" x14ac:dyDescent="0.25">
      <c r="A1315" t="s">
        <v>1672</v>
      </c>
      <c r="B1315" t="s">
        <v>95</v>
      </c>
      <c r="C1315">
        <v>4</v>
      </c>
      <c r="D1315" t="s">
        <v>3220</v>
      </c>
      <c r="E1315">
        <v>74</v>
      </c>
      <c r="F1315">
        <v>26</v>
      </c>
      <c r="G1315">
        <v>48</v>
      </c>
      <c r="H1315" t="s">
        <v>3494</v>
      </c>
      <c r="I1315" t="s">
        <v>3490</v>
      </c>
      <c r="J1315" t="s">
        <v>2889</v>
      </c>
    </row>
    <row r="1316" spans="1:10" x14ac:dyDescent="0.25">
      <c r="A1316" t="s">
        <v>1672</v>
      </c>
      <c r="B1316" t="s">
        <v>95</v>
      </c>
      <c r="C1316">
        <v>4</v>
      </c>
      <c r="D1316" t="s">
        <v>3222</v>
      </c>
      <c r="E1316">
        <v>85</v>
      </c>
      <c r="F1316">
        <v>29</v>
      </c>
      <c r="G1316">
        <v>56</v>
      </c>
      <c r="H1316" t="s">
        <v>196</v>
      </c>
      <c r="I1316" t="s">
        <v>3490</v>
      </c>
      <c r="J1316" t="s">
        <v>2889</v>
      </c>
    </row>
    <row r="1317" spans="1:10" x14ac:dyDescent="0.25">
      <c r="A1317" t="s">
        <v>1678</v>
      </c>
      <c r="B1317" t="s">
        <v>30</v>
      </c>
      <c r="C1317">
        <v>4</v>
      </c>
      <c r="D1317" t="s">
        <v>3334</v>
      </c>
      <c r="E1317">
        <v>59</v>
      </c>
      <c r="F1317">
        <v>12</v>
      </c>
      <c r="G1317">
        <v>47</v>
      </c>
      <c r="H1317" t="s">
        <v>3493</v>
      </c>
      <c r="I1317" t="s">
        <v>3490</v>
      </c>
      <c r="J1317" t="s">
        <v>2895</v>
      </c>
    </row>
    <row r="1318" spans="1:10" x14ac:dyDescent="0.25">
      <c r="A1318" t="s">
        <v>1678</v>
      </c>
      <c r="B1318" t="s">
        <v>30</v>
      </c>
      <c r="C1318">
        <v>4</v>
      </c>
      <c r="D1318" t="s">
        <v>3336</v>
      </c>
      <c r="E1318">
        <v>69</v>
      </c>
      <c r="F1318">
        <v>10</v>
      </c>
      <c r="G1318">
        <v>59</v>
      </c>
      <c r="H1318" t="s">
        <v>3489</v>
      </c>
      <c r="I1318" t="s">
        <v>3490</v>
      </c>
      <c r="J1318" t="s">
        <v>2895</v>
      </c>
    </row>
    <row r="1319" spans="1:10" x14ac:dyDescent="0.25">
      <c r="A1319" t="s">
        <v>1678</v>
      </c>
      <c r="B1319" t="s">
        <v>30</v>
      </c>
      <c r="C1319">
        <v>4</v>
      </c>
      <c r="D1319" t="s">
        <v>3338</v>
      </c>
      <c r="E1319">
        <v>37</v>
      </c>
      <c r="F1319">
        <v>12</v>
      </c>
      <c r="G1319">
        <v>25</v>
      </c>
      <c r="H1319" t="s">
        <v>3491</v>
      </c>
      <c r="I1319" t="s">
        <v>3492</v>
      </c>
      <c r="J1319" t="s">
        <v>2895</v>
      </c>
    </row>
    <row r="1320" spans="1:10" x14ac:dyDescent="0.25">
      <c r="A1320" t="s">
        <v>1678</v>
      </c>
      <c r="B1320" t="s">
        <v>30</v>
      </c>
      <c r="C1320">
        <v>4</v>
      </c>
      <c r="D1320" t="s">
        <v>3340</v>
      </c>
      <c r="E1320">
        <v>43</v>
      </c>
      <c r="F1320">
        <v>19</v>
      </c>
      <c r="G1320">
        <v>24</v>
      </c>
      <c r="H1320" t="s">
        <v>3491</v>
      </c>
      <c r="I1320" t="s">
        <v>3492</v>
      </c>
      <c r="J1320" t="s">
        <v>2895</v>
      </c>
    </row>
    <row r="1321" spans="1:10" x14ac:dyDescent="0.25">
      <c r="A1321" t="s">
        <v>1678</v>
      </c>
      <c r="B1321" t="s">
        <v>30</v>
      </c>
      <c r="C1321">
        <v>4</v>
      </c>
      <c r="D1321" t="s">
        <v>3342</v>
      </c>
      <c r="E1321">
        <v>43</v>
      </c>
      <c r="F1321">
        <v>16</v>
      </c>
      <c r="G1321">
        <v>27</v>
      </c>
      <c r="H1321" t="s">
        <v>3491</v>
      </c>
      <c r="I1321" t="s">
        <v>3492</v>
      </c>
      <c r="J1321" t="s">
        <v>2895</v>
      </c>
    </row>
    <row r="1322" spans="1:10" x14ac:dyDescent="0.25">
      <c r="A1322" t="s">
        <v>1684</v>
      </c>
      <c r="B1322" t="s">
        <v>105</v>
      </c>
      <c r="C1322">
        <v>8</v>
      </c>
      <c r="D1322" t="s">
        <v>3174</v>
      </c>
      <c r="E1322">
        <v>96</v>
      </c>
      <c r="F1322">
        <v>28</v>
      </c>
      <c r="G1322">
        <v>68</v>
      </c>
      <c r="H1322" t="s">
        <v>3495</v>
      </c>
      <c r="I1322" t="s">
        <v>3490</v>
      </c>
      <c r="J1322" t="s">
        <v>2908</v>
      </c>
    </row>
    <row r="1323" spans="1:10" x14ac:dyDescent="0.25">
      <c r="A1323" t="s">
        <v>1684</v>
      </c>
      <c r="B1323" t="s">
        <v>105</v>
      </c>
      <c r="C1323">
        <v>8</v>
      </c>
      <c r="D1323" t="s">
        <v>3176</v>
      </c>
      <c r="E1323">
        <v>59</v>
      </c>
      <c r="F1323">
        <v>17</v>
      </c>
      <c r="G1323">
        <v>42</v>
      </c>
      <c r="H1323" t="s">
        <v>3493</v>
      </c>
      <c r="I1323" t="s">
        <v>3490</v>
      </c>
      <c r="J1323" t="s">
        <v>2908</v>
      </c>
    </row>
    <row r="1324" spans="1:10" x14ac:dyDescent="0.25">
      <c r="A1324" t="s">
        <v>1684</v>
      </c>
      <c r="B1324" t="s">
        <v>105</v>
      </c>
      <c r="C1324">
        <v>8</v>
      </c>
      <c r="D1324" t="s">
        <v>3178</v>
      </c>
      <c r="E1324">
        <v>89</v>
      </c>
      <c r="F1324">
        <v>29</v>
      </c>
      <c r="G1324">
        <v>60</v>
      </c>
      <c r="H1324" t="s">
        <v>196</v>
      </c>
      <c r="I1324" t="s">
        <v>3490</v>
      </c>
      <c r="J1324" t="s">
        <v>2908</v>
      </c>
    </row>
    <row r="1325" spans="1:10" x14ac:dyDescent="0.25">
      <c r="A1325" t="s">
        <v>1684</v>
      </c>
      <c r="B1325" t="s">
        <v>105</v>
      </c>
      <c r="C1325">
        <v>8</v>
      </c>
      <c r="D1325" t="s">
        <v>3180</v>
      </c>
      <c r="E1325">
        <v>48</v>
      </c>
      <c r="F1325">
        <v>15</v>
      </c>
      <c r="G1325">
        <v>33</v>
      </c>
      <c r="H1325" t="s">
        <v>3491</v>
      </c>
      <c r="I1325" t="s">
        <v>3492</v>
      </c>
      <c r="J1325" t="s">
        <v>2908</v>
      </c>
    </row>
    <row r="1326" spans="1:10" x14ac:dyDescent="0.25">
      <c r="A1326" t="s">
        <v>1684</v>
      </c>
      <c r="B1326" t="s">
        <v>105</v>
      </c>
      <c r="C1326">
        <v>8</v>
      </c>
      <c r="D1326" t="s">
        <v>3182</v>
      </c>
      <c r="E1326">
        <v>49</v>
      </c>
      <c r="F1326">
        <v>23</v>
      </c>
      <c r="G1326">
        <v>26</v>
      </c>
      <c r="H1326" t="s">
        <v>3491</v>
      </c>
      <c r="I1326" t="s">
        <v>3492</v>
      </c>
      <c r="J1326" t="s">
        <v>2908</v>
      </c>
    </row>
    <row r="1327" spans="1:10" x14ac:dyDescent="0.25">
      <c r="A1327" t="s">
        <v>1689</v>
      </c>
      <c r="B1327" t="s">
        <v>212</v>
      </c>
      <c r="C1327">
        <v>6</v>
      </c>
      <c r="D1327" t="s">
        <v>3474</v>
      </c>
      <c r="E1327">
        <v>50</v>
      </c>
      <c r="F1327">
        <v>17</v>
      </c>
      <c r="G1327">
        <v>33</v>
      </c>
      <c r="H1327" t="s">
        <v>3493</v>
      </c>
      <c r="I1327" t="s">
        <v>3490</v>
      </c>
      <c r="J1327" t="s">
        <v>3001</v>
      </c>
    </row>
    <row r="1328" spans="1:10" x14ac:dyDescent="0.25">
      <c r="A1328" t="s">
        <v>1689</v>
      </c>
      <c r="B1328" t="s">
        <v>212</v>
      </c>
      <c r="C1328">
        <v>6</v>
      </c>
      <c r="D1328" t="s">
        <v>3476</v>
      </c>
      <c r="E1328">
        <v>91</v>
      </c>
      <c r="F1328">
        <v>25</v>
      </c>
      <c r="G1328">
        <v>66</v>
      </c>
      <c r="H1328" t="s">
        <v>3495</v>
      </c>
      <c r="I1328" t="s">
        <v>3490</v>
      </c>
      <c r="J1328" t="s">
        <v>3001</v>
      </c>
    </row>
    <row r="1329" spans="1:10" x14ac:dyDescent="0.25">
      <c r="A1329" t="s">
        <v>1689</v>
      </c>
      <c r="B1329" t="s">
        <v>212</v>
      </c>
      <c r="C1329">
        <v>6</v>
      </c>
      <c r="D1329" t="s">
        <v>3478</v>
      </c>
      <c r="E1329">
        <v>43</v>
      </c>
      <c r="F1329">
        <v>23</v>
      </c>
      <c r="G1329">
        <v>20</v>
      </c>
      <c r="H1329" t="s">
        <v>3491</v>
      </c>
      <c r="I1329" t="s">
        <v>3492</v>
      </c>
      <c r="J1329" t="s">
        <v>3001</v>
      </c>
    </row>
    <row r="1330" spans="1:10" x14ac:dyDescent="0.25">
      <c r="A1330" t="s">
        <v>1689</v>
      </c>
      <c r="B1330" t="s">
        <v>212</v>
      </c>
      <c r="C1330">
        <v>6</v>
      </c>
      <c r="D1330" t="s">
        <v>3480</v>
      </c>
      <c r="E1330">
        <v>51</v>
      </c>
      <c r="F1330">
        <v>20</v>
      </c>
      <c r="G1330">
        <v>31</v>
      </c>
      <c r="H1330" t="s">
        <v>3493</v>
      </c>
      <c r="I1330" t="s">
        <v>3490</v>
      </c>
      <c r="J1330" t="s">
        <v>3001</v>
      </c>
    </row>
    <row r="1331" spans="1:10" x14ac:dyDescent="0.25">
      <c r="A1331" t="s">
        <v>1689</v>
      </c>
      <c r="B1331" t="s">
        <v>212</v>
      </c>
      <c r="C1331">
        <v>6</v>
      </c>
      <c r="D1331" t="s">
        <v>3482</v>
      </c>
      <c r="E1331">
        <v>39</v>
      </c>
      <c r="F1331">
        <v>17</v>
      </c>
      <c r="G1331">
        <v>22</v>
      </c>
      <c r="H1331" t="s">
        <v>3491</v>
      </c>
      <c r="I1331" t="s">
        <v>3492</v>
      </c>
      <c r="J1331" t="s">
        <v>3001</v>
      </c>
    </row>
    <row r="1332" spans="1:10" x14ac:dyDescent="0.25">
      <c r="A1332" t="s">
        <v>1694</v>
      </c>
      <c r="B1332" t="s">
        <v>95</v>
      </c>
      <c r="C1332">
        <v>8</v>
      </c>
      <c r="D1332" t="s">
        <v>3234</v>
      </c>
      <c r="E1332">
        <v>58</v>
      </c>
      <c r="F1332">
        <v>18</v>
      </c>
      <c r="G1332">
        <v>40</v>
      </c>
      <c r="H1332" t="s">
        <v>3493</v>
      </c>
      <c r="I1332" t="s">
        <v>3490</v>
      </c>
      <c r="J1332" t="s">
        <v>2889</v>
      </c>
    </row>
    <row r="1333" spans="1:10" x14ac:dyDescent="0.25">
      <c r="A1333" t="s">
        <v>1694</v>
      </c>
      <c r="B1333" t="s">
        <v>95</v>
      </c>
      <c r="C1333">
        <v>8</v>
      </c>
      <c r="D1333" t="s">
        <v>3236</v>
      </c>
      <c r="E1333">
        <v>79</v>
      </c>
      <c r="F1333">
        <v>27</v>
      </c>
      <c r="G1333">
        <v>52</v>
      </c>
      <c r="H1333" t="s">
        <v>3494</v>
      </c>
      <c r="I1333" t="s">
        <v>3490</v>
      </c>
      <c r="J1333" t="s">
        <v>2889</v>
      </c>
    </row>
    <row r="1334" spans="1:10" x14ac:dyDescent="0.25">
      <c r="A1334" t="s">
        <v>1694</v>
      </c>
      <c r="B1334" t="s">
        <v>95</v>
      </c>
      <c r="C1334">
        <v>8</v>
      </c>
      <c r="D1334" t="s">
        <v>3238</v>
      </c>
      <c r="E1334">
        <v>58</v>
      </c>
      <c r="F1334">
        <v>13</v>
      </c>
      <c r="G1334">
        <v>45</v>
      </c>
      <c r="H1334" t="s">
        <v>3493</v>
      </c>
      <c r="I1334" t="s">
        <v>3490</v>
      </c>
      <c r="J1334" t="s">
        <v>2889</v>
      </c>
    </row>
    <row r="1335" spans="1:10" x14ac:dyDescent="0.25">
      <c r="A1335" t="s">
        <v>1694</v>
      </c>
      <c r="B1335" t="s">
        <v>95</v>
      </c>
      <c r="C1335">
        <v>8</v>
      </c>
      <c r="D1335" t="s">
        <v>3240</v>
      </c>
      <c r="E1335">
        <v>89</v>
      </c>
      <c r="F1335">
        <v>20</v>
      </c>
      <c r="G1335">
        <v>69</v>
      </c>
      <c r="H1335" t="s">
        <v>196</v>
      </c>
      <c r="I1335" t="s">
        <v>3490</v>
      </c>
      <c r="J1335" t="s">
        <v>2889</v>
      </c>
    </row>
    <row r="1336" spans="1:10" x14ac:dyDescent="0.25">
      <c r="A1336" t="s">
        <v>1694</v>
      </c>
      <c r="B1336" t="s">
        <v>95</v>
      </c>
      <c r="C1336">
        <v>8</v>
      </c>
      <c r="D1336" t="s">
        <v>3242</v>
      </c>
      <c r="E1336">
        <v>40</v>
      </c>
      <c r="F1336">
        <v>10</v>
      </c>
      <c r="G1336">
        <v>30</v>
      </c>
      <c r="H1336" t="s">
        <v>3491</v>
      </c>
      <c r="I1336" t="s">
        <v>3492</v>
      </c>
      <c r="J1336" t="s">
        <v>2889</v>
      </c>
    </row>
    <row r="1337" spans="1:10" x14ac:dyDescent="0.25">
      <c r="A1337" t="s">
        <v>1700</v>
      </c>
      <c r="B1337" t="s">
        <v>95</v>
      </c>
      <c r="C1337">
        <v>8</v>
      </c>
      <c r="D1337" t="s">
        <v>3234</v>
      </c>
      <c r="E1337">
        <v>58</v>
      </c>
      <c r="F1337">
        <v>21</v>
      </c>
      <c r="G1337">
        <v>37</v>
      </c>
      <c r="H1337" t="s">
        <v>3493</v>
      </c>
      <c r="I1337" t="s">
        <v>3490</v>
      </c>
      <c r="J1337" t="s">
        <v>2889</v>
      </c>
    </row>
    <row r="1338" spans="1:10" x14ac:dyDescent="0.25">
      <c r="A1338" t="s">
        <v>1700</v>
      </c>
      <c r="B1338" t="s">
        <v>95</v>
      </c>
      <c r="C1338">
        <v>8</v>
      </c>
      <c r="D1338" t="s">
        <v>3236</v>
      </c>
      <c r="E1338">
        <v>70</v>
      </c>
      <c r="F1338">
        <v>19</v>
      </c>
      <c r="G1338">
        <v>51</v>
      </c>
      <c r="H1338" t="s">
        <v>3494</v>
      </c>
      <c r="I1338" t="s">
        <v>3490</v>
      </c>
      <c r="J1338" t="s">
        <v>2889</v>
      </c>
    </row>
    <row r="1339" spans="1:10" x14ac:dyDescent="0.25">
      <c r="A1339" t="s">
        <v>1700</v>
      </c>
      <c r="B1339" t="s">
        <v>95</v>
      </c>
      <c r="C1339">
        <v>8</v>
      </c>
      <c r="D1339" t="s">
        <v>3238</v>
      </c>
      <c r="E1339">
        <v>50</v>
      </c>
      <c r="F1339">
        <v>14</v>
      </c>
      <c r="G1339">
        <v>36</v>
      </c>
      <c r="H1339" t="s">
        <v>3493</v>
      </c>
      <c r="I1339" t="s">
        <v>3490</v>
      </c>
      <c r="J1339" t="s">
        <v>2889</v>
      </c>
    </row>
    <row r="1340" spans="1:10" x14ac:dyDescent="0.25">
      <c r="A1340" t="s">
        <v>1700</v>
      </c>
      <c r="B1340" t="s">
        <v>95</v>
      </c>
      <c r="C1340">
        <v>8</v>
      </c>
      <c r="D1340" t="s">
        <v>3240</v>
      </c>
      <c r="E1340">
        <v>72</v>
      </c>
      <c r="F1340">
        <v>13</v>
      </c>
      <c r="G1340">
        <v>59</v>
      </c>
      <c r="H1340" t="s">
        <v>3494</v>
      </c>
      <c r="I1340" t="s">
        <v>3490</v>
      </c>
      <c r="J1340" t="s">
        <v>2889</v>
      </c>
    </row>
    <row r="1341" spans="1:10" x14ac:dyDescent="0.25">
      <c r="A1341" t="s">
        <v>1700</v>
      </c>
      <c r="B1341" t="s">
        <v>95</v>
      </c>
      <c r="C1341">
        <v>8</v>
      </c>
      <c r="D1341" t="s">
        <v>3242</v>
      </c>
      <c r="E1341">
        <v>60</v>
      </c>
      <c r="F1341">
        <v>13</v>
      </c>
      <c r="G1341">
        <v>47</v>
      </c>
      <c r="H1341" t="s">
        <v>3489</v>
      </c>
      <c r="I1341" t="s">
        <v>3490</v>
      </c>
      <c r="J1341" t="s">
        <v>2889</v>
      </c>
    </row>
    <row r="1342" spans="1:10" x14ac:dyDescent="0.25">
      <c r="A1342" t="s">
        <v>1705</v>
      </c>
      <c r="B1342" t="s">
        <v>95</v>
      </c>
      <c r="C1342">
        <v>8</v>
      </c>
      <c r="D1342" t="s">
        <v>3234</v>
      </c>
      <c r="E1342">
        <v>81</v>
      </c>
      <c r="F1342">
        <v>20</v>
      </c>
      <c r="G1342">
        <v>61</v>
      </c>
      <c r="H1342" t="s">
        <v>196</v>
      </c>
      <c r="I1342" t="s">
        <v>3490</v>
      </c>
      <c r="J1342" t="s">
        <v>2889</v>
      </c>
    </row>
    <row r="1343" spans="1:10" x14ac:dyDescent="0.25">
      <c r="A1343" t="s">
        <v>1705</v>
      </c>
      <c r="B1343" t="s">
        <v>95</v>
      </c>
      <c r="C1343">
        <v>8</v>
      </c>
      <c r="D1343" t="s">
        <v>3236</v>
      </c>
      <c r="E1343">
        <v>43</v>
      </c>
      <c r="F1343">
        <v>11</v>
      </c>
      <c r="G1343">
        <v>32</v>
      </c>
      <c r="H1343" t="s">
        <v>3491</v>
      </c>
      <c r="I1343" t="s">
        <v>3492</v>
      </c>
      <c r="J1343" t="s">
        <v>2889</v>
      </c>
    </row>
    <row r="1344" spans="1:10" x14ac:dyDescent="0.25">
      <c r="A1344" t="s">
        <v>1705</v>
      </c>
      <c r="B1344" t="s">
        <v>95</v>
      </c>
      <c r="C1344">
        <v>8</v>
      </c>
      <c r="D1344" t="s">
        <v>3238</v>
      </c>
      <c r="E1344">
        <v>56</v>
      </c>
      <c r="F1344">
        <v>19</v>
      </c>
      <c r="G1344">
        <v>37</v>
      </c>
      <c r="H1344" t="s">
        <v>3493</v>
      </c>
      <c r="I1344" t="s">
        <v>3490</v>
      </c>
      <c r="J1344" t="s">
        <v>2889</v>
      </c>
    </row>
    <row r="1345" spans="1:10" x14ac:dyDescent="0.25">
      <c r="A1345" t="s">
        <v>1705</v>
      </c>
      <c r="B1345" t="s">
        <v>95</v>
      </c>
      <c r="C1345">
        <v>8</v>
      </c>
      <c r="D1345" t="s">
        <v>3240</v>
      </c>
      <c r="E1345">
        <v>80</v>
      </c>
      <c r="F1345">
        <v>10</v>
      </c>
      <c r="G1345">
        <v>70</v>
      </c>
      <c r="H1345" t="s">
        <v>196</v>
      </c>
      <c r="I1345" t="s">
        <v>3490</v>
      </c>
      <c r="J1345" t="s">
        <v>2889</v>
      </c>
    </row>
    <row r="1346" spans="1:10" x14ac:dyDescent="0.25">
      <c r="A1346" t="s">
        <v>1705</v>
      </c>
      <c r="B1346" t="s">
        <v>95</v>
      </c>
      <c r="C1346">
        <v>8</v>
      </c>
      <c r="D1346" t="s">
        <v>3242</v>
      </c>
      <c r="E1346">
        <v>74</v>
      </c>
      <c r="F1346">
        <v>28</v>
      </c>
      <c r="G1346">
        <v>46</v>
      </c>
      <c r="H1346" t="s">
        <v>3494</v>
      </c>
      <c r="I1346" t="s">
        <v>3490</v>
      </c>
      <c r="J1346" t="s">
        <v>2889</v>
      </c>
    </row>
    <row r="1347" spans="1:10" x14ac:dyDescent="0.25">
      <c r="A1347" t="s">
        <v>1710</v>
      </c>
      <c r="B1347" t="s">
        <v>122</v>
      </c>
      <c r="C1347">
        <v>8</v>
      </c>
      <c r="D1347" t="s">
        <v>3294</v>
      </c>
      <c r="E1347">
        <v>46</v>
      </c>
      <c r="F1347">
        <v>22</v>
      </c>
      <c r="G1347">
        <v>24</v>
      </c>
      <c r="H1347" t="s">
        <v>3491</v>
      </c>
      <c r="I1347" t="s">
        <v>3492</v>
      </c>
      <c r="J1347" t="s">
        <v>2919</v>
      </c>
    </row>
    <row r="1348" spans="1:10" x14ac:dyDescent="0.25">
      <c r="A1348" t="s">
        <v>1710</v>
      </c>
      <c r="B1348" t="s">
        <v>122</v>
      </c>
      <c r="C1348">
        <v>8</v>
      </c>
      <c r="D1348" t="s">
        <v>3296</v>
      </c>
      <c r="E1348">
        <v>93</v>
      </c>
      <c r="F1348">
        <v>25</v>
      </c>
      <c r="G1348">
        <v>68</v>
      </c>
      <c r="H1348" t="s">
        <v>3495</v>
      </c>
      <c r="I1348" t="s">
        <v>3490</v>
      </c>
      <c r="J1348" t="s">
        <v>2919</v>
      </c>
    </row>
    <row r="1349" spans="1:10" x14ac:dyDescent="0.25">
      <c r="A1349" t="s">
        <v>1710</v>
      </c>
      <c r="B1349" t="s">
        <v>122</v>
      </c>
      <c r="C1349">
        <v>8</v>
      </c>
      <c r="D1349" t="s">
        <v>3298</v>
      </c>
      <c r="E1349">
        <v>92</v>
      </c>
      <c r="F1349">
        <v>25</v>
      </c>
      <c r="G1349">
        <v>67</v>
      </c>
      <c r="H1349" t="s">
        <v>3495</v>
      </c>
      <c r="I1349" t="s">
        <v>3490</v>
      </c>
      <c r="J1349" t="s">
        <v>2919</v>
      </c>
    </row>
    <row r="1350" spans="1:10" x14ac:dyDescent="0.25">
      <c r="A1350" t="s">
        <v>1710</v>
      </c>
      <c r="B1350" t="s">
        <v>122</v>
      </c>
      <c r="C1350">
        <v>8</v>
      </c>
      <c r="D1350" t="s">
        <v>3300</v>
      </c>
      <c r="E1350">
        <v>81</v>
      </c>
      <c r="F1350">
        <v>12</v>
      </c>
      <c r="G1350">
        <v>69</v>
      </c>
      <c r="H1350" t="s">
        <v>196</v>
      </c>
      <c r="I1350" t="s">
        <v>3490</v>
      </c>
      <c r="J1350" t="s">
        <v>2919</v>
      </c>
    </row>
    <row r="1351" spans="1:10" x14ac:dyDescent="0.25">
      <c r="A1351" t="s">
        <v>1710</v>
      </c>
      <c r="B1351" t="s">
        <v>122</v>
      </c>
      <c r="C1351">
        <v>8</v>
      </c>
      <c r="D1351" t="s">
        <v>3302</v>
      </c>
      <c r="E1351">
        <v>54</v>
      </c>
      <c r="F1351">
        <v>26</v>
      </c>
      <c r="G1351">
        <v>28</v>
      </c>
      <c r="H1351" t="s">
        <v>3493</v>
      </c>
      <c r="I1351" t="s">
        <v>3490</v>
      </c>
      <c r="J1351" t="s">
        <v>2919</v>
      </c>
    </row>
    <row r="1352" spans="1:10" x14ac:dyDescent="0.25">
      <c r="A1352" t="s">
        <v>1715</v>
      </c>
      <c r="B1352" t="s">
        <v>105</v>
      </c>
      <c r="C1352">
        <v>4</v>
      </c>
      <c r="D1352" t="s">
        <v>3154</v>
      </c>
      <c r="E1352">
        <v>76</v>
      </c>
      <c r="F1352">
        <v>18</v>
      </c>
      <c r="G1352">
        <v>58</v>
      </c>
      <c r="H1352" t="s">
        <v>3494</v>
      </c>
      <c r="I1352" t="s">
        <v>3490</v>
      </c>
      <c r="J1352" t="s">
        <v>2908</v>
      </c>
    </row>
    <row r="1353" spans="1:10" x14ac:dyDescent="0.25">
      <c r="A1353" t="s">
        <v>1715</v>
      </c>
      <c r="B1353" t="s">
        <v>105</v>
      </c>
      <c r="C1353">
        <v>4</v>
      </c>
      <c r="D1353" t="s">
        <v>3156</v>
      </c>
      <c r="E1353">
        <v>83</v>
      </c>
      <c r="F1353">
        <v>27</v>
      </c>
      <c r="G1353">
        <v>56</v>
      </c>
      <c r="H1353" t="s">
        <v>196</v>
      </c>
      <c r="I1353" t="s">
        <v>3490</v>
      </c>
      <c r="J1353" t="s">
        <v>2908</v>
      </c>
    </row>
    <row r="1354" spans="1:10" x14ac:dyDescent="0.25">
      <c r="A1354" t="s">
        <v>1715</v>
      </c>
      <c r="B1354" t="s">
        <v>105</v>
      </c>
      <c r="C1354">
        <v>4</v>
      </c>
      <c r="D1354" t="s">
        <v>3158</v>
      </c>
      <c r="E1354">
        <v>87</v>
      </c>
      <c r="F1354">
        <v>27</v>
      </c>
      <c r="G1354">
        <v>60</v>
      </c>
      <c r="H1354" t="s">
        <v>196</v>
      </c>
      <c r="I1354" t="s">
        <v>3490</v>
      </c>
      <c r="J1354" t="s">
        <v>2908</v>
      </c>
    </row>
    <row r="1355" spans="1:10" x14ac:dyDescent="0.25">
      <c r="A1355" t="s">
        <v>1715</v>
      </c>
      <c r="B1355" t="s">
        <v>105</v>
      </c>
      <c r="C1355">
        <v>4</v>
      </c>
      <c r="D1355" t="s">
        <v>3160</v>
      </c>
      <c r="E1355">
        <v>65</v>
      </c>
      <c r="F1355">
        <v>11</v>
      </c>
      <c r="G1355">
        <v>54</v>
      </c>
      <c r="H1355" t="s">
        <v>3489</v>
      </c>
      <c r="I1355" t="s">
        <v>3490</v>
      </c>
      <c r="J1355" t="s">
        <v>2908</v>
      </c>
    </row>
    <row r="1356" spans="1:10" x14ac:dyDescent="0.25">
      <c r="A1356" t="s">
        <v>1715</v>
      </c>
      <c r="B1356" t="s">
        <v>105</v>
      </c>
      <c r="C1356">
        <v>4</v>
      </c>
      <c r="D1356" t="s">
        <v>3162</v>
      </c>
      <c r="E1356">
        <v>93</v>
      </c>
      <c r="F1356">
        <v>27</v>
      </c>
      <c r="G1356">
        <v>66</v>
      </c>
      <c r="H1356" t="s">
        <v>3495</v>
      </c>
      <c r="I1356" t="s">
        <v>3490</v>
      </c>
      <c r="J1356" t="s">
        <v>2908</v>
      </c>
    </row>
    <row r="1357" spans="1:10" x14ac:dyDescent="0.25">
      <c r="A1357" t="s">
        <v>1719</v>
      </c>
      <c r="B1357" t="s">
        <v>159</v>
      </c>
      <c r="C1357">
        <v>8</v>
      </c>
      <c r="D1357" t="s">
        <v>3114</v>
      </c>
      <c r="E1357">
        <v>55</v>
      </c>
      <c r="F1357">
        <v>10</v>
      </c>
      <c r="G1357">
        <v>45</v>
      </c>
      <c r="H1357" t="s">
        <v>3493</v>
      </c>
      <c r="I1357" t="s">
        <v>3490</v>
      </c>
      <c r="J1357" t="s">
        <v>2902</v>
      </c>
    </row>
    <row r="1358" spans="1:10" x14ac:dyDescent="0.25">
      <c r="A1358" t="s">
        <v>1719</v>
      </c>
      <c r="B1358" t="s">
        <v>159</v>
      </c>
      <c r="C1358">
        <v>8</v>
      </c>
      <c r="D1358" t="s">
        <v>3116</v>
      </c>
      <c r="E1358">
        <v>79</v>
      </c>
      <c r="F1358">
        <v>24</v>
      </c>
      <c r="G1358">
        <v>55</v>
      </c>
      <c r="H1358" t="s">
        <v>3494</v>
      </c>
      <c r="I1358" t="s">
        <v>3490</v>
      </c>
      <c r="J1358" t="s">
        <v>2902</v>
      </c>
    </row>
    <row r="1359" spans="1:10" x14ac:dyDescent="0.25">
      <c r="A1359" t="s">
        <v>1719</v>
      </c>
      <c r="B1359" t="s">
        <v>159</v>
      </c>
      <c r="C1359">
        <v>8</v>
      </c>
      <c r="D1359" t="s">
        <v>3118</v>
      </c>
      <c r="E1359">
        <v>40</v>
      </c>
      <c r="F1359">
        <v>14</v>
      </c>
      <c r="G1359">
        <v>26</v>
      </c>
      <c r="H1359" t="s">
        <v>3491</v>
      </c>
      <c r="I1359" t="s">
        <v>3492</v>
      </c>
      <c r="J1359" t="s">
        <v>2902</v>
      </c>
    </row>
    <row r="1360" spans="1:10" x14ac:dyDescent="0.25">
      <c r="A1360" t="s">
        <v>1719</v>
      </c>
      <c r="B1360" t="s">
        <v>159</v>
      </c>
      <c r="C1360">
        <v>8</v>
      </c>
      <c r="D1360" t="s">
        <v>3120</v>
      </c>
      <c r="E1360">
        <v>43</v>
      </c>
      <c r="F1360">
        <v>18</v>
      </c>
      <c r="G1360">
        <v>25</v>
      </c>
      <c r="H1360" t="s">
        <v>3491</v>
      </c>
      <c r="I1360" t="s">
        <v>3492</v>
      </c>
      <c r="J1360" t="s">
        <v>2902</v>
      </c>
    </row>
    <row r="1361" spans="1:10" x14ac:dyDescent="0.25">
      <c r="A1361" t="s">
        <v>1719</v>
      </c>
      <c r="B1361" t="s">
        <v>159</v>
      </c>
      <c r="C1361">
        <v>8</v>
      </c>
      <c r="D1361" t="s">
        <v>3122</v>
      </c>
      <c r="E1361">
        <v>61</v>
      </c>
      <c r="F1361">
        <v>24</v>
      </c>
      <c r="G1361">
        <v>37</v>
      </c>
      <c r="H1361" t="s">
        <v>3489</v>
      </c>
      <c r="I1361" t="s">
        <v>3490</v>
      </c>
      <c r="J1361" t="s">
        <v>2902</v>
      </c>
    </row>
    <row r="1362" spans="1:10" x14ac:dyDescent="0.25">
      <c r="A1362" t="s">
        <v>1724</v>
      </c>
      <c r="B1362" t="s">
        <v>122</v>
      </c>
      <c r="C1362">
        <v>4</v>
      </c>
      <c r="D1362" t="s">
        <v>3274</v>
      </c>
      <c r="E1362">
        <v>76</v>
      </c>
      <c r="F1362">
        <v>23</v>
      </c>
      <c r="G1362">
        <v>53</v>
      </c>
      <c r="H1362" t="s">
        <v>3494</v>
      </c>
      <c r="I1362" t="s">
        <v>3490</v>
      </c>
      <c r="J1362" t="s">
        <v>2919</v>
      </c>
    </row>
    <row r="1363" spans="1:10" x14ac:dyDescent="0.25">
      <c r="A1363" t="s">
        <v>1724</v>
      </c>
      <c r="B1363" t="s">
        <v>122</v>
      </c>
      <c r="C1363">
        <v>4</v>
      </c>
      <c r="D1363" t="s">
        <v>3276</v>
      </c>
      <c r="E1363">
        <v>83</v>
      </c>
      <c r="F1363">
        <v>13</v>
      </c>
      <c r="G1363">
        <v>70</v>
      </c>
      <c r="H1363" t="s">
        <v>196</v>
      </c>
      <c r="I1363" t="s">
        <v>3490</v>
      </c>
      <c r="J1363" t="s">
        <v>2919</v>
      </c>
    </row>
    <row r="1364" spans="1:10" x14ac:dyDescent="0.25">
      <c r="A1364" t="s">
        <v>1724</v>
      </c>
      <c r="B1364" t="s">
        <v>122</v>
      </c>
      <c r="C1364">
        <v>4</v>
      </c>
      <c r="D1364" t="s">
        <v>3278</v>
      </c>
      <c r="E1364">
        <v>57</v>
      </c>
      <c r="F1364">
        <v>17</v>
      </c>
      <c r="G1364">
        <v>40</v>
      </c>
      <c r="H1364" t="s">
        <v>3493</v>
      </c>
      <c r="I1364" t="s">
        <v>3490</v>
      </c>
      <c r="J1364" t="s">
        <v>2919</v>
      </c>
    </row>
    <row r="1365" spans="1:10" x14ac:dyDescent="0.25">
      <c r="A1365" t="s">
        <v>1724</v>
      </c>
      <c r="B1365" t="s">
        <v>122</v>
      </c>
      <c r="C1365">
        <v>4</v>
      </c>
      <c r="D1365" t="s">
        <v>3280</v>
      </c>
      <c r="E1365">
        <v>60</v>
      </c>
      <c r="F1365">
        <v>29</v>
      </c>
      <c r="G1365">
        <v>31</v>
      </c>
      <c r="H1365" t="s">
        <v>3489</v>
      </c>
      <c r="I1365" t="s">
        <v>3490</v>
      </c>
      <c r="J1365" t="s">
        <v>2919</v>
      </c>
    </row>
    <row r="1366" spans="1:10" x14ac:dyDescent="0.25">
      <c r="A1366" t="s">
        <v>1724</v>
      </c>
      <c r="B1366" t="s">
        <v>122</v>
      </c>
      <c r="C1366">
        <v>4</v>
      </c>
      <c r="D1366" t="s">
        <v>3282</v>
      </c>
      <c r="E1366">
        <v>82</v>
      </c>
      <c r="F1366">
        <v>22</v>
      </c>
      <c r="G1366">
        <v>60</v>
      </c>
      <c r="H1366" t="s">
        <v>196</v>
      </c>
      <c r="I1366" t="s">
        <v>3490</v>
      </c>
      <c r="J1366" t="s">
        <v>2919</v>
      </c>
    </row>
    <row r="1367" spans="1:10" x14ac:dyDescent="0.25">
      <c r="A1367" t="s">
        <v>1731</v>
      </c>
      <c r="B1367" t="s">
        <v>159</v>
      </c>
      <c r="C1367">
        <v>8</v>
      </c>
      <c r="D1367" t="s">
        <v>3114</v>
      </c>
      <c r="E1367">
        <v>58</v>
      </c>
      <c r="F1367">
        <v>22</v>
      </c>
      <c r="G1367">
        <v>36</v>
      </c>
      <c r="H1367" t="s">
        <v>3493</v>
      </c>
      <c r="I1367" t="s">
        <v>3490</v>
      </c>
      <c r="J1367" t="s">
        <v>2902</v>
      </c>
    </row>
    <row r="1368" spans="1:10" x14ac:dyDescent="0.25">
      <c r="A1368" t="s">
        <v>1731</v>
      </c>
      <c r="B1368" t="s">
        <v>159</v>
      </c>
      <c r="C1368">
        <v>8</v>
      </c>
      <c r="D1368" t="s">
        <v>3116</v>
      </c>
      <c r="E1368">
        <v>74</v>
      </c>
      <c r="F1368">
        <v>27</v>
      </c>
      <c r="G1368">
        <v>47</v>
      </c>
      <c r="H1368" t="s">
        <v>3494</v>
      </c>
      <c r="I1368" t="s">
        <v>3490</v>
      </c>
      <c r="J1368" t="s">
        <v>2902</v>
      </c>
    </row>
    <row r="1369" spans="1:10" x14ac:dyDescent="0.25">
      <c r="A1369" t="s">
        <v>1731</v>
      </c>
      <c r="B1369" t="s">
        <v>159</v>
      </c>
      <c r="C1369">
        <v>8</v>
      </c>
      <c r="D1369" t="s">
        <v>3118</v>
      </c>
      <c r="E1369">
        <v>91</v>
      </c>
      <c r="F1369">
        <v>29</v>
      </c>
      <c r="G1369">
        <v>62</v>
      </c>
      <c r="H1369" t="s">
        <v>3495</v>
      </c>
      <c r="I1369" t="s">
        <v>3490</v>
      </c>
      <c r="J1369" t="s">
        <v>2902</v>
      </c>
    </row>
    <row r="1370" spans="1:10" x14ac:dyDescent="0.25">
      <c r="A1370" t="s">
        <v>1731</v>
      </c>
      <c r="B1370" t="s">
        <v>159</v>
      </c>
      <c r="C1370">
        <v>8</v>
      </c>
      <c r="D1370" t="s">
        <v>3120</v>
      </c>
      <c r="E1370">
        <v>86</v>
      </c>
      <c r="F1370">
        <v>27</v>
      </c>
      <c r="G1370">
        <v>59</v>
      </c>
      <c r="H1370" t="s">
        <v>196</v>
      </c>
      <c r="I1370" t="s">
        <v>3490</v>
      </c>
      <c r="J1370" t="s">
        <v>2902</v>
      </c>
    </row>
    <row r="1371" spans="1:10" x14ac:dyDescent="0.25">
      <c r="A1371" t="s">
        <v>1731</v>
      </c>
      <c r="B1371" t="s">
        <v>159</v>
      </c>
      <c r="C1371">
        <v>8</v>
      </c>
      <c r="D1371" t="s">
        <v>3122</v>
      </c>
      <c r="E1371">
        <v>81</v>
      </c>
      <c r="F1371">
        <v>17</v>
      </c>
      <c r="G1371">
        <v>64</v>
      </c>
      <c r="H1371" t="s">
        <v>196</v>
      </c>
      <c r="I1371" t="s">
        <v>3490</v>
      </c>
      <c r="J1371" t="s">
        <v>2902</v>
      </c>
    </row>
    <row r="1372" spans="1:10" x14ac:dyDescent="0.25">
      <c r="A1372" t="s">
        <v>1736</v>
      </c>
      <c r="B1372" t="s">
        <v>30</v>
      </c>
      <c r="C1372">
        <v>6</v>
      </c>
      <c r="D1372" t="s">
        <v>3354</v>
      </c>
      <c r="E1372">
        <v>73</v>
      </c>
      <c r="F1372">
        <v>28</v>
      </c>
      <c r="G1372">
        <v>45</v>
      </c>
      <c r="H1372" t="s">
        <v>3494</v>
      </c>
      <c r="I1372" t="s">
        <v>3490</v>
      </c>
      <c r="J1372" t="s">
        <v>2895</v>
      </c>
    </row>
    <row r="1373" spans="1:10" x14ac:dyDescent="0.25">
      <c r="A1373" t="s">
        <v>1736</v>
      </c>
      <c r="B1373" t="s">
        <v>30</v>
      </c>
      <c r="C1373">
        <v>6</v>
      </c>
      <c r="D1373" t="s">
        <v>3356</v>
      </c>
      <c r="E1373">
        <v>84</v>
      </c>
      <c r="F1373">
        <v>29</v>
      </c>
      <c r="G1373">
        <v>55</v>
      </c>
      <c r="H1373" t="s">
        <v>196</v>
      </c>
      <c r="I1373" t="s">
        <v>3490</v>
      </c>
      <c r="J1373" t="s">
        <v>2895</v>
      </c>
    </row>
    <row r="1374" spans="1:10" x14ac:dyDescent="0.25">
      <c r="A1374" t="s">
        <v>1736</v>
      </c>
      <c r="B1374" t="s">
        <v>30</v>
      </c>
      <c r="C1374">
        <v>6</v>
      </c>
      <c r="D1374" t="s">
        <v>3358</v>
      </c>
      <c r="E1374">
        <v>63</v>
      </c>
      <c r="F1374">
        <v>24</v>
      </c>
      <c r="G1374">
        <v>39</v>
      </c>
      <c r="H1374" t="s">
        <v>3489</v>
      </c>
      <c r="I1374" t="s">
        <v>3490</v>
      </c>
      <c r="J1374" t="s">
        <v>2895</v>
      </c>
    </row>
    <row r="1375" spans="1:10" x14ac:dyDescent="0.25">
      <c r="A1375" t="s">
        <v>1736</v>
      </c>
      <c r="B1375" t="s">
        <v>30</v>
      </c>
      <c r="C1375">
        <v>6</v>
      </c>
      <c r="D1375" t="s">
        <v>3360</v>
      </c>
      <c r="E1375">
        <v>70</v>
      </c>
      <c r="F1375">
        <v>26</v>
      </c>
      <c r="G1375">
        <v>44</v>
      </c>
      <c r="H1375" t="s">
        <v>3494</v>
      </c>
      <c r="I1375" t="s">
        <v>3490</v>
      </c>
      <c r="J1375" t="s">
        <v>2895</v>
      </c>
    </row>
    <row r="1376" spans="1:10" x14ac:dyDescent="0.25">
      <c r="A1376" t="s">
        <v>1736</v>
      </c>
      <c r="B1376" t="s">
        <v>30</v>
      </c>
      <c r="C1376">
        <v>6</v>
      </c>
      <c r="D1376" t="s">
        <v>3362</v>
      </c>
      <c r="E1376">
        <v>67</v>
      </c>
      <c r="F1376">
        <v>28</v>
      </c>
      <c r="G1376">
        <v>39</v>
      </c>
      <c r="H1376" t="s">
        <v>3489</v>
      </c>
      <c r="I1376" t="s">
        <v>3490</v>
      </c>
      <c r="J1376" t="s">
        <v>2895</v>
      </c>
    </row>
    <row r="1377" spans="1:10" x14ac:dyDescent="0.25">
      <c r="A1377" t="s">
        <v>1740</v>
      </c>
      <c r="B1377" t="s">
        <v>75</v>
      </c>
      <c r="C1377">
        <v>6</v>
      </c>
      <c r="D1377" t="s">
        <v>3054</v>
      </c>
      <c r="E1377">
        <v>52</v>
      </c>
      <c r="F1377">
        <v>12</v>
      </c>
      <c r="G1377">
        <v>40</v>
      </c>
      <c r="H1377" t="s">
        <v>3493</v>
      </c>
      <c r="I1377" t="s">
        <v>3490</v>
      </c>
      <c r="J1377" t="s">
        <v>2961</v>
      </c>
    </row>
    <row r="1378" spans="1:10" x14ac:dyDescent="0.25">
      <c r="A1378" t="s">
        <v>1740</v>
      </c>
      <c r="B1378" t="s">
        <v>75</v>
      </c>
      <c r="C1378">
        <v>6</v>
      </c>
      <c r="D1378" t="s">
        <v>3056</v>
      </c>
      <c r="E1378">
        <v>77</v>
      </c>
      <c r="F1378">
        <v>20</v>
      </c>
      <c r="G1378">
        <v>57</v>
      </c>
      <c r="H1378" t="s">
        <v>3494</v>
      </c>
      <c r="I1378" t="s">
        <v>3490</v>
      </c>
      <c r="J1378" t="s">
        <v>2961</v>
      </c>
    </row>
    <row r="1379" spans="1:10" x14ac:dyDescent="0.25">
      <c r="A1379" t="s">
        <v>1740</v>
      </c>
      <c r="B1379" t="s">
        <v>75</v>
      </c>
      <c r="C1379">
        <v>6</v>
      </c>
      <c r="D1379" t="s">
        <v>3058</v>
      </c>
      <c r="E1379">
        <v>58</v>
      </c>
      <c r="F1379">
        <v>18</v>
      </c>
      <c r="G1379">
        <v>40</v>
      </c>
      <c r="H1379" t="s">
        <v>3493</v>
      </c>
      <c r="I1379" t="s">
        <v>3490</v>
      </c>
      <c r="J1379" t="s">
        <v>2961</v>
      </c>
    </row>
    <row r="1380" spans="1:10" x14ac:dyDescent="0.25">
      <c r="A1380" t="s">
        <v>1740</v>
      </c>
      <c r="B1380" t="s">
        <v>75</v>
      </c>
      <c r="C1380">
        <v>6</v>
      </c>
      <c r="D1380" t="s">
        <v>3060</v>
      </c>
      <c r="E1380">
        <v>38</v>
      </c>
      <c r="F1380">
        <v>11</v>
      </c>
      <c r="G1380">
        <v>27</v>
      </c>
      <c r="H1380" t="s">
        <v>3491</v>
      </c>
      <c r="I1380" t="s">
        <v>3492</v>
      </c>
      <c r="J1380" t="s">
        <v>2961</v>
      </c>
    </row>
    <row r="1381" spans="1:10" x14ac:dyDescent="0.25">
      <c r="A1381" t="s">
        <v>1740</v>
      </c>
      <c r="B1381" t="s">
        <v>75</v>
      </c>
      <c r="C1381">
        <v>6</v>
      </c>
      <c r="D1381" t="s">
        <v>3062</v>
      </c>
      <c r="E1381">
        <v>72</v>
      </c>
      <c r="F1381">
        <v>13</v>
      </c>
      <c r="G1381">
        <v>59</v>
      </c>
      <c r="H1381" t="s">
        <v>3494</v>
      </c>
      <c r="I1381" t="s">
        <v>3490</v>
      </c>
      <c r="J1381" t="s">
        <v>2961</v>
      </c>
    </row>
    <row r="1382" spans="1:10" x14ac:dyDescent="0.25">
      <c r="A1382" t="s">
        <v>1746</v>
      </c>
      <c r="B1382" t="s">
        <v>105</v>
      </c>
      <c r="C1382">
        <v>4</v>
      </c>
      <c r="D1382" t="s">
        <v>3154</v>
      </c>
      <c r="E1382">
        <v>80</v>
      </c>
      <c r="F1382">
        <v>14</v>
      </c>
      <c r="G1382">
        <v>66</v>
      </c>
      <c r="H1382" t="s">
        <v>196</v>
      </c>
      <c r="I1382" t="s">
        <v>3490</v>
      </c>
      <c r="J1382" t="s">
        <v>2908</v>
      </c>
    </row>
    <row r="1383" spans="1:10" x14ac:dyDescent="0.25">
      <c r="A1383" t="s">
        <v>1746</v>
      </c>
      <c r="B1383" t="s">
        <v>105</v>
      </c>
      <c r="C1383">
        <v>4</v>
      </c>
      <c r="D1383" t="s">
        <v>3156</v>
      </c>
      <c r="E1383">
        <v>92</v>
      </c>
      <c r="F1383">
        <v>29</v>
      </c>
      <c r="G1383">
        <v>63</v>
      </c>
      <c r="H1383" t="s">
        <v>3495</v>
      </c>
      <c r="I1383" t="s">
        <v>3490</v>
      </c>
      <c r="J1383" t="s">
        <v>2908</v>
      </c>
    </row>
    <row r="1384" spans="1:10" x14ac:dyDescent="0.25">
      <c r="A1384" t="s">
        <v>1746</v>
      </c>
      <c r="B1384" t="s">
        <v>105</v>
      </c>
      <c r="C1384">
        <v>4</v>
      </c>
      <c r="D1384" t="s">
        <v>3158</v>
      </c>
      <c r="E1384">
        <v>38</v>
      </c>
      <c r="F1384">
        <v>15</v>
      </c>
      <c r="G1384">
        <v>23</v>
      </c>
      <c r="H1384" t="s">
        <v>3491</v>
      </c>
      <c r="I1384" t="s">
        <v>3492</v>
      </c>
      <c r="J1384" t="s">
        <v>2908</v>
      </c>
    </row>
    <row r="1385" spans="1:10" x14ac:dyDescent="0.25">
      <c r="A1385" t="s">
        <v>1746</v>
      </c>
      <c r="B1385" t="s">
        <v>105</v>
      </c>
      <c r="C1385">
        <v>4</v>
      </c>
      <c r="D1385" t="s">
        <v>3160</v>
      </c>
      <c r="E1385">
        <v>68</v>
      </c>
      <c r="F1385">
        <v>25</v>
      </c>
      <c r="G1385">
        <v>43</v>
      </c>
      <c r="H1385" t="s">
        <v>3489</v>
      </c>
      <c r="I1385" t="s">
        <v>3490</v>
      </c>
      <c r="J1385" t="s">
        <v>2908</v>
      </c>
    </row>
    <row r="1386" spans="1:10" x14ac:dyDescent="0.25">
      <c r="A1386" t="s">
        <v>1746</v>
      </c>
      <c r="B1386" t="s">
        <v>105</v>
      </c>
      <c r="C1386">
        <v>4</v>
      </c>
      <c r="D1386" t="s">
        <v>3162</v>
      </c>
      <c r="E1386">
        <v>81</v>
      </c>
      <c r="F1386">
        <v>17</v>
      </c>
      <c r="G1386">
        <v>64</v>
      </c>
      <c r="H1386" t="s">
        <v>196</v>
      </c>
      <c r="I1386" t="s">
        <v>3490</v>
      </c>
      <c r="J1386" t="s">
        <v>2908</v>
      </c>
    </row>
    <row r="1387" spans="1:10" x14ac:dyDescent="0.25">
      <c r="A1387" t="s">
        <v>1752</v>
      </c>
      <c r="B1387" t="s">
        <v>159</v>
      </c>
      <c r="C1387">
        <v>8</v>
      </c>
      <c r="D1387" t="s">
        <v>3114</v>
      </c>
      <c r="E1387">
        <v>86</v>
      </c>
      <c r="F1387">
        <v>22</v>
      </c>
      <c r="G1387">
        <v>64</v>
      </c>
      <c r="H1387" t="s">
        <v>196</v>
      </c>
      <c r="I1387" t="s">
        <v>3490</v>
      </c>
      <c r="J1387" t="s">
        <v>2902</v>
      </c>
    </row>
    <row r="1388" spans="1:10" x14ac:dyDescent="0.25">
      <c r="A1388" t="s">
        <v>1752</v>
      </c>
      <c r="B1388" t="s">
        <v>159</v>
      </c>
      <c r="C1388">
        <v>8</v>
      </c>
      <c r="D1388" t="s">
        <v>3116</v>
      </c>
      <c r="E1388">
        <v>53</v>
      </c>
      <c r="F1388">
        <v>11</v>
      </c>
      <c r="G1388">
        <v>42</v>
      </c>
      <c r="H1388" t="s">
        <v>3493</v>
      </c>
      <c r="I1388" t="s">
        <v>3490</v>
      </c>
      <c r="J1388" t="s">
        <v>2902</v>
      </c>
    </row>
    <row r="1389" spans="1:10" x14ac:dyDescent="0.25">
      <c r="A1389" t="s">
        <v>1752</v>
      </c>
      <c r="B1389" t="s">
        <v>159</v>
      </c>
      <c r="C1389">
        <v>8</v>
      </c>
      <c r="D1389" t="s">
        <v>3118</v>
      </c>
      <c r="E1389">
        <v>37</v>
      </c>
      <c r="F1389">
        <v>13</v>
      </c>
      <c r="G1389">
        <v>24</v>
      </c>
      <c r="H1389" t="s">
        <v>3491</v>
      </c>
      <c r="I1389" t="s">
        <v>3492</v>
      </c>
      <c r="J1389" t="s">
        <v>2902</v>
      </c>
    </row>
    <row r="1390" spans="1:10" x14ac:dyDescent="0.25">
      <c r="A1390" t="s">
        <v>1752</v>
      </c>
      <c r="B1390" t="s">
        <v>159</v>
      </c>
      <c r="C1390">
        <v>8</v>
      </c>
      <c r="D1390" t="s">
        <v>3120</v>
      </c>
      <c r="E1390">
        <v>50</v>
      </c>
      <c r="F1390">
        <v>25</v>
      </c>
      <c r="G1390">
        <v>25</v>
      </c>
      <c r="H1390" t="s">
        <v>3493</v>
      </c>
      <c r="I1390" t="s">
        <v>3490</v>
      </c>
      <c r="J1390" t="s">
        <v>2902</v>
      </c>
    </row>
    <row r="1391" spans="1:10" x14ac:dyDescent="0.25">
      <c r="A1391" t="s">
        <v>1752</v>
      </c>
      <c r="B1391" t="s">
        <v>159</v>
      </c>
      <c r="C1391">
        <v>8</v>
      </c>
      <c r="D1391" t="s">
        <v>3122</v>
      </c>
      <c r="E1391">
        <v>86</v>
      </c>
      <c r="F1391">
        <v>23</v>
      </c>
      <c r="G1391">
        <v>63</v>
      </c>
      <c r="H1391" t="s">
        <v>196</v>
      </c>
      <c r="I1391" t="s">
        <v>3490</v>
      </c>
      <c r="J1391" t="s">
        <v>2902</v>
      </c>
    </row>
    <row r="1392" spans="1:10" x14ac:dyDescent="0.25">
      <c r="A1392" t="s">
        <v>1757</v>
      </c>
      <c r="B1392" t="s">
        <v>105</v>
      </c>
      <c r="C1392">
        <v>6</v>
      </c>
      <c r="D1392" t="s">
        <v>3174</v>
      </c>
      <c r="E1392">
        <v>45</v>
      </c>
      <c r="F1392">
        <v>11</v>
      </c>
      <c r="G1392">
        <v>34</v>
      </c>
      <c r="H1392" t="s">
        <v>3491</v>
      </c>
      <c r="I1392" t="s">
        <v>3492</v>
      </c>
      <c r="J1392" t="s">
        <v>2908</v>
      </c>
    </row>
    <row r="1393" spans="1:10" x14ac:dyDescent="0.25">
      <c r="A1393" t="s">
        <v>1757</v>
      </c>
      <c r="B1393" t="s">
        <v>105</v>
      </c>
      <c r="C1393">
        <v>6</v>
      </c>
      <c r="D1393" t="s">
        <v>3176</v>
      </c>
      <c r="E1393">
        <v>83</v>
      </c>
      <c r="F1393">
        <v>29</v>
      </c>
      <c r="G1393">
        <v>54</v>
      </c>
      <c r="H1393" t="s">
        <v>196</v>
      </c>
      <c r="I1393" t="s">
        <v>3490</v>
      </c>
      <c r="J1393" t="s">
        <v>2908</v>
      </c>
    </row>
    <row r="1394" spans="1:10" x14ac:dyDescent="0.25">
      <c r="A1394" t="s">
        <v>1757</v>
      </c>
      <c r="B1394" t="s">
        <v>105</v>
      </c>
      <c r="C1394">
        <v>6</v>
      </c>
      <c r="D1394" t="s">
        <v>3178</v>
      </c>
      <c r="E1394">
        <v>72</v>
      </c>
      <c r="F1394">
        <v>27</v>
      </c>
      <c r="G1394">
        <v>45</v>
      </c>
      <c r="H1394" t="s">
        <v>3494</v>
      </c>
      <c r="I1394" t="s">
        <v>3490</v>
      </c>
      <c r="J1394" t="s">
        <v>2908</v>
      </c>
    </row>
    <row r="1395" spans="1:10" x14ac:dyDescent="0.25">
      <c r="A1395" t="s">
        <v>1757</v>
      </c>
      <c r="B1395" t="s">
        <v>105</v>
      </c>
      <c r="C1395">
        <v>6</v>
      </c>
      <c r="D1395" t="s">
        <v>3180</v>
      </c>
      <c r="E1395">
        <v>62</v>
      </c>
      <c r="F1395">
        <v>16</v>
      </c>
      <c r="G1395">
        <v>46</v>
      </c>
      <c r="H1395" t="s">
        <v>3489</v>
      </c>
      <c r="I1395" t="s">
        <v>3490</v>
      </c>
      <c r="J1395" t="s">
        <v>2908</v>
      </c>
    </row>
    <row r="1396" spans="1:10" x14ac:dyDescent="0.25">
      <c r="A1396" t="s">
        <v>1757</v>
      </c>
      <c r="B1396" t="s">
        <v>105</v>
      </c>
      <c r="C1396">
        <v>6</v>
      </c>
      <c r="D1396" t="s">
        <v>3182</v>
      </c>
      <c r="E1396">
        <v>55</v>
      </c>
      <c r="F1396">
        <v>20</v>
      </c>
      <c r="G1396">
        <v>35</v>
      </c>
      <c r="H1396" t="s">
        <v>3493</v>
      </c>
      <c r="I1396" t="s">
        <v>3490</v>
      </c>
      <c r="J1396" t="s">
        <v>2908</v>
      </c>
    </row>
    <row r="1397" spans="1:10" x14ac:dyDescent="0.25">
      <c r="A1397" t="s">
        <v>1762</v>
      </c>
      <c r="B1397" t="s">
        <v>212</v>
      </c>
      <c r="C1397">
        <v>8</v>
      </c>
      <c r="D1397" t="s">
        <v>3474</v>
      </c>
      <c r="E1397">
        <v>88</v>
      </c>
      <c r="F1397">
        <v>23</v>
      </c>
      <c r="G1397">
        <v>65</v>
      </c>
      <c r="H1397" t="s">
        <v>196</v>
      </c>
      <c r="I1397" t="s">
        <v>3490</v>
      </c>
      <c r="J1397" t="s">
        <v>3001</v>
      </c>
    </row>
    <row r="1398" spans="1:10" x14ac:dyDescent="0.25">
      <c r="A1398" t="s">
        <v>1762</v>
      </c>
      <c r="B1398" t="s">
        <v>212</v>
      </c>
      <c r="C1398">
        <v>8</v>
      </c>
      <c r="D1398" t="s">
        <v>3476</v>
      </c>
      <c r="E1398">
        <v>58</v>
      </c>
      <c r="F1398">
        <v>30</v>
      </c>
      <c r="G1398">
        <v>28</v>
      </c>
      <c r="H1398" t="s">
        <v>3493</v>
      </c>
      <c r="I1398" t="s">
        <v>3490</v>
      </c>
      <c r="J1398" t="s">
        <v>3001</v>
      </c>
    </row>
    <row r="1399" spans="1:10" x14ac:dyDescent="0.25">
      <c r="A1399" t="s">
        <v>1762</v>
      </c>
      <c r="B1399" t="s">
        <v>212</v>
      </c>
      <c r="C1399">
        <v>8</v>
      </c>
      <c r="D1399" t="s">
        <v>3478</v>
      </c>
      <c r="E1399">
        <v>65</v>
      </c>
      <c r="F1399">
        <v>13</v>
      </c>
      <c r="G1399">
        <v>52</v>
      </c>
      <c r="H1399" t="s">
        <v>3489</v>
      </c>
      <c r="I1399" t="s">
        <v>3490</v>
      </c>
      <c r="J1399" t="s">
        <v>3001</v>
      </c>
    </row>
    <row r="1400" spans="1:10" x14ac:dyDescent="0.25">
      <c r="A1400" t="s">
        <v>1762</v>
      </c>
      <c r="B1400" t="s">
        <v>212</v>
      </c>
      <c r="C1400">
        <v>8</v>
      </c>
      <c r="D1400" t="s">
        <v>3480</v>
      </c>
      <c r="E1400">
        <v>64</v>
      </c>
      <c r="F1400">
        <v>28</v>
      </c>
      <c r="G1400">
        <v>36</v>
      </c>
      <c r="H1400" t="s">
        <v>3489</v>
      </c>
      <c r="I1400" t="s">
        <v>3490</v>
      </c>
      <c r="J1400" t="s">
        <v>3001</v>
      </c>
    </row>
    <row r="1401" spans="1:10" x14ac:dyDescent="0.25">
      <c r="A1401" t="s">
        <v>1762</v>
      </c>
      <c r="B1401" t="s">
        <v>212</v>
      </c>
      <c r="C1401">
        <v>8</v>
      </c>
      <c r="D1401" t="s">
        <v>3482</v>
      </c>
      <c r="E1401">
        <v>63</v>
      </c>
      <c r="F1401">
        <v>20</v>
      </c>
      <c r="G1401">
        <v>43</v>
      </c>
      <c r="H1401" t="s">
        <v>3489</v>
      </c>
      <c r="I1401" t="s">
        <v>3490</v>
      </c>
      <c r="J1401" t="s">
        <v>3001</v>
      </c>
    </row>
    <row r="1402" spans="1:10" x14ac:dyDescent="0.25">
      <c r="A1402" t="s">
        <v>1769</v>
      </c>
      <c r="B1402" t="s">
        <v>159</v>
      </c>
      <c r="C1402">
        <v>4</v>
      </c>
      <c r="D1402" t="s">
        <v>3094</v>
      </c>
      <c r="E1402">
        <v>52</v>
      </c>
      <c r="F1402">
        <v>29</v>
      </c>
      <c r="G1402">
        <v>23</v>
      </c>
      <c r="H1402" t="s">
        <v>3493</v>
      </c>
      <c r="I1402" t="s">
        <v>3490</v>
      </c>
      <c r="J1402" t="s">
        <v>2902</v>
      </c>
    </row>
    <row r="1403" spans="1:10" x14ac:dyDescent="0.25">
      <c r="A1403" t="s">
        <v>1769</v>
      </c>
      <c r="B1403" t="s">
        <v>159</v>
      </c>
      <c r="C1403">
        <v>4</v>
      </c>
      <c r="D1403" t="s">
        <v>3096</v>
      </c>
      <c r="E1403">
        <v>73</v>
      </c>
      <c r="F1403">
        <v>22</v>
      </c>
      <c r="G1403">
        <v>51</v>
      </c>
      <c r="H1403" t="s">
        <v>3494</v>
      </c>
      <c r="I1403" t="s">
        <v>3490</v>
      </c>
      <c r="J1403" t="s">
        <v>2902</v>
      </c>
    </row>
    <row r="1404" spans="1:10" x14ac:dyDescent="0.25">
      <c r="A1404" t="s">
        <v>1769</v>
      </c>
      <c r="B1404" t="s">
        <v>159</v>
      </c>
      <c r="C1404">
        <v>4</v>
      </c>
      <c r="D1404" t="s">
        <v>3098</v>
      </c>
      <c r="E1404">
        <v>33</v>
      </c>
      <c r="F1404">
        <v>10</v>
      </c>
      <c r="G1404">
        <v>23</v>
      </c>
      <c r="H1404" t="s">
        <v>3491</v>
      </c>
      <c r="I1404" t="s">
        <v>3492</v>
      </c>
      <c r="J1404" t="s">
        <v>2902</v>
      </c>
    </row>
    <row r="1405" spans="1:10" x14ac:dyDescent="0.25">
      <c r="A1405" t="s">
        <v>1769</v>
      </c>
      <c r="B1405" t="s">
        <v>159</v>
      </c>
      <c r="C1405">
        <v>4</v>
      </c>
      <c r="D1405" t="s">
        <v>3100</v>
      </c>
      <c r="E1405">
        <v>68</v>
      </c>
      <c r="F1405">
        <v>10</v>
      </c>
      <c r="G1405">
        <v>58</v>
      </c>
      <c r="H1405" t="s">
        <v>3489</v>
      </c>
      <c r="I1405" t="s">
        <v>3490</v>
      </c>
      <c r="J1405" t="s">
        <v>2902</v>
      </c>
    </row>
    <row r="1406" spans="1:10" x14ac:dyDescent="0.25">
      <c r="A1406" t="s">
        <v>1769</v>
      </c>
      <c r="B1406" t="s">
        <v>159</v>
      </c>
      <c r="C1406">
        <v>4</v>
      </c>
      <c r="D1406" t="s">
        <v>3102</v>
      </c>
      <c r="E1406">
        <v>91</v>
      </c>
      <c r="F1406">
        <v>30</v>
      </c>
      <c r="G1406">
        <v>61</v>
      </c>
      <c r="H1406" t="s">
        <v>3495</v>
      </c>
      <c r="I1406" t="s">
        <v>3490</v>
      </c>
      <c r="J1406" t="s">
        <v>2902</v>
      </c>
    </row>
    <row r="1407" spans="1:10" x14ac:dyDescent="0.25">
      <c r="A1407" t="s">
        <v>1774</v>
      </c>
      <c r="B1407" t="s">
        <v>212</v>
      </c>
      <c r="C1407">
        <v>6</v>
      </c>
      <c r="D1407" t="s">
        <v>3474</v>
      </c>
      <c r="E1407">
        <v>67</v>
      </c>
      <c r="F1407">
        <v>28</v>
      </c>
      <c r="G1407">
        <v>39</v>
      </c>
      <c r="H1407" t="s">
        <v>3489</v>
      </c>
      <c r="I1407" t="s">
        <v>3490</v>
      </c>
      <c r="J1407" t="s">
        <v>3001</v>
      </c>
    </row>
    <row r="1408" spans="1:10" x14ac:dyDescent="0.25">
      <c r="A1408" t="s">
        <v>1774</v>
      </c>
      <c r="B1408" t="s">
        <v>212</v>
      </c>
      <c r="C1408">
        <v>6</v>
      </c>
      <c r="D1408" t="s">
        <v>3476</v>
      </c>
      <c r="E1408">
        <v>53</v>
      </c>
      <c r="F1408">
        <v>14</v>
      </c>
      <c r="G1408">
        <v>39</v>
      </c>
      <c r="H1408" t="s">
        <v>3493</v>
      </c>
      <c r="I1408" t="s">
        <v>3490</v>
      </c>
      <c r="J1408" t="s">
        <v>3001</v>
      </c>
    </row>
    <row r="1409" spans="1:10" x14ac:dyDescent="0.25">
      <c r="A1409" t="s">
        <v>1774</v>
      </c>
      <c r="B1409" t="s">
        <v>212</v>
      </c>
      <c r="C1409">
        <v>6</v>
      </c>
      <c r="D1409" t="s">
        <v>3478</v>
      </c>
      <c r="E1409">
        <v>83</v>
      </c>
      <c r="F1409">
        <v>26</v>
      </c>
      <c r="G1409">
        <v>57</v>
      </c>
      <c r="H1409" t="s">
        <v>196</v>
      </c>
      <c r="I1409" t="s">
        <v>3490</v>
      </c>
      <c r="J1409" t="s">
        <v>3001</v>
      </c>
    </row>
    <row r="1410" spans="1:10" x14ac:dyDescent="0.25">
      <c r="A1410" t="s">
        <v>1774</v>
      </c>
      <c r="B1410" t="s">
        <v>212</v>
      </c>
      <c r="C1410">
        <v>6</v>
      </c>
      <c r="D1410" t="s">
        <v>3480</v>
      </c>
      <c r="E1410">
        <v>49</v>
      </c>
      <c r="F1410">
        <v>18</v>
      </c>
      <c r="G1410">
        <v>31</v>
      </c>
      <c r="H1410" t="s">
        <v>3491</v>
      </c>
      <c r="I1410" t="s">
        <v>3492</v>
      </c>
      <c r="J1410" t="s">
        <v>3001</v>
      </c>
    </row>
    <row r="1411" spans="1:10" x14ac:dyDescent="0.25">
      <c r="A1411" t="s">
        <v>1774</v>
      </c>
      <c r="B1411" t="s">
        <v>212</v>
      </c>
      <c r="C1411">
        <v>6</v>
      </c>
      <c r="D1411" t="s">
        <v>3482</v>
      </c>
      <c r="E1411">
        <v>49</v>
      </c>
      <c r="F1411">
        <v>11</v>
      </c>
      <c r="G1411">
        <v>38</v>
      </c>
      <c r="H1411" t="s">
        <v>3491</v>
      </c>
      <c r="I1411" t="s">
        <v>3492</v>
      </c>
      <c r="J1411" t="s">
        <v>3001</v>
      </c>
    </row>
    <row r="1412" spans="1:10" x14ac:dyDescent="0.25">
      <c r="A1412" t="s">
        <v>1779</v>
      </c>
      <c r="B1412" t="s">
        <v>159</v>
      </c>
      <c r="C1412">
        <v>8</v>
      </c>
      <c r="D1412" t="s">
        <v>3114</v>
      </c>
      <c r="E1412">
        <v>66</v>
      </c>
      <c r="F1412">
        <v>22</v>
      </c>
      <c r="G1412">
        <v>44</v>
      </c>
      <c r="H1412" t="s">
        <v>3489</v>
      </c>
      <c r="I1412" t="s">
        <v>3490</v>
      </c>
      <c r="J1412" t="s">
        <v>2902</v>
      </c>
    </row>
    <row r="1413" spans="1:10" x14ac:dyDescent="0.25">
      <c r="A1413" t="s">
        <v>1779</v>
      </c>
      <c r="B1413" t="s">
        <v>159</v>
      </c>
      <c r="C1413">
        <v>8</v>
      </c>
      <c r="D1413" t="s">
        <v>3116</v>
      </c>
      <c r="E1413">
        <v>88</v>
      </c>
      <c r="F1413">
        <v>18</v>
      </c>
      <c r="G1413">
        <v>70</v>
      </c>
      <c r="H1413" t="s">
        <v>196</v>
      </c>
      <c r="I1413" t="s">
        <v>3490</v>
      </c>
      <c r="J1413" t="s">
        <v>2902</v>
      </c>
    </row>
    <row r="1414" spans="1:10" x14ac:dyDescent="0.25">
      <c r="A1414" t="s">
        <v>1779</v>
      </c>
      <c r="B1414" t="s">
        <v>159</v>
      </c>
      <c r="C1414">
        <v>8</v>
      </c>
      <c r="D1414" t="s">
        <v>3118</v>
      </c>
      <c r="E1414">
        <v>86</v>
      </c>
      <c r="F1414">
        <v>27</v>
      </c>
      <c r="G1414">
        <v>59</v>
      </c>
      <c r="H1414" t="s">
        <v>196</v>
      </c>
      <c r="I1414" t="s">
        <v>3490</v>
      </c>
      <c r="J1414" t="s">
        <v>2902</v>
      </c>
    </row>
    <row r="1415" spans="1:10" x14ac:dyDescent="0.25">
      <c r="A1415" t="s">
        <v>1779</v>
      </c>
      <c r="B1415" t="s">
        <v>159</v>
      </c>
      <c r="C1415">
        <v>8</v>
      </c>
      <c r="D1415" t="s">
        <v>3120</v>
      </c>
      <c r="E1415">
        <v>70</v>
      </c>
      <c r="F1415">
        <v>23</v>
      </c>
      <c r="G1415">
        <v>47</v>
      </c>
      <c r="H1415" t="s">
        <v>3494</v>
      </c>
      <c r="I1415" t="s">
        <v>3490</v>
      </c>
      <c r="J1415" t="s">
        <v>2902</v>
      </c>
    </row>
    <row r="1416" spans="1:10" x14ac:dyDescent="0.25">
      <c r="A1416" t="s">
        <v>1779</v>
      </c>
      <c r="B1416" t="s">
        <v>159</v>
      </c>
      <c r="C1416">
        <v>8</v>
      </c>
      <c r="D1416" t="s">
        <v>3122</v>
      </c>
      <c r="E1416">
        <v>71</v>
      </c>
      <c r="F1416">
        <v>25</v>
      </c>
      <c r="G1416">
        <v>46</v>
      </c>
      <c r="H1416" t="s">
        <v>3494</v>
      </c>
      <c r="I1416" t="s">
        <v>3490</v>
      </c>
      <c r="J1416" t="s">
        <v>2902</v>
      </c>
    </row>
    <row r="1417" spans="1:10" x14ac:dyDescent="0.25">
      <c r="A1417" t="s">
        <v>1784</v>
      </c>
      <c r="B1417" t="s">
        <v>95</v>
      </c>
      <c r="C1417">
        <v>8</v>
      </c>
      <c r="D1417" t="s">
        <v>3234</v>
      </c>
      <c r="E1417">
        <v>51</v>
      </c>
      <c r="F1417">
        <v>11</v>
      </c>
      <c r="G1417">
        <v>40</v>
      </c>
      <c r="H1417" t="s">
        <v>3493</v>
      </c>
      <c r="I1417" t="s">
        <v>3490</v>
      </c>
      <c r="J1417" t="s">
        <v>2889</v>
      </c>
    </row>
    <row r="1418" spans="1:10" x14ac:dyDescent="0.25">
      <c r="A1418" t="s">
        <v>1784</v>
      </c>
      <c r="B1418" t="s">
        <v>95</v>
      </c>
      <c r="C1418">
        <v>8</v>
      </c>
      <c r="D1418" t="s">
        <v>3236</v>
      </c>
      <c r="E1418">
        <v>59</v>
      </c>
      <c r="F1418">
        <v>23</v>
      </c>
      <c r="G1418">
        <v>36</v>
      </c>
      <c r="H1418" t="s">
        <v>3493</v>
      </c>
      <c r="I1418" t="s">
        <v>3490</v>
      </c>
      <c r="J1418" t="s">
        <v>2889</v>
      </c>
    </row>
    <row r="1419" spans="1:10" x14ac:dyDescent="0.25">
      <c r="A1419" t="s">
        <v>1784</v>
      </c>
      <c r="B1419" t="s">
        <v>95</v>
      </c>
      <c r="C1419">
        <v>8</v>
      </c>
      <c r="D1419" t="s">
        <v>3238</v>
      </c>
      <c r="E1419">
        <v>35</v>
      </c>
      <c r="F1419">
        <v>15</v>
      </c>
      <c r="G1419">
        <v>20</v>
      </c>
      <c r="H1419" t="s">
        <v>3491</v>
      </c>
      <c r="I1419" t="s">
        <v>3492</v>
      </c>
      <c r="J1419" t="s">
        <v>2889</v>
      </c>
    </row>
    <row r="1420" spans="1:10" x14ac:dyDescent="0.25">
      <c r="A1420" t="s">
        <v>1784</v>
      </c>
      <c r="B1420" t="s">
        <v>95</v>
      </c>
      <c r="C1420">
        <v>8</v>
      </c>
      <c r="D1420" t="s">
        <v>3240</v>
      </c>
      <c r="E1420">
        <v>59</v>
      </c>
      <c r="F1420">
        <v>19</v>
      </c>
      <c r="G1420">
        <v>40</v>
      </c>
      <c r="H1420" t="s">
        <v>3493</v>
      </c>
      <c r="I1420" t="s">
        <v>3490</v>
      </c>
      <c r="J1420" t="s">
        <v>2889</v>
      </c>
    </row>
    <row r="1421" spans="1:10" x14ac:dyDescent="0.25">
      <c r="A1421" t="s">
        <v>1784</v>
      </c>
      <c r="B1421" t="s">
        <v>95</v>
      </c>
      <c r="C1421">
        <v>8</v>
      </c>
      <c r="D1421" t="s">
        <v>3242</v>
      </c>
      <c r="E1421">
        <v>66</v>
      </c>
      <c r="F1421">
        <v>23</v>
      </c>
      <c r="G1421">
        <v>43</v>
      </c>
      <c r="H1421" t="s">
        <v>3489</v>
      </c>
      <c r="I1421" t="s">
        <v>3490</v>
      </c>
      <c r="J1421" t="s">
        <v>2889</v>
      </c>
    </row>
    <row r="1422" spans="1:10" x14ac:dyDescent="0.25">
      <c r="A1422" t="s">
        <v>1791</v>
      </c>
      <c r="B1422" t="s">
        <v>105</v>
      </c>
      <c r="C1422">
        <v>4</v>
      </c>
      <c r="D1422" t="s">
        <v>3154</v>
      </c>
      <c r="E1422">
        <v>93</v>
      </c>
      <c r="F1422">
        <v>25</v>
      </c>
      <c r="G1422">
        <v>68</v>
      </c>
      <c r="H1422" t="s">
        <v>3495</v>
      </c>
      <c r="I1422" t="s">
        <v>3490</v>
      </c>
      <c r="J1422" t="s">
        <v>2908</v>
      </c>
    </row>
    <row r="1423" spans="1:10" x14ac:dyDescent="0.25">
      <c r="A1423" t="s">
        <v>1791</v>
      </c>
      <c r="B1423" t="s">
        <v>105</v>
      </c>
      <c r="C1423">
        <v>4</v>
      </c>
      <c r="D1423" t="s">
        <v>3156</v>
      </c>
      <c r="E1423">
        <v>65</v>
      </c>
      <c r="F1423">
        <v>24</v>
      </c>
      <c r="G1423">
        <v>41</v>
      </c>
      <c r="H1423" t="s">
        <v>3489</v>
      </c>
      <c r="I1423" t="s">
        <v>3490</v>
      </c>
      <c r="J1423" t="s">
        <v>2908</v>
      </c>
    </row>
    <row r="1424" spans="1:10" x14ac:dyDescent="0.25">
      <c r="A1424" t="s">
        <v>1791</v>
      </c>
      <c r="B1424" t="s">
        <v>105</v>
      </c>
      <c r="C1424">
        <v>4</v>
      </c>
      <c r="D1424" t="s">
        <v>3158</v>
      </c>
      <c r="E1424">
        <v>48</v>
      </c>
      <c r="F1424">
        <v>27</v>
      </c>
      <c r="G1424">
        <v>21</v>
      </c>
      <c r="H1424" t="s">
        <v>3491</v>
      </c>
      <c r="I1424" t="s">
        <v>3492</v>
      </c>
      <c r="J1424" t="s">
        <v>2908</v>
      </c>
    </row>
    <row r="1425" spans="1:10" x14ac:dyDescent="0.25">
      <c r="A1425" t="s">
        <v>1791</v>
      </c>
      <c r="B1425" t="s">
        <v>105</v>
      </c>
      <c r="C1425">
        <v>4</v>
      </c>
      <c r="D1425" t="s">
        <v>3160</v>
      </c>
      <c r="E1425">
        <v>76</v>
      </c>
      <c r="F1425">
        <v>28</v>
      </c>
      <c r="G1425">
        <v>48</v>
      </c>
      <c r="H1425" t="s">
        <v>3494</v>
      </c>
      <c r="I1425" t="s">
        <v>3490</v>
      </c>
      <c r="J1425" t="s">
        <v>2908</v>
      </c>
    </row>
    <row r="1426" spans="1:10" x14ac:dyDescent="0.25">
      <c r="A1426" t="s">
        <v>1791</v>
      </c>
      <c r="B1426" t="s">
        <v>105</v>
      </c>
      <c r="C1426">
        <v>4</v>
      </c>
      <c r="D1426" t="s">
        <v>3162</v>
      </c>
      <c r="E1426">
        <v>88</v>
      </c>
      <c r="F1426">
        <v>19</v>
      </c>
      <c r="G1426">
        <v>69</v>
      </c>
      <c r="H1426" t="s">
        <v>196</v>
      </c>
      <c r="I1426" t="s">
        <v>3490</v>
      </c>
      <c r="J1426" t="s">
        <v>2908</v>
      </c>
    </row>
    <row r="1427" spans="1:10" x14ac:dyDescent="0.25">
      <c r="A1427" t="s">
        <v>1796</v>
      </c>
      <c r="B1427" t="s">
        <v>105</v>
      </c>
      <c r="C1427">
        <v>4</v>
      </c>
      <c r="D1427" t="s">
        <v>3154</v>
      </c>
      <c r="E1427">
        <v>54</v>
      </c>
      <c r="F1427">
        <v>20</v>
      </c>
      <c r="G1427">
        <v>34</v>
      </c>
      <c r="H1427" t="s">
        <v>3493</v>
      </c>
      <c r="I1427" t="s">
        <v>3490</v>
      </c>
      <c r="J1427" t="s">
        <v>2908</v>
      </c>
    </row>
    <row r="1428" spans="1:10" x14ac:dyDescent="0.25">
      <c r="A1428" t="s">
        <v>1796</v>
      </c>
      <c r="B1428" t="s">
        <v>105</v>
      </c>
      <c r="C1428">
        <v>4</v>
      </c>
      <c r="D1428" t="s">
        <v>3156</v>
      </c>
      <c r="E1428">
        <v>86</v>
      </c>
      <c r="F1428">
        <v>16</v>
      </c>
      <c r="G1428">
        <v>70</v>
      </c>
      <c r="H1428" t="s">
        <v>196</v>
      </c>
      <c r="I1428" t="s">
        <v>3490</v>
      </c>
      <c r="J1428" t="s">
        <v>2908</v>
      </c>
    </row>
    <row r="1429" spans="1:10" x14ac:dyDescent="0.25">
      <c r="A1429" t="s">
        <v>1796</v>
      </c>
      <c r="B1429" t="s">
        <v>105</v>
      </c>
      <c r="C1429">
        <v>4</v>
      </c>
      <c r="D1429" t="s">
        <v>3158</v>
      </c>
      <c r="E1429">
        <v>84</v>
      </c>
      <c r="F1429">
        <v>26</v>
      </c>
      <c r="G1429">
        <v>58</v>
      </c>
      <c r="H1429" t="s">
        <v>196</v>
      </c>
      <c r="I1429" t="s">
        <v>3490</v>
      </c>
      <c r="J1429" t="s">
        <v>2908</v>
      </c>
    </row>
    <row r="1430" spans="1:10" x14ac:dyDescent="0.25">
      <c r="A1430" t="s">
        <v>1796</v>
      </c>
      <c r="B1430" t="s">
        <v>105</v>
      </c>
      <c r="C1430">
        <v>4</v>
      </c>
      <c r="D1430" t="s">
        <v>3160</v>
      </c>
      <c r="E1430">
        <v>57</v>
      </c>
      <c r="F1430">
        <v>10</v>
      </c>
      <c r="G1430">
        <v>47</v>
      </c>
      <c r="H1430" t="s">
        <v>3493</v>
      </c>
      <c r="I1430" t="s">
        <v>3490</v>
      </c>
      <c r="J1430" t="s">
        <v>2908</v>
      </c>
    </row>
    <row r="1431" spans="1:10" x14ac:dyDescent="0.25">
      <c r="A1431" t="s">
        <v>1796</v>
      </c>
      <c r="B1431" t="s">
        <v>105</v>
      </c>
      <c r="C1431">
        <v>4</v>
      </c>
      <c r="D1431" t="s">
        <v>3162</v>
      </c>
      <c r="E1431">
        <v>49</v>
      </c>
      <c r="F1431">
        <v>14</v>
      </c>
      <c r="G1431">
        <v>35</v>
      </c>
      <c r="H1431" t="s">
        <v>3491</v>
      </c>
      <c r="I1431" t="s">
        <v>3492</v>
      </c>
      <c r="J1431" t="s">
        <v>2908</v>
      </c>
    </row>
    <row r="1432" spans="1:10" x14ac:dyDescent="0.25">
      <c r="A1432" t="s">
        <v>1800</v>
      </c>
      <c r="B1432" t="s">
        <v>159</v>
      </c>
      <c r="C1432">
        <v>8</v>
      </c>
      <c r="D1432" t="s">
        <v>3114</v>
      </c>
      <c r="E1432">
        <v>57</v>
      </c>
      <c r="F1432">
        <v>21</v>
      </c>
      <c r="G1432">
        <v>36</v>
      </c>
      <c r="H1432" t="s">
        <v>3493</v>
      </c>
      <c r="I1432" t="s">
        <v>3490</v>
      </c>
      <c r="J1432" t="s">
        <v>2902</v>
      </c>
    </row>
    <row r="1433" spans="1:10" x14ac:dyDescent="0.25">
      <c r="A1433" t="s">
        <v>1800</v>
      </c>
      <c r="B1433" t="s">
        <v>159</v>
      </c>
      <c r="C1433">
        <v>8</v>
      </c>
      <c r="D1433" t="s">
        <v>3116</v>
      </c>
      <c r="E1433">
        <v>66</v>
      </c>
      <c r="F1433">
        <v>22</v>
      </c>
      <c r="G1433">
        <v>44</v>
      </c>
      <c r="H1433" t="s">
        <v>3489</v>
      </c>
      <c r="I1433" t="s">
        <v>3490</v>
      </c>
      <c r="J1433" t="s">
        <v>2902</v>
      </c>
    </row>
    <row r="1434" spans="1:10" x14ac:dyDescent="0.25">
      <c r="A1434" t="s">
        <v>1800</v>
      </c>
      <c r="B1434" t="s">
        <v>159</v>
      </c>
      <c r="C1434">
        <v>8</v>
      </c>
      <c r="D1434" t="s">
        <v>3118</v>
      </c>
      <c r="E1434">
        <v>74</v>
      </c>
      <c r="F1434">
        <v>14</v>
      </c>
      <c r="G1434">
        <v>60</v>
      </c>
      <c r="H1434" t="s">
        <v>3494</v>
      </c>
      <c r="I1434" t="s">
        <v>3490</v>
      </c>
      <c r="J1434" t="s">
        <v>2902</v>
      </c>
    </row>
    <row r="1435" spans="1:10" x14ac:dyDescent="0.25">
      <c r="A1435" t="s">
        <v>1800</v>
      </c>
      <c r="B1435" t="s">
        <v>159</v>
      </c>
      <c r="C1435">
        <v>8</v>
      </c>
      <c r="D1435" t="s">
        <v>3120</v>
      </c>
      <c r="E1435">
        <v>84</v>
      </c>
      <c r="F1435">
        <v>15</v>
      </c>
      <c r="G1435">
        <v>69</v>
      </c>
      <c r="H1435" t="s">
        <v>196</v>
      </c>
      <c r="I1435" t="s">
        <v>3490</v>
      </c>
      <c r="J1435" t="s">
        <v>2902</v>
      </c>
    </row>
    <row r="1436" spans="1:10" x14ac:dyDescent="0.25">
      <c r="A1436" t="s">
        <v>1800</v>
      </c>
      <c r="B1436" t="s">
        <v>159</v>
      </c>
      <c r="C1436">
        <v>8</v>
      </c>
      <c r="D1436" t="s">
        <v>3122</v>
      </c>
      <c r="E1436">
        <v>64</v>
      </c>
      <c r="F1436">
        <v>23</v>
      </c>
      <c r="G1436">
        <v>41</v>
      </c>
      <c r="H1436" t="s">
        <v>3489</v>
      </c>
      <c r="I1436" t="s">
        <v>3490</v>
      </c>
      <c r="J1436" t="s">
        <v>2902</v>
      </c>
    </row>
    <row r="1437" spans="1:10" x14ac:dyDescent="0.25">
      <c r="A1437" t="s">
        <v>1805</v>
      </c>
      <c r="B1437" t="s">
        <v>122</v>
      </c>
      <c r="C1437">
        <v>8</v>
      </c>
      <c r="D1437" t="s">
        <v>3294</v>
      </c>
      <c r="E1437">
        <v>42</v>
      </c>
      <c r="F1437">
        <v>19</v>
      </c>
      <c r="G1437">
        <v>23</v>
      </c>
      <c r="H1437" t="s">
        <v>3491</v>
      </c>
      <c r="I1437" t="s">
        <v>3492</v>
      </c>
      <c r="J1437" t="s">
        <v>2919</v>
      </c>
    </row>
    <row r="1438" spans="1:10" x14ac:dyDescent="0.25">
      <c r="A1438" t="s">
        <v>1805</v>
      </c>
      <c r="B1438" t="s">
        <v>122</v>
      </c>
      <c r="C1438">
        <v>8</v>
      </c>
      <c r="D1438" t="s">
        <v>3296</v>
      </c>
      <c r="E1438">
        <v>58</v>
      </c>
      <c r="F1438">
        <v>13</v>
      </c>
      <c r="G1438">
        <v>45</v>
      </c>
      <c r="H1438" t="s">
        <v>3493</v>
      </c>
      <c r="I1438" t="s">
        <v>3490</v>
      </c>
      <c r="J1438" t="s">
        <v>2919</v>
      </c>
    </row>
    <row r="1439" spans="1:10" x14ac:dyDescent="0.25">
      <c r="A1439" t="s">
        <v>1805</v>
      </c>
      <c r="B1439" t="s">
        <v>122</v>
      </c>
      <c r="C1439">
        <v>8</v>
      </c>
      <c r="D1439" t="s">
        <v>3298</v>
      </c>
      <c r="E1439">
        <v>71</v>
      </c>
      <c r="F1439">
        <v>30</v>
      </c>
      <c r="G1439">
        <v>41</v>
      </c>
      <c r="H1439" t="s">
        <v>3494</v>
      </c>
      <c r="I1439" t="s">
        <v>3490</v>
      </c>
      <c r="J1439" t="s">
        <v>2919</v>
      </c>
    </row>
    <row r="1440" spans="1:10" x14ac:dyDescent="0.25">
      <c r="A1440" t="s">
        <v>1805</v>
      </c>
      <c r="B1440" t="s">
        <v>122</v>
      </c>
      <c r="C1440">
        <v>8</v>
      </c>
      <c r="D1440" t="s">
        <v>3300</v>
      </c>
      <c r="E1440">
        <v>87</v>
      </c>
      <c r="F1440">
        <v>29</v>
      </c>
      <c r="G1440">
        <v>58</v>
      </c>
      <c r="H1440" t="s">
        <v>196</v>
      </c>
      <c r="I1440" t="s">
        <v>3490</v>
      </c>
      <c r="J1440" t="s">
        <v>2919</v>
      </c>
    </row>
    <row r="1441" spans="1:10" x14ac:dyDescent="0.25">
      <c r="A1441" t="s">
        <v>1805</v>
      </c>
      <c r="B1441" t="s">
        <v>122</v>
      </c>
      <c r="C1441">
        <v>8</v>
      </c>
      <c r="D1441" t="s">
        <v>3302</v>
      </c>
      <c r="E1441">
        <v>55</v>
      </c>
      <c r="F1441">
        <v>21</v>
      </c>
      <c r="G1441">
        <v>34</v>
      </c>
      <c r="H1441" t="s">
        <v>3493</v>
      </c>
      <c r="I1441" t="s">
        <v>3490</v>
      </c>
      <c r="J1441" t="s">
        <v>2919</v>
      </c>
    </row>
    <row r="1442" spans="1:10" x14ac:dyDescent="0.25">
      <c r="A1442" t="s">
        <v>1810</v>
      </c>
      <c r="B1442" t="s">
        <v>159</v>
      </c>
      <c r="C1442">
        <v>6</v>
      </c>
      <c r="D1442" t="s">
        <v>3114</v>
      </c>
      <c r="E1442">
        <v>31</v>
      </c>
      <c r="F1442">
        <v>11</v>
      </c>
      <c r="G1442">
        <v>20</v>
      </c>
      <c r="H1442" t="s">
        <v>3491</v>
      </c>
      <c r="I1442" t="s">
        <v>3492</v>
      </c>
      <c r="J1442" t="s">
        <v>2902</v>
      </c>
    </row>
    <row r="1443" spans="1:10" x14ac:dyDescent="0.25">
      <c r="A1443" t="s">
        <v>1810</v>
      </c>
      <c r="B1443" t="s">
        <v>159</v>
      </c>
      <c r="C1443">
        <v>6</v>
      </c>
      <c r="D1443" t="s">
        <v>3116</v>
      </c>
      <c r="E1443">
        <v>53</v>
      </c>
      <c r="F1443">
        <v>23</v>
      </c>
      <c r="G1443">
        <v>30</v>
      </c>
      <c r="H1443" t="s">
        <v>3493</v>
      </c>
      <c r="I1443" t="s">
        <v>3490</v>
      </c>
      <c r="J1443" t="s">
        <v>2902</v>
      </c>
    </row>
    <row r="1444" spans="1:10" x14ac:dyDescent="0.25">
      <c r="A1444" t="s">
        <v>1810</v>
      </c>
      <c r="B1444" t="s">
        <v>159</v>
      </c>
      <c r="C1444">
        <v>6</v>
      </c>
      <c r="D1444" t="s">
        <v>3118</v>
      </c>
      <c r="E1444">
        <v>42</v>
      </c>
      <c r="F1444">
        <v>15</v>
      </c>
      <c r="G1444">
        <v>27</v>
      </c>
      <c r="H1444" t="s">
        <v>3491</v>
      </c>
      <c r="I1444" t="s">
        <v>3492</v>
      </c>
      <c r="J1444" t="s">
        <v>2902</v>
      </c>
    </row>
    <row r="1445" spans="1:10" x14ac:dyDescent="0.25">
      <c r="A1445" t="s">
        <v>1810</v>
      </c>
      <c r="B1445" t="s">
        <v>159</v>
      </c>
      <c r="C1445">
        <v>6</v>
      </c>
      <c r="D1445" t="s">
        <v>3120</v>
      </c>
      <c r="E1445">
        <v>44</v>
      </c>
      <c r="F1445">
        <v>15</v>
      </c>
      <c r="G1445">
        <v>29</v>
      </c>
      <c r="H1445" t="s">
        <v>3491</v>
      </c>
      <c r="I1445" t="s">
        <v>3492</v>
      </c>
      <c r="J1445" t="s">
        <v>2902</v>
      </c>
    </row>
    <row r="1446" spans="1:10" x14ac:dyDescent="0.25">
      <c r="A1446" t="s">
        <v>1810</v>
      </c>
      <c r="B1446" t="s">
        <v>159</v>
      </c>
      <c r="C1446">
        <v>6</v>
      </c>
      <c r="D1446" t="s">
        <v>3122</v>
      </c>
      <c r="E1446">
        <v>50</v>
      </c>
      <c r="F1446">
        <v>19</v>
      </c>
      <c r="G1446">
        <v>31</v>
      </c>
      <c r="H1446" t="s">
        <v>3493</v>
      </c>
      <c r="I1446" t="s">
        <v>3490</v>
      </c>
      <c r="J1446" t="s">
        <v>2902</v>
      </c>
    </row>
    <row r="1447" spans="1:10" x14ac:dyDescent="0.25">
      <c r="A1447" t="s">
        <v>1815</v>
      </c>
      <c r="B1447" t="s">
        <v>212</v>
      </c>
      <c r="C1447">
        <v>8</v>
      </c>
      <c r="D1447" t="s">
        <v>3474</v>
      </c>
      <c r="E1447">
        <v>71</v>
      </c>
      <c r="F1447">
        <v>24</v>
      </c>
      <c r="G1447">
        <v>47</v>
      </c>
      <c r="H1447" t="s">
        <v>3494</v>
      </c>
      <c r="I1447" t="s">
        <v>3490</v>
      </c>
      <c r="J1447" t="s">
        <v>3001</v>
      </c>
    </row>
    <row r="1448" spans="1:10" x14ac:dyDescent="0.25">
      <c r="A1448" t="s">
        <v>1815</v>
      </c>
      <c r="B1448" t="s">
        <v>212</v>
      </c>
      <c r="C1448">
        <v>8</v>
      </c>
      <c r="D1448" t="s">
        <v>3476</v>
      </c>
      <c r="E1448">
        <v>89</v>
      </c>
      <c r="F1448">
        <v>25</v>
      </c>
      <c r="G1448">
        <v>64</v>
      </c>
      <c r="H1448" t="s">
        <v>196</v>
      </c>
      <c r="I1448" t="s">
        <v>3490</v>
      </c>
      <c r="J1448" t="s">
        <v>3001</v>
      </c>
    </row>
    <row r="1449" spans="1:10" x14ac:dyDescent="0.25">
      <c r="A1449" t="s">
        <v>1815</v>
      </c>
      <c r="B1449" t="s">
        <v>212</v>
      </c>
      <c r="C1449">
        <v>8</v>
      </c>
      <c r="D1449" t="s">
        <v>3478</v>
      </c>
      <c r="E1449">
        <v>64</v>
      </c>
      <c r="F1449">
        <v>25</v>
      </c>
      <c r="G1449">
        <v>39</v>
      </c>
      <c r="H1449" t="s">
        <v>3489</v>
      </c>
      <c r="I1449" t="s">
        <v>3490</v>
      </c>
      <c r="J1449" t="s">
        <v>3001</v>
      </c>
    </row>
    <row r="1450" spans="1:10" x14ac:dyDescent="0.25">
      <c r="A1450" t="s">
        <v>1815</v>
      </c>
      <c r="B1450" t="s">
        <v>212</v>
      </c>
      <c r="C1450">
        <v>8</v>
      </c>
      <c r="D1450" t="s">
        <v>3480</v>
      </c>
      <c r="E1450">
        <v>50</v>
      </c>
      <c r="F1450">
        <v>22</v>
      </c>
      <c r="G1450">
        <v>28</v>
      </c>
      <c r="H1450" t="s">
        <v>3493</v>
      </c>
      <c r="I1450" t="s">
        <v>3490</v>
      </c>
      <c r="J1450" t="s">
        <v>3001</v>
      </c>
    </row>
    <row r="1451" spans="1:10" x14ac:dyDescent="0.25">
      <c r="A1451" t="s">
        <v>1815</v>
      </c>
      <c r="B1451" t="s">
        <v>212</v>
      </c>
      <c r="C1451">
        <v>8</v>
      </c>
      <c r="D1451" t="s">
        <v>3482</v>
      </c>
      <c r="E1451">
        <v>79</v>
      </c>
      <c r="F1451">
        <v>20</v>
      </c>
      <c r="G1451">
        <v>59</v>
      </c>
      <c r="H1451" t="s">
        <v>3494</v>
      </c>
      <c r="I1451" t="s">
        <v>3490</v>
      </c>
      <c r="J1451" t="s">
        <v>3001</v>
      </c>
    </row>
    <row r="1452" spans="1:10" x14ac:dyDescent="0.25">
      <c r="A1452" t="s">
        <v>1820</v>
      </c>
      <c r="B1452" t="s">
        <v>75</v>
      </c>
      <c r="C1452">
        <v>4</v>
      </c>
      <c r="D1452" t="s">
        <v>3034</v>
      </c>
      <c r="E1452">
        <v>56</v>
      </c>
      <c r="F1452">
        <v>12</v>
      </c>
      <c r="G1452">
        <v>44</v>
      </c>
      <c r="H1452" t="s">
        <v>3493</v>
      </c>
      <c r="I1452" t="s">
        <v>3490</v>
      </c>
      <c r="J1452" t="s">
        <v>2961</v>
      </c>
    </row>
    <row r="1453" spans="1:10" x14ac:dyDescent="0.25">
      <c r="A1453" t="s">
        <v>1820</v>
      </c>
      <c r="B1453" t="s">
        <v>75</v>
      </c>
      <c r="C1453">
        <v>4</v>
      </c>
      <c r="D1453" t="s">
        <v>3036</v>
      </c>
      <c r="E1453">
        <v>36</v>
      </c>
      <c r="F1453">
        <v>10</v>
      </c>
      <c r="G1453">
        <v>26</v>
      </c>
      <c r="H1453" t="s">
        <v>3491</v>
      </c>
      <c r="I1453" t="s">
        <v>3492</v>
      </c>
      <c r="J1453" t="s">
        <v>2961</v>
      </c>
    </row>
    <row r="1454" spans="1:10" x14ac:dyDescent="0.25">
      <c r="A1454" t="s">
        <v>1820</v>
      </c>
      <c r="B1454" t="s">
        <v>75</v>
      </c>
      <c r="C1454">
        <v>4</v>
      </c>
      <c r="D1454" t="s">
        <v>3038</v>
      </c>
      <c r="E1454">
        <v>43</v>
      </c>
      <c r="F1454">
        <v>12</v>
      </c>
      <c r="G1454">
        <v>31</v>
      </c>
      <c r="H1454" t="s">
        <v>3491</v>
      </c>
      <c r="I1454" t="s">
        <v>3492</v>
      </c>
      <c r="J1454" t="s">
        <v>2961</v>
      </c>
    </row>
    <row r="1455" spans="1:10" x14ac:dyDescent="0.25">
      <c r="A1455" t="s">
        <v>1820</v>
      </c>
      <c r="B1455" t="s">
        <v>75</v>
      </c>
      <c r="C1455">
        <v>4</v>
      </c>
      <c r="D1455" t="s">
        <v>3040</v>
      </c>
      <c r="E1455">
        <v>83</v>
      </c>
      <c r="F1455">
        <v>18</v>
      </c>
      <c r="G1455">
        <v>65</v>
      </c>
      <c r="H1455" t="s">
        <v>196</v>
      </c>
      <c r="I1455" t="s">
        <v>3490</v>
      </c>
      <c r="J1455" t="s">
        <v>2961</v>
      </c>
    </row>
    <row r="1456" spans="1:10" x14ac:dyDescent="0.25">
      <c r="A1456" t="s">
        <v>1820</v>
      </c>
      <c r="B1456" t="s">
        <v>75</v>
      </c>
      <c r="C1456">
        <v>4</v>
      </c>
      <c r="D1456" t="s">
        <v>3042</v>
      </c>
      <c r="E1456">
        <v>38</v>
      </c>
      <c r="F1456">
        <v>13</v>
      </c>
      <c r="G1456">
        <v>25</v>
      </c>
      <c r="H1456" t="s">
        <v>3491</v>
      </c>
      <c r="I1456" t="s">
        <v>3492</v>
      </c>
      <c r="J1456" t="s">
        <v>2961</v>
      </c>
    </row>
    <row r="1457" spans="1:10" x14ac:dyDescent="0.25">
      <c r="A1457" t="s">
        <v>1826</v>
      </c>
      <c r="B1457" t="s">
        <v>212</v>
      </c>
      <c r="C1457">
        <v>4</v>
      </c>
      <c r="D1457" t="s">
        <v>3454</v>
      </c>
      <c r="E1457">
        <v>73</v>
      </c>
      <c r="F1457">
        <v>21</v>
      </c>
      <c r="G1457">
        <v>52</v>
      </c>
      <c r="H1457" t="s">
        <v>3494</v>
      </c>
      <c r="I1457" t="s">
        <v>3490</v>
      </c>
      <c r="J1457" t="s">
        <v>3001</v>
      </c>
    </row>
    <row r="1458" spans="1:10" x14ac:dyDescent="0.25">
      <c r="A1458" t="s">
        <v>1826</v>
      </c>
      <c r="B1458" t="s">
        <v>212</v>
      </c>
      <c r="C1458">
        <v>4</v>
      </c>
      <c r="D1458" t="s">
        <v>3456</v>
      </c>
      <c r="E1458">
        <v>72</v>
      </c>
      <c r="F1458">
        <v>18</v>
      </c>
      <c r="G1458">
        <v>54</v>
      </c>
      <c r="H1458" t="s">
        <v>3494</v>
      </c>
      <c r="I1458" t="s">
        <v>3490</v>
      </c>
      <c r="J1458" t="s">
        <v>3001</v>
      </c>
    </row>
    <row r="1459" spans="1:10" x14ac:dyDescent="0.25">
      <c r="A1459" t="s">
        <v>1826</v>
      </c>
      <c r="B1459" t="s">
        <v>212</v>
      </c>
      <c r="C1459">
        <v>4</v>
      </c>
      <c r="D1459" t="s">
        <v>3458</v>
      </c>
      <c r="E1459">
        <v>86</v>
      </c>
      <c r="F1459">
        <v>26</v>
      </c>
      <c r="G1459">
        <v>60</v>
      </c>
      <c r="H1459" t="s">
        <v>196</v>
      </c>
      <c r="I1459" t="s">
        <v>3490</v>
      </c>
      <c r="J1459" t="s">
        <v>3001</v>
      </c>
    </row>
    <row r="1460" spans="1:10" x14ac:dyDescent="0.25">
      <c r="A1460" t="s">
        <v>1826</v>
      </c>
      <c r="B1460" t="s">
        <v>212</v>
      </c>
      <c r="C1460">
        <v>4</v>
      </c>
      <c r="D1460" t="s">
        <v>3460</v>
      </c>
      <c r="E1460">
        <v>45</v>
      </c>
      <c r="F1460">
        <v>22</v>
      </c>
      <c r="G1460">
        <v>23</v>
      </c>
      <c r="H1460" t="s">
        <v>3491</v>
      </c>
      <c r="I1460" t="s">
        <v>3492</v>
      </c>
      <c r="J1460" t="s">
        <v>3001</v>
      </c>
    </row>
    <row r="1461" spans="1:10" x14ac:dyDescent="0.25">
      <c r="A1461" t="s">
        <v>1826</v>
      </c>
      <c r="B1461" t="s">
        <v>212</v>
      </c>
      <c r="C1461">
        <v>4</v>
      </c>
      <c r="D1461" t="s">
        <v>3462</v>
      </c>
      <c r="E1461">
        <v>78</v>
      </c>
      <c r="F1461">
        <v>10</v>
      </c>
      <c r="G1461">
        <v>68</v>
      </c>
      <c r="H1461" t="s">
        <v>3494</v>
      </c>
      <c r="I1461" t="s">
        <v>3490</v>
      </c>
      <c r="J1461" t="s">
        <v>3001</v>
      </c>
    </row>
    <row r="1462" spans="1:10" x14ac:dyDescent="0.25">
      <c r="A1462" t="s">
        <v>1831</v>
      </c>
      <c r="B1462" t="s">
        <v>105</v>
      </c>
      <c r="C1462">
        <v>4</v>
      </c>
      <c r="D1462" t="s">
        <v>3154</v>
      </c>
      <c r="E1462">
        <v>47</v>
      </c>
      <c r="F1462">
        <v>27</v>
      </c>
      <c r="G1462">
        <v>20</v>
      </c>
      <c r="H1462" t="s">
        <v>3491</v>
      </c>
      <c r="I1462" t="s">
        <v>3492</v>
      </c>
      <c r="J1462" t="s">
        <v>2908</v>
      </c>
    </row>
    <row r="1463" spans="1:10" x14ac:dyDescent="0.25">
      <c r="A1463" t="s">
        <v>1831</v>
      </c>
      <c r="B1463" t="s">
        <v>105</v>
      </c>
      <c r="C1463">
        <v>4</v>
      </c>
      <c r="D1463" t="s">
        <v>3156</v>
      </c>
      <c r="E1463">
        <v>63</v>
      </c>
      <c r="F1463">
        <v>13</v>
      </c>
      <c r="G1463">
        <v>50</v>
      </c>
      <c r="H1463" t="s">
        <v>3489</v>
      </c>
      <c r="I1463" t="s">
        <v>3490</v>
      </c>
      <c r="J1463" t="s">
        <v>2908</v>
      </c>
    </row>
    <row r="1464" spans="1:10" x14ac:dyDescent="0.25">
      <c r="A1464" t="s">
        <v>1831</v>
      </c>
      <c r="B1464" t="s">
        <v>105</v>
      </c>
      <c r="C1464">
        <v>4</v>
      </c>
      <c r="D1464" t="s">
        <v>3158</v>
      </c>
      <c r="E1464">
        <v>81</v>
      </c>
      <c r="F1464">
        <v>28</v>
      </c>
      <c r="G1464">
        <v>53</v>
      </c>
      <c r="H1464" t="s">
        <v>196</v>
      </c>
      <c r="I1464" t="s">
        <v>3490</v>
      </c>
      <c r="J1464" t="s">
        <v>2908</v>
      </c>
    </row>
    <row r="1465" spans="1:10" x14ac:dyDescent="0.25">
      <c r="A1465" t="s">
        <v>1831</v>
      </c>
      <c r="B1465" t="s">
        <v>105</v>
      </c>
      <c r="C1465">
        <v>4</v>
      </c>
      <c r="D1465" t="s">
        <v>3160</v>
      </c>
      <c r="E1465">
        <v>72</v>
      </c>
      <c r="F1465">
        <v>22</v>
      </c>
      <c r="G1465">
        <v>50</v>
      </c>
      <c r="H1465" t="s">
        <v>3494</v>
      </c>
      <c r="I1465" t="s">
        <v>3490</v>
      </c>
      <c r="J1465" t="s">
        <v>2908</v>
      </c>
    </row>
    <row r="1466" spans="1:10" x14ac:dyDescent="0.25">
      <c r="A1466" t="s">
        <v>1831</v>
      </c>
      <c r="B1466" t="s">
        <v>105</v>
      </c>
      <c r="C1466">
        <v>4</v>
      </c>
      <c r="D1466" t="s">
        <v>3162</v>
      </c>
      <c r="E1466">
        <v>80</v>
      </c>
      <c r="F1466">
        <v>25</v>
      </c>
      <c r="G1466">
        <v>55</v>
      </c>
      <c r="H1466" t="s">
        <v>196</v>
      </c>
      <c r="I1466" t="s">
        <v>3490</v>
      </c>
      <c r="J1466" t="s">
        <v>2908</v>
      </c>
    </row>
    <row r="1467" spans="1:10" x14ac:dyDescent="0.25">
      <c r="A1467" t="s">
        <v>1836</v>
      </c>
      <c r="B1467" t="s">
        <v>105</v>
      </c>
      <c r="C1467">
        <v>8</v>
      </c>
      <c r="D1467" t="s">
        <v>3174</v>
      </c>
      <c r="E1467">
        <v>46</v>
      </c>
      <c r="F1467">
        <v>14</v>
      </c>
      <c r="G1467">
        <v>32</v>
      </c>
      <c r="H1467" t="s">
        <v>3491</v>
      </c>
      <c r="I1467" t="s">
        <v>3492</v>
      </c>
      <c r="J1467" t="s">
        <v>2908</v>
      </c>
    </row>
    <row r="1468" spans="1:10" x14ac:dyDescent="0.25">
      <c r="A1468" t="s">
        <v>1836</v>
      </c>
      <c r="B1468" t="s">
        <v>105</v>
      </c>
      <c r="C1468">
        <v>8</v>
      </c>
      <c r="D1468" t="s">
        <v>3176</v>
      </c>
      <c r="E1468">
        <v>43</v>
      </c>
      <c r="F1468">
        <v>12</v>
      </c>
      <c r="G1468">
        <v>31</v>
      </c>
      <c r="H1468" t="s">
        <v>3491</v>
      </c>
      <c r="I1468" t="s">
        <v>3492</v>
      </c>
      <c r="J1468" t="s">
        <v>2908</v>
      </c>
    </row>
    <row r="1469" spans="1:10" x14ac:dyDescent="0.25">
      <c r="A1469" t="s">
        <v>1836</v>
      </c>
      <c r="B1469" t="s">
        <v>105</v>
      </c>
      <c r="C1469">
        <v>8</v>
      </c>
      <c r="D1469" t="s">
        <v>3178</v>
      </c>
      <c r="E1469">
        <v>86</v>
      </c>
      <c r="F1469">
        <v>28</v>
      </c>
      <c r="G1469">
        <v>58</v>
      </c>
      <c r="H1469" t="s">
        <v>196</v>
      </c>
      <c r="I1469" t="s">
        <v>3490</v>
      </c>
      <c r="J1469" t="s">
        <v>2908</v>
      </c>
    </row>
    <row r="1470" spans="1:10" x14ac:dyDescent="0.25">
      <c r="A1470" t="s">
        <v>1836</v>
      </c>
      <c r="B1470" t="s">
        <v>105</v>
      </c>
      <c r="C1470">
        <v>8</v>
      </c>
      <c r="D1470" t="s">
        <v>3180</v>
      </c>
      <c r="E1470">
        <v>69</v>
      </c>
      <c r="F1470">
        <v>21</v>
      </c>
      <c r="G1470">
        <v>48</v>
      </c>
      <c r="H1470" t="s">
        <v>3489</v>
      </c>
      <c r="I1470" t="s">
        <v>3490</v>
      </c>
      <c r="J1470" t="s">
        <v>2908</v>
      </c>
    </row>
    <row r="1471" spans="1:10" x14ac:dyDescent="0.25">
      <c r="A1471" t="s">
        <v>1836</v>
      </c>
      <c r="B1471" t="s">
        <v>105</v>
      </c>
      <c r="C1471">
        <v>8</v>
      </c>
      <c r="D1471" t="s">
        <v>3182</v>
      </c>
      <c r="E1471">
        <v>47</v>
      </c>
      <c r="F1471">
        <v>10</v>
      </c>
      <c r="G1471">
        <v>37</v>
      </c>
      <c r="H1471" t="s">
        <v>3491</v>
      </c>
      <c r="I1471" t="s">
        <v>3492</v>
      </c>
      <c r="J1471" t="s">
        <v>2908</v>
      </c>
    </row>
    <row r="1472" spans="1:10" x14ac:dyDescent="0.25">
      <c r="A1472" t="s">
        <v>1842</v>
      </c>
      <c r="B1472" t="s">
        <v>95</v>
      </c>
      <c r="C1472">
        <v>4</v>
      </c>
      <c r="D1472" t="s">
        <v>3214</v>
      </c>
      <c r="E1472">
        <v>52</v>
      </c>
      <c r="F1472">
        <v>24</v>
      </c>
      <c r="G1472">
        <v>28</v>
      </c>
      <c r="H1472" t="s">
        <v>3493</v>
      </c>
      <c r="I1472" t="s">
        <v>3490</v>
      </c>
      <c r="J1472" t="s">
        <v>2889</v>
      </c>
    </row>
    <row r="1473" spans="1:10" x14ac:dyDescent="0.25">
      <c r="A1473" t="s">
        <v>1842</v>
      </c>
      <c r="B1473" t="s">
        <v>95</v>
      </c>
      <c r="C1473">
        <v>4</v>
      </c>
      <c r="D1473" t="s">
        <v>3216</v>
      </c>
      <c r="E1473">
        <v>93</v>
      </c>
      <c r="F1473">
        <v>23</v>
      </c>
      <c r="G1473">
        <v>70</v>
      </c>
      <c r="H1473" t="s">
        <v>3495</v>
      </c>
      <c r="I1473" t="s">
        <v>3490</v>
      </c>
      <c r="J1473" t="s">
        <v>2889</v>
      </c>
    </row>
    <row r="1474" spans="1:10" x14ac:dyDescent="0.25">
      <c r="A1474" t="s">
        <v>1842</v>
      </c>
      <c r="B1474" t="s">
        <v>95</v>
      </c>
      <c r="C1474">
        <v>4</v>
      </c>
      <c r="D1474" t="s">
        <v>3218</v>
      </c>
      <c r="E1474">
        <v>48</v>
      </c>
      <c r="F1474">
        <v>18</v>
      </c>
      <c r="G1474">
        <v>30</v>
      </c>
      <c r="H1474" t="s">
        <v>3491</v>
      </c>
      <c r="I1474" t="s">
        <v>3492</v>
      </c>
      <c r="J1474" t="s">
        <v>2889</v>
      </c>
    </row>
    <row r="1475" spans="1:10" x14ac:dyDescent="0.25">
      <c r="A1475" t="s">
        <v>1842</v>
      </c>
      <c r="B1475" t="s">
        <v>95</v>
      </c>
      <c r="C1475">
        <v>4</v>
      </c>
      <c r="D1475" t="s">
        <v>3220</v>
      </c>
      <c r="E1475">
        <v>77</v>
      </c>
      <c r="F1475">
        <v>30</v>
      </c>
      <c r="G1475">
        <v>47</v>
      </c>
      <c r="H1475" t="s">
        <v>3494</v>
      </c>
      <c r="I1475" t="s">
        <v>3490</v>
      </c>
      <c r="J1475" t="s">
        <v>2889</v>
      </c>
    </row>
    <row r="1476" spans="1:10" x14ac:dyDescent="0.25">
      <c r="A1476" t="s">
        <v>1842</v>
      </c>
      <c r="B1476" t="s">
        <v>95</v>
      </c>
      <c r="C1476">
        <v>4</v>
      </c>
      <c r="D1476" t="s">
        <v>3222</v>
      </c>
      <c r="E1476">
        <v>41</v>
      </c>
      <c r="F1476">
        <v>12</v>
      </c>
      <c r="G1476">
        <v>29</v>
      </c>
      <c r="H1476" t="s">
        <v>3491</v>
      </c>
      <c r="I1476" t="s">
        <v>3492</v>
      </c>
      <c r="J1476" t="s">
        <v>2889</v>
      </c>
    </row>
    <row r="1477" spans="1:10" x14ac:dyDescent="0.25">
      <c r="A1477" t="s">
        <v>1846</v>
      </c>
      <c r="B1477" t="s">
        <v>95</v>
      </c>
      <c r="C1477">
        <v>6</v>
      </c>
      <c r="D1477" t="s">
        <v>3234</v>
      </c>
      <c r="E1477">
        <v>43</v>
      </c>
      <c r="F1477">
        <v>13</v>
      </c>
      <c r="G1477">
        <v>30</v>
      </c>
      <c r="H1477" t="s">
        <v>3491</v>
      </c>
      <c r="I1477" t="s">
        <v>3492</v>
      </c>
      <c r="J1477" t="s">
        <v>2889</v>
      </c>
    </row>
    <row r="1478" spans="1:10" x14ac:dyDescent="0.25">
      <c r="A1478" t="s">
        <v>1846</v>
      </c>
      <c r="B1478" t="s">
        <v>95</v>
      </c>
      <c r="C1478">
        <v>6</v>
      </c>
      <c r="D1478" t="s">
        <v>3236</v>
      </c>
      <c r="E1478">
        <v>44</v>
      </c>
      <c r="F1478">
        <v>11</v>
      </c>
      <c r="G1478">
        <v>33</v>
      </c>
      <c r="H1478" t="s">
        <v>3491</v>
      </c>
      <c r="I1478" t="s">
        <v>3492</v>
      </c>
      <c r="J1478" t="s">
        <v>2889</v>
      </c>
    </row>
    <row r="1479" spans="1:10" x14ac:dyDescent="0.25">
      <c r="A1479" t="s">
        <v>1846</v>
      </c>
      <c r="B1479" t="s">
        <v>95</v>
      </c>
      <c r="C1479">
        <v>6</v>
      </c>
      <c r="D1479" t="s">
        <v>3238</v>
      </c>
      <c r="E1479">
        <v>62</v>
      </c>
      <c r="F1479">
        <v>26</v>
      </c>
      <c r="G1479">
        <v>36</v>
      </c>
      <c r="H1479" t="s">
        <v>3489</v>
      </c>
      <c r="I1479" t="s">
        <v>3490</v>
      </c>
      <c r="J1479" t="s">
        <v>2889</v>
      </c>
    </row>
    <row r="1480" spans="1:10" x14ac:dyDescent="0.25">
      <c r="A1480" t="s">
        <v>1846</v>
      </c>
      <c r="B1480" t="s">
        <v>95</v>
      </c>
      <c r="C1480">
        <v>6</v>
      </c>
      <c r="D1480" t="s">
        <v>3240</v>
      </c>
      <c r="E1480">
        <v>84</v>
      </c>
      <c r="F1480">
        <v>17</v>
      </c>
      <c r="G1480">
        <v>67</v>
      </c>
      <c r="H1480" t="s">
        <v>196</v>
      </c>
      <c r="I1480" t="s">
        <v>3490</v>
      </c>
      <c r="J1480" t="s">
        <v>2889</v>
      </c>
    </row>
    <row r="1481" spans="1:10" x14ac:dyDescent="0.25">
      <c r="A1481" t="s">
        <v>1846</v>
      </c>
      <c r="B1481" t="s">
        <v>95</v>
      </c>
      <c r="C1481">
        <v>6</v>
      </c>
      <c r="D1481" t="s">
        <v>3242</v>
      </c>
      <c r="E1481">
        <v>66</v>
      </c>
      <c r="F1481">
        <v>25</v>
      </c>
      <c r="G1481">
        <v>41</v>
      </c>
      <c r="H1481" t="s">
        <v>3489</v>
      </c>
      <c r="I1481" t="s">
        <v>3490</v>
      </c>
      <c r="J1481" t="s">
        <v>2889</v>
      </c>
    </row>
    <row r="1482" spans="1:10" x14ac:dyDescent="0.25">
      <c r="A1482" t="s">
        <v>1852</v>
      </c>
      <c r="B1482" t="s">
        <v>159</v>
      </c>
      <c r="C1482">
        <v>4</v>
      </c>
      <c r="D1482" t="s">
        <v>3094</v>
      </c>
      <c r="E1482">
        <v>64</v>
      </c>
      <c r="F1482">
        <v>17</v>
      </c>
      <c r="G1482">
        <v>47</v>
      </c>
      <c r="H1482" t="s">
        <v>3489</v>
      </c>
      <c r="I1482" t="s">
        <v>3490</v>
      </c>
      <c r="J1482" t="s">
        <v>2902</v>
      </c>
    </row>
    <row r="1483" spans="1:10" x14ac:dyDescent="0.25">
      <c r="A1483" t="s">
        <v>1852</v>
      </c>
      <c r="B1483" t="s">
        <v>159</v>
      </c>
      <c r="C1483">
        <v>4</v>
      </c>
      <c r="D1483" t="s">
        <v>3096</v>
      </c>
      <c r="E1483">
        <v>85</v>
      </c>
      <c r="F1483">
        <v>21</v>
      </c>
      <c r="G1483">
        <v>64</v>
      </c>
      <c r="H1483" t="s">
        <v>196</v>
      </c>
      <c r="I1483" t="s">
        <v>3490</v>
      </c>
      <c r="J1483" t="s">
        <v>2902</v>
      </c>
    </row>
    <row r="1484" spans="1:10" x14ac:dyDescent="0.25">
      <c r="A1484" t="s">
        <v>1852</v>
      </c>
      <c r="B1484" t="s">
        <v>159</v>
      </c>
      <c r="C1484">
        <v>4</v>
      </c>
      <c r="D1484" t="s">
        <v>3098</v>
      </c>
      <c r="E1484">
        <v>94</v>
      </c>
      <c r="F1484">
        <v>28</v>
      </c>
      <c r="G1484">
        <v>66</v>
      </c>
      <c r="H1484" t="s">
        <v>3495</v>
      </c>
      <c r="I1484" t="s">
        <v>3490</v>
      </c>
      <c r="J1484" t="s">
        <v>2902</v>
      </c>
    </row>
    <row r="1485" spans="1:10" x14ac:dyDescent="0.25">
      <c r="A1485" t="s">
        <v>1852</v>
      </c>
      <c r="B1485" t="s">
        <v>159</v>
      </c>
      <c r="C1485">
        <v>4</v>
      </c>
      <c r="D1485" t="s">
        <v>3100</v>
      </c>
      <c r="E1485">
        <v>90</v>
      </c>
      <c r="F1485">
        <v>22</v>
      </c>
      <c r="G1485">
        <v>68</v>
      </c>
      <c r="H1485" t="s">
        <v>3495</v>
      </c>
      <c r="I1485" t="s">
        <v>3490</v>
      </c>
      <c r="J1485" t="s">
        <v>2902</v>
      </c>
    </row>
    <row r="1486" spans="1:10" x14ac:dyDescent="0.25">
      <c r="A1486" t="s">
        <v>1852</v>
      </c>
      <c r="B1486" t="s">
        <v>159</v>
      </c>
      <c r="C1486">
        <v>4</v>
      </c>
      <c r="D1486" t="s">
        <v>3102</v>
      </c>
      <c r="E1486">
        <v>50</v>
      </c>
      <c r="F1486">
        <v>27</v>
      </c>
      <c r="G1486">
        <v>23</v>
      </c>
      <c r="H1486" t="s">
        <v>3493</v>
      </c>
      <c r="I1486" t="s">
        <v>3490</v>
      </c>
      <c r="J1486" t="s">
        <v>2902</v>
      </c>
    </row>
    <row r="1487" spans="1:10" x14ac:dyDescent="0.25">
      <c r="A1487" t="s">
        <v>1857</v>
      </c>
      <c r="B1487" t="s">
        <v>75</v>
      </c>
      <c r="C1487">
        <v>8</v>
      </c>
      <c r="D1487" t="s">
        <v>3054</v>
      </c>
      <c r="E1487">
        <v>79</v>
      </c>
      <c r="F1487">
        <v>24</v>
      </c>
      <c r="G1487">
        <v>55</v>
      </c>
      <c r="H1487" t="s">
        <v>3494</v>
      </c>
      <c r="I1487" t="s">
        <v>3490</v>
      </c>
      <c r="J1487" t="s">
        <v>2961</v>
      </c>
    </row>
    <row r="1488" spans="1:10" x14ac:dyDescent="0.25">
      <c r="A1488" t="s">
        <v>1857</v>
      </c>
      <c r="B1488" t="s">
        <v>75</v>
      </c>
      <c r="C1488">
        <v>8</v>
      </c>
      <c r="D1488" t="s">
        <v>3056</v>
      </c>
      <c r="E1488">
        <v>81</v>
      </c>
      <c r="F1488">
        <v>21</v>
      </c>
      <c r="G1488">
        <v>60</v>
      </c>
      <c r="H1488" t="s">
        <v>196</v>
      </c>
      <c r="I1488" t="s">
        <v>3490</v>
      </c>
      <c r="J1488" t="s">
        <v>2961</v>
      </c>
    </row>
    <row r="1489" spans="1:10" x14ac:dyDescent="0.25">
      <c r="A1489" t="s">
        <v>1857</v>
      </c>
      <c r="B1489" t="s">
        <v>75</v>
      </c>
      <c r="C1489">
        <v>8</v>
      </c>
      <c r="D1489" t="s">
        <v>3058</v>
      </c>
      <c r="E1489">
        <v>58</v>
      </c>
      <c r="F1489">
        <v>15</v>
      </c>
      <c r="G1489">
        <v>43</v>
      </c>
      <c r="H1489" t="s">
        <v>3493</v>
      </c>
      <c r="I1489" t="s">
        <v>3490</v>
      </c>
      <c r="J1489" t="s">
        <v>2961</v>
      </c>
    </row>
    <row r="1490" spans="1:10" x14ac:dyDescent="0.25">
      <c r="A1490" t="s">
        <v>1857</v>
      </c>
      <c r="B1490" t="s">
        <v>75</v>
      </c>
      <c r="C1490">
        <v>8</v>
      </c>
      <c r="D1490" t="s">
        <v>3060</v>
      </c>
      <c r="E1490">
        <v>70</v>
      </c>
      <c r="F1490">
        <v>18</v>
      </c>
      <c r="G1490">
        <v>52</v>
      </c>
      <c r="H1490" t="s">
        <v>3494</v>
      </c>
      <c r="I1490" t="s">
        <v>3490</v>
      </c>
      <c r="J1490" t="s">
        <v>2961</v>
      </c>
    </row>
    <row r="1491" spans="1:10" x14ac:dyDescent="0.25">
      <c r="A1491" t="s">
        <v>1857</v>
      </c>
      <c r="B1491" t="s">
        <v>75</v>
      </c>
      <c r="C1491">
        <v>8</v>
      </c>
      <c r="D1491" t="s">
        <v>3062</v>
      </c>
      <c r="E1491">
        <v>54</v>
      </c>
      <c r="F1491">
        <v>15</v>
      </c>
      <c r="G1491">
        <v>39</v>
      </c>
      <c r="H1491" t="s">
        <v>3493</v>
      </c>
      <c r="I1491" t="s">
        <v>3490</v>
      </c>
      <c r="J1491" t="s">
        <v>2961</v>
      </c>
    </row>
    <row r="1492" spans="1:10" x14ac:dyDescent="0.25">
      <c r="A1492" t="s">
        <v>1862</v>
      </c>
      <c r="B1492" t="s">
        <v>30</v>
      </c>
      <c r="C1492">
        <v>6</v>
      </c>
      <c r="D1492" t="s">
        <v>3354</v>
      </c>
      <c r="E1492">
        <v>41</v>
      </c>
      <c r="F1492">
        <v>14</v>
      </c>
      <c r="G1492">
        <v>27</v>
      </c>
      <c r="H1492" t="s">
        <v>3491</v>
      </c>
      <c r="I1492" t="s">
        <v>3492</v>
      </c>
      <c r="J1492" t="s">
        <v>2895</v>
      </c>
    </row>
    <row r="1493" spans="1:10" x14ac:dyDescent="0.25">
      <c r="A1493" t="s">
        <v>1862</v>
      </c>
      <c r="B1493" t="s">
        <v>30</v>
      </c>
      <c r="C1493">
        <v>6</v>
      </c>
      <c r="D1493" t="s">
        <v>3356</v>
      </c>
      <c r="E1493">
        <v>91</v>
      </c>
      <c r="F1493">
        <v>27</v>
      </c>
      <c r="G1493">
        <v>64</v>
      </c>
      <c r="H1493" t="s">
        <v>3495</v>
      </c>
      <c r="I1493" t="s">
        <v>3490</v>
      </c>
      <c r="J1493" t="s">
        <v>2895</v>
      </c>
    </row>
    <row r="1494" spans="1:10" x14ac:dyDescent="0.25">
      <c r="A1494" t="s">
        <v>1862</v>
      </c>
      <c r="B1494" t="s">
        <v>30</v>
      </c>
      <c r="C1494">
        <v>6</v>
      </c>
      <c r="D1494" t="s">
        <v>3358</v>
      </c>
      <c r="E1494">
        <v>69</v>
      </c>
      <c r="F1494">
        <v>17</v>
      </c>
      <c r="G1494">
        <v>52</v>
      </c>
      <c r="H1494" t="s">
        <v>3489</v>
      </c>
      <c r="I1494" t="s">
        <v>3490</v>
      </c>
      <c r="J1494" t="s">
        <v>2895</v>
      </c>
    </row>
    <row r="1495" spans="1:10" x14ac:dyDescent="0.25">
      <c r="A1495" t="s">
        <v>1862</v>
      </c>
      <c r="B1495" t="s">
        <v>30</v>
      </c>
      <c r="C1495">
        <v>6</v>
      </c>
      <c r="D1495" t="s">
        <v>3360</v>
      </c>
      <c r="E1495">
        <v>56</v>
      </c>
      <c r="F1495">
        <v>20</v>
      </c>
      <c r="G1495">
        <v>36</v>
      </c>
      <c r="H1495" t="s">
        <v>3493</v>
      </c>
      <c r="I1495" t="s">
        <v>3490</v>
      </c>
      <c r="J1495" t="s">
        <v>2895</v>
      </c>
    </row>
    <row r="1496" spans="1:10" x14ac:dyDescent="0.25">
      <c r="A1496" t="s">
        <v>1862</v>
      </c>
      <c r="B1496" t="s">
        <v>30</v>
      </c>
      <c r="C1496">
        <v>6</v>
      </c>
      <c r="D1496" t="s">
        <v>3362</v>
      </c>
      <c r="E1496">
        <v>89</v>
      </c>
      <c r="F1496">
        <v>21</v>
      </c>
      <c r="G1496">
        <v>68</v>
      </c>
      <c r="H1496" t="s">
        <v>196</v>
      </c>
      <c r="I1496" t="s">
        <v>3490</v>
      </c>
      <c r="J1496" t="s">
        <v>2895</v>
      </c>
    </row>
    <row r="1497" spans="1:10" x14ac:dyDescent="0.25">
      <c r="A1497" t="s">
        <v>1866</v>
      </c>
      <c r="B1497" t="s">
        <v>95</v>
      </c>
      <c r="C1497">
        <v>4</v>
      </c>
      <c r="D1497" t="s">
        <v>3214</v>
      </c>
      <c r="E1497">
        <v>41</v>
      </c>
      <c r="F1497">
        <v>18</v>
      </c>
      <c r="G1497">
        <v>23</v>
      </c>
      <c r="H1497" t="s">
        <v>3491</v>
      </c>
      <c r="I1497" t="s">
        <v>3492</v>
      </c>
      <c r="J1497" t="s">
        <v>2889</v>
      </c>
    </row>
    <row r="1498" spans="1:10" x14ac:dyDescent="0.25">
      <c r="A1498" t="s">
        <v>1866</v>
      </c>
      <c r="B1498" t="s">
        <v>95</v>
      </c>
      <c r="C1498">
        <v>4</v>
      </c>
      <c r="D1498" t="s">
        <v>3216</v>
      </c>
      <c r="E1498">
        <v>74</v>
      </c>
      <c r="F1498">
        <v>11</v>
      </c>
      <c r="G1498">
        <v>63</v>
      </c>
      <c r="H1498" t="s">
        <v>3494</v>
      </c>
      <c r="I1498" t="s">
        <v>3490</v>
      </c>
      <c r="J1498" t="s">
        <v>2889</v>
      </c>
    </row>
    <row r="1499" spans="1:10" x14ac:dyDescent="0.25">
      <c r="A1499" t="s">
        <v>1866</v>
      </c>
      <c r="B1499" t="s">
        <v>95</v>
      </c>
      <c r="C1499">
        <v>4</v>
      </c>
      <c r="D1499" t="s">
        <v>3218</v>
      </c>
      <c r="E1499">
        <v>59</v>
      </c>
      <c r="F1499">
        <v>23</v>
      </c>
      <c r="G1499">
        <v>36</v>
      </c>
      <c r="H1499" t="s">
        <v>3493</v>
      </c>
      <c r="I1499" t="s">
        <v>3490</v>
      </c>
      <c r="J1499" t="s">
        <v>2889</v>
      </c>
    </row>
    <row r="1500" spans="1:10" x14ac:dyDescent="0.25">
      <c r="A1500" t="s">
        <v>1866</v>
      </c>
      <c r="B1500" t="s">
        <v>95</v>
      </c>
      <c r="C1500">
        <v>4</v>
      </c>
      <c r="D1500" t="s">
        <v>3220</v>
      </c>
      <c r="E1500">
        <v>80</v>
      </c>
      <c r="F1500">
        <v>19</v>
      </c>
      <c r="G1500">
        <v>61</v>
      </c>
      <c r="H1500" t="s">
        <v>196</v>
      </c>
      <c r="I1500" t="s">
        <v>3490</v>
      </c>
      <c r="J1500" t="s">
        <v>2889</v>
      </c>
    </row>
    <row r="1501" spans="1:10" x14ac:dyDescent="0.25">
      <c r="A1501" t="s">
        <v>1866</v>
      </c>
      <c r="B1501" t="s">
        <v>95</v>
      </c>
      <c r="C1501">
        <v>4</v>
      </c>
      <c r="D1501" t="s">
        <v>3222</v>
      </c>
      <c r="E1501">
        <v>59</v>
      </c>
      <c r="F1501">
        <v>21</v>
      </c>
      <c r="G1501">
        <v>38</v>
      </c>
      <c r="H1501" t="s">
        <v>3493</v>
      </c>
      <c r="I1501" t="s">
        <v>3490</v>
      </c>
      <c r="J1501" t="s">
        <v>2889</v>
      </c>
    </row>
    <row r="1502" spans="1:10" x14ac:dyDescent="0.25">
      <c r="A1502" t="s">
        <v>1871</v>
      </c>
      <c r="B1502" t="s">
        <v>63</v>
      </c>
      <c r="C1502">
        <v>4</v>
      </c>
      <c r="D1502" t="s">
        <v>3394</v>
      </c>
      <c r="E1502">
        <v>79</v>
      </c>
      <c r="F1502">
        <v>30</v>
      </c>
      <c r="G1502">
        <v>49</v>
      </c>
      <c r="H1502" t="s">
        <v>3494</v>
      </c>
      <c r="I1502" t="s">
        <v>3490</v>
      </c>
      <c r="J1502" t="s">
        <v>2932</v>
      </c>
    </row>
    <row r="1503" spans="1:10" x14ac:dyDescent="0.25">
      <c r="A1503" t="s">
        <v>1871</v>
      </c>
      <c r="B1503" t="s">
        <v>63</v>
      </c>
      <c r="C1503">
        <v>4</v>
      </c>
      <c r="D1503" t="s">
        <v>3396</v>
      </c>
      <c r="E1503">
        <v>87</v>
      </c>
      <c r="F1503">
        <v>20</v>
      </c>
      <c r="G1503">
        <v>67</v>
      </c>
      <c r="H1503" t="s">
        <v>196</v>
      </c>
      <c r="I1503" t="s">
        <v>3490</v>
      </c>
      <c r="J1503" t="s">
        <v>2932</v>
      </c>
    </row>
    <row r="1504" spans="1:10" x14ac:dyDescent="0.25">
      <c r="A1504" t="s">
        <v>1871</v>
      </c>
      <c r="B1504" t="s">
        <v>63</v>
      </c>
      <c r="C1504">
        <v>4</v>
      </c>
      <c r="D1504" t="s">
        <v>3398</v>
      </c>
      <c r="E1504">
        <v>46</v>
      </c>
      <c r="F1504">
        <v>14</v>
      </c>
      <c r="G1504">
        <v>32</v>
      </c>
      <c r="H1504" t="s">
        <v>3491</v>
      </c>
      <c r="I1504" t="s">
        <v>3492</v>
      </c>
      <c r="J1504" t="s">
        <v>2932</v>
      </c>
    </row>
    <row r="1505" spans="1:10" x14ac:dyDescent="0.25">
      <c r="A1505" t="s">
        <v>1871</v>
      </c>
      <c r="B1505" t="s">
        <v>63</v>
      </c>
      <c r="C1505">
        <v>4</v>
      </c>
      <c r="D1505" t="s">
        <v>3400</v>
      </c>
      <c r="E1505">
        <v>39</v>
      </c>
      <c r="F1505">
        <v>12</v>
      </c>
      <c r="G1505">
        <v>27</v>
      </c>
      <c r="H1505" t="s">
        <v>3491</v>
      </c>
      <c r="I1505" t="s">
        <v>3492</v>
      </c>
      <c r="J1505" t="s">
        <v>2932</v>
      </c>
    </row>
    <row r="1506" spans="1:10" x14ac:dyDescent="0.25">
      <c r="A1506" t="s">
        <v>1871</v>
      </c>
      <c r="B1506" t="s">
        <v>63</v>
      </c>
      <c r="C1506">
        <v>4</v>
      </c>
      <c r="D1506" t="s">
        <v>3402</v>
      </c>
      <c r="E1506">
        <v>46</v>
      </c>
      <c r="F1506">
        <v>14</v>
      </c>
      <c r="G1506">
        <v>32</v>
      </c>
      <c r="H1506" t="s">
        <v>3491</v>
      </c>
      <c r="I1506" t="s">
        <v>3492</v>
      </c>
      <c r="J1506" t="s">
        <v>2932</v>
      </c>
    </row>
    <row r="1507" spans="1:10" x14ac:dyDescent="0.25">
      <c r="A1507" t="s">
        <v>1875</v>
      </c>
      <c r="B1507" t="s">
        <v>105</v>
      </c>
      <c r="C1507">
        <v>4</v>
      </c>
      <c r="D1507" t="s">
        <v>3154</v>
      </c>
      <c r="E1507">
        <v>79</v>
      </c>
      <c r="F1507">
        <v>14</v>
      </c>
      <c r="G1507">
        <v>65</v>
      </c>
      <c r="H1507" t="s">
        <v>3494</v>
      </c>
      <c r="I1507" t="s">
        <v>3490</v>
      </c>
      <c r="J1507" t="s">
        <v>2908</v>
      </c>
    </row>
    <row r="1508" spans="1:10" x14ac:dyDescent="0.25">
      <c r="A1508" t="s">
        <v>1875</v>
      </c>
      <c r="B1508" t="s">
        <v>105</v>
      </c>
      <c r="C1508">
        <v>4</v>
      </c>
      <c r="D1508" t="s">
        <v>3156</v>
      </c>
      <c r="E1508">
        <v>62</v>
      </c>
      <c r="F1508">
        <v>24</v>
      </c>
      <c r="G1508">
        <v>38</v>
      </c>
      <c r="H1508" t="s">
        <v>3489</v>
      </c>
      <c r="I1508" t="s">
        <v>3490</v>
      </c>
      <c r="J1508" t="s">
        <v>2908</v>
      </c>
    </row>
    <row r="1509" spans="1:10" x14ac:dyDescent="0.25">
      <c r="A1509" t="s">
        <v>1875</v>
      </c>
      <c r="B1509" t="s">
        <v>105</v>
      </c>
      <c r="C1509">
        <v>4</v>
      </c>
      <c r="D1509" t="s">
        <v>3158</v>
      </c>
      <c r="E1509">
        <v>86</v>
      </c>
      <c r="F1509">
        <v>27</v>
      </c>
      <c r="G1509">
        <v>59</v>
      </c>
      <c r="H1509" t="s">
        <v>196</v>
      </c>
      <c r="I1509" t="s">
        <v>3490</v>
      </c>
      <c r="J1509" t="s">
        <v>2908</v>
      </c>
    </row>
    <row r="1510" spans="1:10" x14ac:dyDescent="0.25">
      <c r="A1510" t="s">
        <v>1875</v>
      </c>
      <c r="B1510" t="s">
        <v>105</v>
      </c>
      <c r="C1510">
        <v>4</v>
      </c>
      <c r="D1510" t="s">
        <v>3160</v>
      </c>
      <c r="E1510">
        <v>88</v>
      </c>
      <c r="F1510">
        <v>25</v>
      </c>
      <c r="G1510">
        <v>63</v>
      </c>
      <c r="H1510" t="s">
        <v>196</v>
      </c>
      <c r="I1510" t="s">
        <v>3490</v>
      </c>
      <c r="J1510" t="s">
        <v>2908</v>
      </c>
    </row>
    <row r="1511" spans="1:10" x14ac:dyDescent="0.25">
      <c r="A1511" t="s">
        <v>1875</v>
      </c>
      <c r="B1511" t="s">
        <v>105</v>
      </c>
      <c r="C1511">
        <v>4</v>
      </c>
      <c r="D1511" t="s">
        <v>3162</v>
      </c>
      <c r="E1511">
        <v>95</v>
      </c>
      <c r="F1511">
        <v>29</v>
      </c>
      <c r="G1511">
        <v>66</v>
      </c>
      <c r="H1511" t="s">
        <v>3495</v>
      </c>
      <c r="I1511" t="s">
        <v>3490</v>
      </c>
      <c r="J1511" t="s">
        <v>2908</v>
      </c>
    </row>
    <row r="1512" spans="1:10" x14ac:dyDescent="0.25">
      <c r="A1512" t="s">
        <v>1880</v>
      </c>
      <c r="B1512" t="s">
        <v>95</v>
      </c>
      <c r="C1512">
        <v>8</v>
      </c>
      <c r="D1512" t="s">
        <v>3234</v>
      </c>
      <c r="E1512">
        <v>60</v>
      </c>
      <c r="F1512">
        <v>12</v>
      </c>
      <c r="G1512">
        <v>48</v>
      </c>
      <c r="H1512" t="s">
        <v>3489</v>
      </c>
      <c r="I1512" t="s">
        <v>3490</v>
      </c>
      <c r="J1512" t="s">
        <v>2889</v>
      </c>
    </row>
    <row r="1513" spans="1:10" x14ac:dyDescent="0.25">
      <c r="A1513" t="s">
        <v>1880</v>
      </c>
      <c r="B1513" t="s">
        <v>95</v>
      </c>
      <c r="C1513">
        <v>8</v>
      </c>
      <c r="D1513" t="s">
        <v>3236</v>
      </c>
      <c r="E1513">
        <v>93</v>
      </c>
      <c r="F1513">
        <v>24</v>
      </c>
      <c r="G1513">
        <v>69</v>
      </c>
      <c r="H1513" t="s">
        <v>3495</v>
      </c>
      <c r="I1513" t="s">
        <v>3490</v>
      </c>
      <c r="J1513" t="s">
        <v>2889</v>
      </c>
    </row>
    <row r="1514" spans="1:10" x14ac:dyDescent="0.25">
      <c r="A1514" t="s">
        <v>1880</v>
      </c>
      <c r="B1514" t="s">
        <v>95</v>
      </c>
      <c r="C1514">
        <v>8</v>
      </c>
      <c r="D1514" t="s">
        <v>3238</v>
      </c>
      <c r="E1514">
        <v>90</v>
      </c>
      <c r="F1514">
        <v>22</v>
      </c>
      <c r="G1514">
        <v>68</v>
      </c>
      <c r="H1514" t="s">
        <v>3495</v>
      </c>
      <c r="I1514" t="s">
        <v>3490</v>
      </c>
      <c r="J1514" t="s">
        <v>2889</v>
      </c>
    </row>
    <row r="1515" spans="1:10" x14ac:dyDescent="0.25">
      <c r="A1515" t="s">
        <v>1880</v>
      </c>
      <c r="B1515" t="s">
        <v>95</v>
      </c>
      <c r="C1515">
        <v>8</v>
      </c>
      <c r="D1515" t="s">
        <v>3240</v>
      </c>
      <c r="E1515">
        <v>51</v>
      </c>
      <c r="F1515">
        <v>16</v>
      </c>
      <c r="G1515">
        <v>35</v>
      </c>
      <c r="H1515" t="s">
        <v>3493</v>
      </c>
      <c r="I1515" t="s">
        <v>3490</v>
      </c>
      <c r="J1515" t="s">
        <v>2889</v>
      </c>
    </row>
    <row r="1516" spans="1:10" x14ac:dyDescent="0.25">
      <c r="A1516" t="s">
        <v>1880</v>
      </c>
      <c r="B1516" t="s">
        <v>95</v>
      </c>
      <c r="C1516">
        <v>8</v>
      </c>
      <c r="D1516" t="s">
        <v>3242</v>
      </c>
      <c r="E1516">
        <v>80</v>
      </c>
      <c r="F1516">
        <v>19</v>
      </c>
      <c r="G1516">
        <v>61</v>
      </c>
      <c r="H1516" t="s">
        <v>196</v>
      </c>
      <c r="I1516" t="s">
        <v>3490</v>
      </c>
      <c r="J1516" t="s">
        <v>2889</v>
      </c>
    </row>
    <row r="1517" spans="1:10" x14ac:dyDescent="0.25">
      <c r="A1517" t="s">
        <v>1886</v>
      </c>
      <c r="B1517" t="s">
        <v>105</v>
      </c>
      <c r="C1517">
        <v>8</v>
      </c>
      <c r="D1517" t="s">
        <v>3174</v>
      </c>
      <c r="E1517">
        <v>93</v>
      </c>
      <c r="F1517">
        <v>30</v>
      </c>
      <c r="G1517">
        <v>63</v>
      </c>
      <c r="H1517" t="s">
        <v>3495</v>
      </c>
      <c r="I1517" t="s">
        <v>3490</v>
      </c>
      <c r="J1517" t="s">
        <v>2908</v>
      </c>
    </row>
    <row r="1518" spans="1:10" x14ac:dyDescent="0.25">
      <c r="A1518" t="s">
        <v>1886</v>
      </c>
      <c r="B1518" t="s">
        <v>105</v>
      </c>
      <c r="C1518">
        <v>8</v>
      </c>
      <c r="D1518" t="s">
        <v>3176</v>
      </c>
      <c r="E1518">
        <v>66</v>
      </c>
      <c r="F1518">
        <v>15</v>
      </c>
      <c r="G1518">
        <v>51</v>
      </c>
      <c r="H1518" t="s">
        <v>3489</v>
      </c>
      <c r="I1518" t="s">
        <v>3490</v>
      </c>
      <c r="J1518" t="s">
        <v>2908</v>
      </c>
    </row>
    <row r="1519" spans="1:10" x14ac:dyDescent="0.25">
      <c r="A1519" t="s">
        <v>1886</v>
      </c>
      <c r="B1519" t="s">
        <v>105</v>
      </c>
      <c r="C1519">
        <v>8</v>
      </c>
      <c r="D1519" t="s">
        <v>3178</v>
      </c>
      <c r="E1519">
        <v>36</v>
      </c>
      <c r="F1519">
        <v>15</v>
      </c>
      <c r="G1519">
        <v>21</v>
      </c>
      <c r="H1519" t="s">
        <v>3491</v>
      </c>
      <c r="I1519" t="s">
        <v>3492</v>
      </c>
      <c r="J1519" t="s">
        <v>2908</v>
      </c>
    </row>
    <row r="1520" spans="1:10" x14ac:dyDescent="0.25">
      <c r="A1520" t="s">
        <v>1886</v>
      </c>
      <c r="B1520" t="s">
        <v>105</v>
      </c>
      <c r="C1520">
        <v>8</v>
      </c>
      <c r="D1520" t="s">
        <v>3180</v>
      </c>
      <c r="E1520">
        <v>71</v>
      </c>
      <c r="F1520">
        <v>16</v>
      </c>
      <c r="G1520">
        <v>55</v>
      </c>
      <c r="H1520" t="s">
        <v>3494</v>
      </c>
      <c r="I1520" t="s">
        <v>3490</v>
      </c>
      <c r="J1520" t="s">
        <v>2908</v>
      </c>
    </row>
    <row r="1521" spans="1:10" x14ac:dyDescent="0.25">
      <c r="A1521" t="s">
        <v>1886</v>
      </c>
      <c r="B1521" t="s">
        <v>105</v>
      </c>
      <c r="C1521">
        <v>8</v>
      </c>
      <c r="D1521" t="s">
        <v>3182</v>
      </c>
      <c r="E1521">
        <v>71</v>
      </c>
      <c r="F1521">
        <v>27</v>
      </c>
      <c r="G1521">
        <v>44</v>
      </c>
      <c r="H1521" t="s">
        <v>3494</v>
      </c>
      <c r="I1521" t="s">
        <v>3490</v>
      </c>
      <c r="J1521" t="s">
        <v>2908</v>
      </c>
    </row>
    <row r="1522" spans="1:10" x14ac:dyDescent="0.25">
      <c r="A1522" t="s">
        <v>1892</v>
      </c>
      <c r="B1522" t="s">
        <v>63</v>
      </c>
      <c r="C1522">
        <v>8</v>
      </c>
      <c r="D1522" t="s">
        <v>3414</v>
      </c>
      <c r="E1522">
        <v>39</v>
      </c>
      <c r="F1522">
        <v>15</v>
      </c>
      <c r="G1522">
        <v>24</v>
      </c>
      <c r="H1522" t="s">
        <v>3491</v>
      </c>
      <c r="I1522" t="s">
        <v>3492</v>
      </c>
      <c r="J1522" t="s">
        <v>2932</v>
      </c>
    </row>
    <row r="1523" spans="1:10" x14ac:dyDescent="0.25">
      <c r="A1523" t="s">
        <v>1892</v>
      </c>
      <c r="B1523" t="s">
        <v>63</v>
      </c>
      <c r="C1523">
        <v>8</v>
      </c>
      <c r="D1523" t="s">
        <v>3416</v>
      </c>
      <c r="E1523">
        <v>67</v>
      </c>
      <c r="F1523">
        <v>25</v>
      </c>
      <c r="G1523">
        <v>42</v>
      </c>
      <c r="H1523" t="s">
        <v>3489</v>
      </c>
      <c r="I1523" t="s">
        <v>3490</v>
      </c>
      <c r="J1523" t="s">
        <v>2932</v>
      </c>
    </row>
    <row r="1524" spans="1:10" x14ac:dyDescent="0.25">
      <c r="A1524" t="s">
        <v>1892</v>
      </c>
      <c r="B1524" t="s">
        <v>63</v>
      </c>
      <c r="C1524">
        <v>8</v>
      </c>
      <c r="D1524" t="s">
        <v>3418</v>
      </c>
      <c r="E1524">
        <v>71</v>
      </c>
      <c r="F1524">
        <v>10</v>
      </c>
      <c r="G1524">
        <v>61</v>
      </c>
      <c r="H1524" t="s">
        <v>3494</v>
      </c>
      <c r="I1524" t="s">
        <v>3490</v>
      </c>
      <c r="J1524" t="s">
        <v>2932</v>
      </c>
    </row>
    <row r="1525" spans="1:10" x14ac:dyDescent="0.25">
      <c r="A1525" t="s">
        <v>1892</v>
      </c>
      <c r="B1525" t="s">
        <v>63</v>
      </c>
      <c r="C1525">
        <v>8</v>
      </c>
      <c r="D1525" t="s">
        <v>3420</v>
      </c>
      <c r="E1525">
        <v>50</v>
      </c>
      <c r="F1525">
        <v>27</v>
      </c>
      <c r="G1525">
        <v>23</v>
      </c>
      <c r="H1525" t="s">
        <v>3493</v>
      </c>
      <c r="I1525" t="s">
        <v>3490</v>
      </c>
      <c r="J1525" t="s">
        <v>2932</v>
      </c>
    </row>
    <row r="1526" spans="1:10" x14ac:dyDescent="0.25">
      <c r="A1526" t="s">
        <v>1892</v>
      </c>
      <c r="B1526" t="s">
        <v>63</v>
      </c>
      <c r="C1526">
        <v>8</v>
      </c>
      <c r="D1526" t="s">
        <v>3422</v>
      </c>
      <c r="E1526">
        <v>70</v>
      </c>
      <c r="F1526">
        <v>12</v>
      </c>
      <c r="G1526">
        <v>58</v>
      </c>
      <c r="H1526" t="s">
        <v>3494</v>
      </c>
      <c r="I1526" t="s">
        <v>3490</v>
      </c>
      <c r="J1526" t="s">
        <v>2932</v>
      </c>
    </row>
    <row r="1527" spans="1:10" x14ac:dyDescent="0.25">
      <c r="A1527" t="s">
        <v>1897</v>
      </c>
      <c r="B1527" t="s">
        <v>95</v>
      </c>
      <c r="C1527">
        <v>8</v>
      </c>
      <c r="D1527" t="s">
        <v>3234</v>
      </c>
      <c r="E1527">
        <v>57</v>
      </c>
      <c r="F1527">
        <v>22</v>
      </c>
      <c r="G1527">
        <v>35</v>
      </c>
      <c r="H1527" t="s">
        <v>3493</v>
      </c>
      <c r="I1527" t="s">
        <v>3490</v>
      </c>
      <c r="J1527" t="s">
        <v>2889</v>
      </c>
    </row>
    <row r="1528" spans="1:10" x14ac:dyDescent="0.25">
      <c r="A1528" t="s">
        <v>1897</v>
      </c>
      <c r="B1528" t="s">
        <v>95</v>
      </c>
      <c r="C1528">
        <v>8</v>
      </c>
      <c r="D1528" t="s">
        <v>3236</v>
      </c>
      <c r="E1528">
        <v>47</v>
      </c>
      <c r="F1528">
        <v>11</v>
      </c>
      <c r="G1528">
        <v>36</v>
      </c>
      <c r="H1528" t="s">
        <v>3491</v>
      </c>
      <c r="I1528" t="s">
        <v>3492</v>
      </c>
      <c r="J1528" t="s">
        <v>2889</v>
      </c>
    </row>
    <row r="1529" spans="1:10" x14ac:dyDescent="0.25">
      <c r="A1529" t="s">
        <v>1897</v>
      </c>
      <c r="B1529" t="s">
        <v>95</v>
      </c>
      <c r="C1529">
        <v>8</v>
      </c>
      <c r="D1529" t="s">
        <v>3238</v>
      </c>
      <c r="E1529">
        <v>85</v>
      </c>
      <c r="F1529">
        <v>20</v>
      </c>
      <c r="G1529">
        <v>65</v>
      </c>
      <c r="H1529" t="s">
        <v>196</v>
      </c>
      <c r="I1529" t="s">
        <v>3490</v>
      </c>
      <c r="J1529" t="s">
        <v>2889</v>
      </c>
    </row>
    <row r="1530" spans="1:10" x14ac:dyDescent="0.25">
      <c r="A1530" t="s">
        <v>1897</v>
      </c>
      <c r="B1530" t="s">
        <v>95</v>
      </c>
      <c r="C1530">
        <v>8</v>
      </c>
      <c r="D1530" t="s">
        <v>3240</v>
      </c>
      <c r="E1530">
        <v>62</v>
      </c>
      <c r="F1530">
        <v>30</v>
      </c>
      <c r="G1530">
        <v>32</v>
      </c>
      <c r="H1530" t="s">
        <v>3489</v>
      </c>
      <c r="I1530" t="s">
        <v>3490</v>
      </c>
      <c r="J1530" t="s">
        <v>2889</v>
      </c>
    </row>
    <row r="1531" spans="1:10" x14ac:dyDescent="0.25">
      <c r="A1531" t="s">
        <v>1897</v>
      </c>
      <c r="B1531" t="s">
        <v>95</v>
      </c>
      <c r="C1531">
        <v>8</v>
      </c>
      <c r="D1531" t="s">
        <v>3242</v>
      </c>
      <c r="E1531">
        <v>55</v>
      </c>
      <c r="F1531">
        <v>11</v>
      </c>
      <c r="G1531">
        <v>44</v>
      </c>
      <c r="H1531" t="s">
        <v>3493</v>
      </c>
      <c r="I1531" t="s">
        <v>3490</v>
      </c>
      <c r="J1531" t="s">
        <v>2889</v>
      </c>
    </row>
    <row r="1532" spans="1:10" x14ac:dyDescent="0.25">
      <c r="A1532" t="s">
        <v>1902</v>
      </c>
      <c r="B1532" t="s">
        <v>30</v>
      </c>
      <c r="C1532">
        <v>4</v>
      </c>
      <c r="D1532" t="s">
        <v>3334</v>
      </c>
      <c r="E1532">
        <v>99</v>
      </c>
      <c r="F1532">
        <v>29</v>
      </c>
      <c r="G1532">
        <v>70</v>
      </c>
      <c r="H1532" t="s">
        <v>3495</v>
      </c>
      <c r="I1532" t="s">
        <v>3490</v>
      </c>
      <c r="J1532" t="s">
        <v>2895</v>
      </c>
    </row>
    <row r="1533" spans="1:10" x14ac:dyDescent="0.25">
      <c r="A1533" t="s">
        <v>1902</v>
      </c>
      <c r="B1533" t="s">
        <v>30</v>
      </c>
      <c r="C1533">
        <v>4</v>
      </c>
      <c r="D1533" t="s">
        <v>3336</v>
      </c>
      <c r="E1533">
        <v>57</v>
      </c>
      <c r="F1533">
        <v>17</v>
      </c>
      <c r="G1533">
        <v>40</v>
      </c>
      <c r="H1533" t="s">
        <v>3493</v>
      </c>
      <c r="I1533" t="s">
        <v>3490</v>
      </c>
      <c r="J1533" t="s">
        <v>2895</v>
      </c>
    </row>
    <row r="1534" spans="1:10" x14ac:dyDescent="0.25">
      <c r="A1534" t="s">
        <v>1902</v>
      </c>
      <c r="B1534" t="s">
        <v>30</v>
      </c>
      <c r="C1534">
        <v>4</v>
      </c>
      <c r="D1534" t="s">
        <v>3338</v>
      </c>
      <c r="E1534">
        <v>79</v>
      </c>
      <c r="F1534">
        <v>27</v>
      </c>
      <c r="G1534">
        <v>52</v>
      </c>
      <c r="H1534" t="s">
        <v>3494</v>
      </c>
      <c r="I1534" t="s">
        <v>3490</v>
      </c>
      <c r="J1534" t="s">
        <v>2895</v>
      </c>
    </row>
    <row r="1535" spans="1:10" x14ac:dyDescent="0.25">
      <c r="A1535" t="s">
        <v>1902</v>
      </c>
      <c r="B1535" t="s">
        <v>30</v>
      </c>
      <c r="C1535">
        <v>4</v>
      </c>
      <c r="D1535" t="s">
        <v>3340</v>
      </c>
      <c r="E1535">
        <v>51</v>
      </c>
      <c r="F1535">
        <v>14</v>
      </c>
      <c r="G1535">
        <v>37</v>
      </c>
      <c r="H1535" t="s">
        <v>3493</v>
      </c>
      <c r="I1535" t="s">
        <v>3490</v>
      </c>
      <c r="J1535" t="s">
        <v>2895</v>
      </c>
    </row>
    <row r="1536" spans="1:10" x14ac:dyDescent="0.25">
      <c r="A1536" t="s">
        <v>1902</v>
      </c>
      <c r="B1536" t="s">
        <v>30</v>
      </c>
      <c r="C1536">
        <v>4</v>
      </c>
      <c r="D1536" t="s">
        <v>3342</v>
      </c>
      <c r="E1536">
        <v>63</v>
      </c>
      <c r="F1536">
        <v>29</v>
      </c>
      <c r="G1536">
        <v>34</v>
      </c>
      <c r="H1536" t="s">
        <v>3489</v>
      </c>
      <c r="I1536" t="s">
        <v>3490</v>
      </c>
      <c r="J1536" t="s">
        <v>2895</v>
      </c>
    </row>
    <row r="1537" spans="1:10" x14ac:dyDescent="0.25">
      <c r="A1537" t="s">
        <v>1907</v>
      </c>
      <c r="B1537" t="s">
        <v>95</v>
      </c>
      <c r="C1537">
        <v>8</v>
      </c>
      <c r="D1537" t="s">
        <v>3234</v>
      </c>
      <c r="E1537">
        <v>54</v>
      </c>
      <c r="F1537">
        <v>20</v>
      </c>
      <c r="G1537">
        <v>34</v>
      </c>
      <c r="H1537" t="s">
        <v>3493</v>
      </c>
      <c r="I1537" t="s">
        <v>3490</v>
      </c>
      <c r="J1537" t="s">
        <v>2889</v>
      </c>
    </row>
    <row r="1538" spans="1:10" x14ac:dyDescent="0.25">
      <c r="A1538" t="s">
        <v>1907</v>
      </c>
      <c r="B1538" t="s">
        <v>95</v>
      </c>
      <c r="C1538">
        <v>8</v>
      </c>
      <c r="D1538" t="s">
        <v>3236</v>
      </c>
      <c r="E1538">
        <v>39</v>
      </c>
      <c r="F1538">
        <v>19</v>
      </c>
      <c r="G1538">
        <v>20</v>
      </c>
      <c r="H1538" t="s">
        <v>3491</v>
      </c>
      <c r="I1538" t="s">
        <v>3492</v>
      </c>
      <c r="J1538" t="s">
        <v>2889</v>
      </c>
    </row>
    <row r="1539" spans="1:10" x14ac:dyDescent="0.25">
      <c r="A1539" t="s">
        <v>1907</v>
      </c>
      <c r="B1539" t="s">
        <v>95</v>
      </c>
      <c r="C1539">
        <v>8</v>
      </c>
      <c r="D1539" t="s">
        <v>3238</v>
      </c>
      <c r="E1539">
        <v>75</v>
      </c>
      <c r="F1539">
        <v>11</v>
      </c>
      <c r="G1539">
        <v>64</v>
      </c>
      <c r="H1539" t="s">
        <v>3494</v>
      </c>
      <c r="I1539" t="s">
        <v>3490</v>
      </c>
      <c r="J1539" t="s">
        <v>2889</v>
      </c>
    </row>
    <row r="1540" spans="1:10" x14ac:dyDescent="0.25">
      <c r="A1540" t="s">
        <v>1907</v>
      </c>
      <c r="B1540" t="s">
        <v>95</v>
      </c>
      <c r="C1540">
        <v>8</v>
      </c>
      <c r="D1540" t="s">
        <v>3240</v>
      </c>
      <c r="E1540">
        <v>97</v>
      </c>
      <c r="F1540">
        <v>30</v>
      </c>
      <c r="G1540">
        <v>67</v>
      </c>
      <c r="H1540" t="s">
        <v>3495</v>
      </c>
      <c r="I1540" t="s">
        <v>3490</v>
      </c>
      <c r="J1540" t="s">
        <v>2889</v>
      </c>
    </row>
    <row r="1541" spans="1:10" x14ac:dyDescent="0.25">
      <c r="A1541" t="s">
        <v>1907</v>
      </c>
      <c r="B1541" t="s">
        <v>95</v>
      </c>
      <c r="C1541">
        <v>8</v>
      </c>
      <c r="D1541" t="s">
        <v>3242</v>
      </c>
      <c r="E1541">
        <v>65</v>
      </c>
      <c r="F1541">
        <v>13</v>
      </c>
      <c r="G1541">
        <v>52</v>
      </c>
      <c r="H1541" t="s">
        <v>3489</v>
      </c>
      <c r="I1541" t="s">
        <v>3490</v>
      </c>
      <c r="J1541" t="s">
        <v>2889</v>
      </c>
    </row>
    <row r="1542" spans="1:10" x14ac:dyDescent="0.25">
      <c r="A1542" t="s">
        <v>1912</v>
      </c>
      <c r="B1542" t="s">
        <v>75</v>
      </c>
      <c r="C1542">
        <v>8</v>
      </c>
      <c r="D1542" t="s">
        <v>3054</v>
      </c>
      <c r="E1542">
        <v>77</v>
      </c>
      <c r="F1542">
        <v>12</v>
      </c>
      <c r="G1542">
        <v>65</v>
      </c>
      <c r="H1542" t="s">
        <v>3494</v>
      </c>
      <c r="I1542" t="s">
        <v>3490</v>
      </c>
      <c r="J1542" t="s">
        <v>2961</v>
      </c>
    </row>
    <row r="1543" spans="1:10" x14ac:dyDescent="0.25">
      <c r="A1543" t="s">
        <v>1912</v>
      </c>
      <c r="B1543" t="s">
        <v>75</v>
      </c>
      <c r="C1543">
        <v>8</v>
      </c>
      <c r="D1543" t="s">
        <v>3056</v>
      </c>
      <c r="E1543">
        <v>70</v>
      </c>
      <c r="F1543">
        <v>22</v>
      </c>
      <c r="G1543">
        <v>48</v>
      </c>
      <c r="H1543" t="s">
        <v>3494</v>
      </c>
      <c r="I1543" t="s">
        <v>3490</v>
      </c>
      <c r="J1543" t="s">
        <v>2961</v>
      </c>
    </row>
    <row r="1544" spans="1:10" x14ac:dyDescent="0.25">
      <c r="A1544" t="s">
        <v>1912</v>
      </c>
      <c r="B1544" t="s">
        <v>75</v>
      </c>
      <c r="C1544">
        <v>8</v>
      </c>
      <c r="D1544" t="s">
        <v>3058</v>
      </c>
      <c r="E1544">
        <v>77</v>
      </c>
      <c r="F1544">
        <v>25</v>
      </c>
      <c r="G1544">
        <v>52</v>
      </c>
      <c r="H1544" t="s">
        <v>3494</v>
      </c>
      <c r="I1544" t="s">
        <v>3490</v>
      </c>
      <c r="J1544" t="s">
        <v>2961</v>
      </c>
    </row>
    <row r="1545" spans="1:10" x14ac:dyDescent="0.25">
      <c r="A1545" t="s">
        <v>1912</v>
      </c>
      <c r="B1545" t="s">
        <v>75</v>
      </c>
      <c r="C1545">
        <v>8</v>
      </c>
      <c r="D1545" t="s">
        <v>3060</v>
      </c>
      <c r="E1545">
        <v>71</v>
      </c>
      <c r="F1545">
        <v>19</v>
      </c>
      <c r="G1545">
        <v>52</v>
      </c>
      <c r="H1545" t="s">
        <v>3494</v>
      </c>
      <c r="I1545" t="s">
        <v>3490</v>
      </c>
      <c r="J1545" t="s">
        <v>2961</v>
      </c>
    </row>
    <row r="1546" spans="1:10" x14ac:dyDescent="0.25">
      <c r="A1546" t="s">
        <v>1912</v>
      </c>
      <c r="B1546" t="s">
        <v>75</v>
      </c>
      <c r="C1546">
        <v>8</v>
      </c>
      <c r="D1546" t="s">
        <v>3062</v>
      </c>
      <c r="E1546">
        <v>59</v>
      </c>
      <c r="F1546">
        <v>12</v>
      </c>
      <c r="G1546">
        <v>47</v>
      </c>
      <c r="H1546" t="s">
        <v>3493</v>
      </c>
      <c r="I1546" t="s">
        <v>3490</v>
      </c>
      <c r="J1546" t="s">
        <v>2961</v>
      </c>
    </row>
    <row r="1547" spans="1:10" x14ac:dyDescent="0.25">
      <c r="A1547" t="s">
        <v>1917</v>
      </c>
      <c r="B1547" t="s">
        <v>212</v>
      </c>
      <c r="C1547">
        <v>4</v>
      </c>
      <c r="D1547" t="s">
        <v>3454</v>
      </c>
      <c r="E1547">
        <v>52</v>
      </c>
      <c r="F1547">
        <v>21</v>
      </c>
      <c r="G1547">
        <v>31</v>
      </c>
      <c r="H1547" t="s">
        <v>3493</v>
      </c>
      <c r="I1547" t="s">
        <v>3490</v>
      </c>
      <c r="J1547" t="s">
        <v>3001</v>
      </c>
    </row>
    <row r="1548" spans="1:10" x14ac:dyDescent="0.25">
      <c r="A1548" t="s">
        <v>1917</v>
      </c>
      <c r="B1548" t="s">
        <v>212</v>
      </c>
      <c r="C1548">
        <v>4</v>
      </c>
      <c r="D1548" t="s">
        <v>3456</v>
      </c>
      <c r="E1548">
        <v>54</v>
      </c>
      <c r="F1548">
        <v>18</v>
      </c>
      <c r="G1548">
        <v>36</v>
      </c>
      <c r="H1548" t="s">
        <v>3493</v>
      </c>
      <c r="I1548" t="s">
        <v>3490</v>
      </c>
      <c r="J1548" t="s">
        <v>3001</v>
      </c>
    </row>
    <row r="1549" spans="1:10" x14ac:dyDescent="0.25">
      <c r="A1549" t="s">
        <v>1917</v>
      </c>
      <c r="B1549" t="s">
        <v>212</v>
      </c>
      <c r="C1549">
        <v>4</v>
      </c>
      <c r="D1549" t="s">
        <v>3458</v>
      </c>
      <c r="E1549">
        <v>80</v>
      </c>
      <c r="F1549">
        <v>18</v>
      </c>
      <c r="G1549">
        <v>62</v>
      </c>
      <c r="H1549" t="s">
        <v>196</v>
      </c>
      <c r="I1549" t="s">
        <v>3490</v>
      </c>
      <c r="J1549" t="s">
        <v>3001</v>
      </c>
    </row>
    <row r="1550" spans="1:10" x14ac:dyDescent="0.25">
      <c r="A1550" t="s">
        <v>1917</v>
      </c>
      <c r="B1550" t="s">
        <v>212</v>
      </c>
      <c r="C1550">
        <v>4</v>
      </c>
      <c r="D1550" t="s">
        <v>3460</v>
      </c>
      <c r="E1550">
        <v>57</v>
      </c>
      <c r="F1550">
        <v>21</v>
      </c>
      <c r="G1550">
        <v>36</v>
      </c>
      <c r="H1550" t="s">
        <v>3493</v>
      </c>
      <c r="I1550" t="s">
        <v>3490</v>
      </c>
      <c r="J1550" t="s">
        <v>3001</v>
      </c>
    </row>
    <row r="1551" spans="1:10" x14ac:dyDescent="0.25">
      <c r="A1551" t="s">
        <v>1917</v>
      </c>
      <c r="B1551" t="s">
        <v>212</v>
      </c>
      <c r="C1551">
        <v>4</v>
      </c>
      <c r="D1551" t="s">
        <v>3462</v>
      </c>
      <c r="E1551">
        <v>65</v>
      </c>
      <c r="F1551">
        <v>18</v>
      </c>
      <c r="G1551">
        <v>47</v>
      </c>
      <c r="H1551" t="s">
        <v>3489</v>
      </c>
      <c r="I1551" t="s">
        <v>3490</v>
      </c>
      <c r="J1551" t="s">
        <v>3001</v>
      </c>
    </row>
    <row r="1552" spans="1:10" x14ac:dyDescent="0.25">
      <c r="A1552" t="s">
        <v>1922</v>
      </c>
      <c r="B1552" t="s">
        <v>159</v>
      </c>
      <c r="C1552">
        <v>8</v>
      </c>
      <c r="D1552" t="s">
        <v>3114</v>
      </c>
      <c r="E1552">
        <v>65</v>
      </c>
      <c r="F1552">
        <v>11</v>
      </c>
      <c r="G1552">
        <v>54</v>
      </c>
      <c r="H1552" t="s">
        <v>3489</v>
      </c>
      <c r="I1552" t="s">
        <v>3490</v>
      </c>
      <c r="J1552" t="s">
        <v>2902</v>
      </c>
    </row>
    <row r="1553" spans="1:10" x14ac:dyDescent="0.25">
      <c r="A1553" t="s">
        <v>1922</v>
      </c>
      <c r="B1553" t="s">
        <v>159</v>
      </c>
      <c r="C1553">
        <v>8</v>
      </c>
      <c r="D1553" t="s">
        <v>3116</v>
      </c>
      <c r="E1553">
        <v>70</v>
      </c>
      <c r="F1553">
        <v>16</v>
      </c>
      <c r="G1553">
        <v>54</v>
      </c>
      <c r="H1553" t="s">
        <v>3494</v>
      </c>
      <c r="I1553" t="s">
        <v>3490</v>
      </c>
      <c r="J1553" t="s">
        <v>2902</v>
      </c>
    </row>
    <row r="1554" spans="1:10" x14ac:dyDescent="0.25">
      <c r="A1554" t="s">
        <v>1922</v>
      </c>
      <c r="B1554" t="s">
        <v>159</v>
      </c>
      <c r="C1554">
        <v>8</v>
      </c>
      <c r="D1554" t="s">
        <v>3118</v>
      </c>
      <c r="E1554">
        <v>85</v>
      </c>
      <c r="F1554">
        <v>21</v>
      </c>
      <c r="G1554">
        <v>64</v>
      </c>
      <c r="H1554" t="s">
        <v>196</v>
      </c>
      <c r="I1554" t="s">
        <v>3490</v>
      </c>
      <c r="J1554" t="s">
        <v>2902</v>
      </c>
    </row>
    <row r="1555" spans="1:10" x14ac:dyDescent="0.25">
      <c r="A1555" t="s">
        <v>1922</v>
      </c>
      <c r="B1555" t="s">
        <v>159</v>
      </c>
      <c r="C1555">
        <v>8</v>
      </c>
      <c r="D1555" t="s">
        <v>3120</v>
      </c>
      <c r="E1555">
        <v>62</v>
      </c>
      <c r="F1555">
        <v>12</v>
      </c>
      <c r="G1555">
        <v>50</v>
      </c>
      <c r="H1555" t="s">
        <v>3489</v>
      </c>
      <c r="I1555" t="s">
        <v>3490</v>
      </c>
      <c r="J1555" t="s">
        <v>2902</v>
      </c>
    </row>
    <row r="1556" spans="1:10" x14ac:dyDescent="0.25">
      <c r="A1556" t="s">
        <v>1922</v>
      </c>
      <c r="B1556" t="s">
        <v>159</v>
      </c>
      <c r="C1556">
        <v>8</v>
      </c>
      <c r="D1556" t="s">
        <v>3122</v>
      </c>
      <c r="E1556">
        <v>88</v>
      </c>
      <c r="F1556">
        <v>29</v>
      </c>
      <c r="G1556">
        <v>59</v>
      </c>
      <c r="H1556" t="s">
        <v>196</v>
      </c>
      <c r="I1556" t="s">
        <v>3490</v>
      </c>
      <c r="J1556" t="s">
        <v>2902</v>
      </c>
    </row>
    <row r="1557" spans="1:10" x14ac:dyDescent="0.25">
      <c r="A1557" t="s">
        <v>1927</v>
      </c>
      <c r="B1557" t="s">
        <v>122</v>
      </c>
      <c r="C1557">
        <v>6</v>
      </c>
      <c r="D1557" t="s">
        <v>3294</v>
      </c>
      <c r="E1557">
        <v>64</v>
      </c>
      <c r="F1557">
        <v>16</v>
      </c>
      <c r="G1557">
        <v>48</v>
      </c>
      <c r="H1557" t="s">
        <v>3489</v>
      </c>
      <c r="I1557" t="s">
        <v>3490</v>
      </c>
      <c r="J1557" t="s">
        <v>2919</v>
      </c>
    </row>
    <row r="1558" spans="1:10" x14ac:dyDescent="0.25">
      <c r="A1558" t="s">
        <v>1927</v>
      </c>
      <c r="B1558" t="s">
        <v>122</v>
      </c>
      <c r="C1558">
        <v>6</v>
      </c>
      <c r="D1558" t="s">
        <v>3296</v>
      </c>
      <c r="E1558">
        <v>53</v>
      </c>
      <c r="F1558">
        <v>27</v>
      </c>
      <c r="G1558">
        <v>26</v>
      </c>
      <c r="H1558" t="s">
        <v>3493</v>
      </c>
      <c r="I1558" t="s">
        <v>3490</v>
      </c>
      <c r="J1558" t="s">
        <v>2919</v>
      </c>
    </row>
    <row r="1559" spans="1:10" x14ac:dyDescent="0.25">
      <c r="A1559" t="s">
        <v>1927</v>
      </c>
      <c r="B1559" t="s">
        <v>122</v>
      </c>
      <c r="C1559">
        <v>6</v>
      </c>
      <c r="D1559" t="s">
        <v>3298</v>
      </c>
      <c r="E1559">
        <v>71</v>
      </c>
      <c r="F1559">
        <v>10</v>
      </c>
      <c r="G1559">
        <v>61</v>
      </c>
      <c r="H1559" t="s">
        <v>3494</v>
      </c>
      <c r="I1559" t="s">
        <v>3490</v>
      </c>
      <c r="J1559" t="s">
        <v>2919</v>
      </c>
    </row>
    <row r="1560" spans="1:10" x14ac:dyDescent="0.25">
      <c r="A1560" t="s">
        <v>1927</v>
      </c>
      <c r="B1560" t="s">
        <v>122</v>
      </c>
      <c r="C1560">
        <v>6</v>
      </c>
      <c r="D1560" t="s">
        <v>3300</v>
      </c>
      <c r="E1560">
        <v>98</v>
      </c>
      <c r="F1560">
        <v>30</v>
      </c>
      <c r="G1560">
        <v>68</v>
      </c>
      <c r="H1560" t="s">
        <v>3495</v>
      </c>
      <c r="I1560" t="s">
        <v>3490</v>
      </c>
      <c r="J1560" t="s">
        <v>2919</v>
      </c>
    </row>
    <row r="1561" spans="1:10" x14ac:dyDescent="0.25">
      <c r="A1561" t="s">
        <v>1927</v>
      </c>
      <c r="B1561" t="s">
        <v>122</v>
      </c>
      <c r="C1561">
        <v>6</v>
      </c>
      <c r="D1561" t="s">
        <v>3302</v>
      </c>
      <c r="E1561">
        <v>55</v>
      </c>
      <c r="F1561">
        <v>20</v>
      </c>
      <c r="G1561">
        <v>35</v>
      </c>
      <c r="H1561" t="s">
        <v>3493</v>
      </c>
      <c r="I1561" t="s">
        <v>3490</v>
      </c>
      <c r="J1561" t="s">
        <v>2919</v>
      </c>
    </row>
    <row r="1562" spans="1:10" x14ac:dyDescent="0.25">
      <c r="A1562" t="s">
        <v>1932</v>
      </c>
      <c r="B1562" t="s">
        <v>159</v>
      </c>
      <c r="C1562">
        <v>4</v>
      </c>
      <c r="D1562" t="s">
        <v>3094</v>
      </c>
      <c r="E1562">
        <v>88</v>
      </c>
      <c r="F1562">
        <v>30</v>
      </c>
      <c r="G1562">
        <v>58</v>
      </c>
      <c r="H1562" t="s">
        <v>196</v>
      </c>
      <c r="I1562" t="s">
        <v>3490</v>
      </c>
      <c r="J1562" t="s">
        <v>2902</v>
      </c>
    </row>
    <row r="1563" spans="1:10" x14ac:dyDescent="0.25">
      <c r="A1563" t="s">
        <v>1932</v>
      </c>
      <c r="B1563" t="s">
        <v>159</v>
      </c>
      <c r="C1563">
        <v>4</v>
      </c>
      <c r="D1563" t="s">
        <v>3096</v>
      </c>
      <c r="E1563">
        <v>42</v>
      </c>
      <c r="F1563">
        <v>13</v>
      </c>
      <c r="G1563">
        <v>29</v>
      </c>
      <c r="H1563" t="s">
        <v>3491</v>
      </c>
      <c r="I1563" t="s">
        <v>3492</v>
      </c>
      <c r="J1563" t="s">
        <v>2902</v>
      </c>
    </row>
    <row r="1564" spans="1:10" x14ac:dyDescent="0.25">
      <c r="A1564" t="s">
        <v>1932</v>
      </c>
      <c r="B1564" t="s">
        <v>159</v>
      </c>
      <c r="C1564">
        <v>4</v>
      </c>
      <c r="D1564" t="s">
        <v>3098</v>
      </c>
      <c r="E1564">
        <v>76</v>
      </c>
      <c r="F1564">
        <v>27</v>
      </c>
      <c r="G1564">
        <v>49</v>
      </c>
      <c r="H1564" t="s">
        <v>3494</v>
      </c>
      <c r="I1564" t="s">
        <v>3490</v>
      </c>
      <c r="J1564" t="s">
        <v>2902</v>
      </c>
    </row>
    <row r="1565" spans="1:10" x14ac:dyDescent="0.25">
      <c r="A1565" t="s">
        <v>1932</v>
      </c>
      <c r="B1565" t="s">
        <v>159</v>
      </c>
      <c r="C1565">
        <v>4</v>
      </c>
      <c r="D1565" t="s">
        <v>3100</v>
      </c>
      <c r="E1565">
        <v>78</v>
      </c>
      <c r="F1565">
        <v>26</v>
      </c>
      <c r="G1565">
        <v>52</v>
      </c>
      <c r="H1565" t="s">
        <v>3494</v>
      </c>
      <c r="I1565" t="s">
        <v>3490</v>
      </c>
      <c r="J1565" t="s">
        <v>2902</v>
      </c>
    </row>
    <row r="1566" spans="1:10" x14ac:dyDescent="0.25">
      <c r="A1566" t="s">
        <v>1932</v>
      </c>
      <c r="B1566" t="s">
        <v>159</v>
      </c>
      <c r="C1566">
        <v>4</v>
      </c>
      <c r="D1566" t="s">
        <v>3102</v>
      </c>
      <c r="E1566">
        <v>72</v>
      </c>
      <c r="F1566">
        <v>18</v>
      </c>
      <c r="G1566">
        <v>54</v>
      </c>
      <c r="H1566" t="s">
        <v>3494</v>
      </c>
      <c r="I1566" t="s">
        <v>3490</v>
      </c>
      <c r="J1566" t="s">
        <v>2902</v>
      </c>
    </row>
    <row r="1567" spans="1:10" x14ac:dyDescent="0.25">
      <c r="A1567" t="s">
        <v>1937</v>
      </c>
      <c r="B1567" t="s">
        <v>63</v>
      </c>
      <c r="C1567">
        <v>6</v>
      </c>
      <c r="D1567" t="s">
        <v>3414</v>
      </c>
      <c r="E1567">
        <v>81</v>
      </c>
      <c r="F1567">
        <v>22</v>
      </c>
      <c r="G1567">
        <v>59</v>
      </c>
      <c r="H1567" t="s">
        <v>196</v>
      </c>
      <c r="I1567" t="s">
        <v>3490</v>
      </c>
      <c r="J1567" t="s">
        <v>2932</v>
      </c>
    </row>
    <row r="1568" spans="1:10" x14ac:dyDescent="0.25">
      <c r="A1568" t="s">
        <v>1937</v>
      </c>
      <c r="B1568" t="s">
        <v>63</v>
      </c>
      <c r="C1568">
        <v>6</v>
      </c>
      <c r="D1568" t="s">
        <v>3416</v>
      </c>
      <c r="E1568">
        <v>85</v>
      </c>
      <c r="F1568">
        <v>28</v>
      </c>
      <c r="G1568">
        <v>57</v>
      </c>
      <c r="H1568" t="s">
        <v>196</v>
      </c>
      <c r="I1568" t="s">
        <v>3490</v>
      </c>
      <c r="J1568" t="s">
        <v>2932</v>
      </c>
    </row>
    <row r="1569" spans="1:10" x14ac:dyDescent="0.25">
      <c r="A1569" t="s">
        <v>1937</v>
      </c>
      <c r="B1569" t="s">
        <v>63</v>
      </c>
      <c r="C1569">
        <v>6</v>
      </c>
      <c r="D1569" t="s">
        <v>3418</v>
      </c>
      <c r="E1569">
        <v>80</v>
      </c>
      <c r="F1569">
        <v>23</v>
      </c>
      <c r="G1569">
        <v>57</v>
      </c>
      <c r="H1569" t="s">
        <v>196</v>
      </c>
      <c r="I1569" t="s">
        <v>3490</v>
      </c>
      <c r="J1569" t="s">
        <v>2932</v>
      </c>
    </row>
    <row r="1570" spans="1:10" x14ac:dyDescent="0.25">
      <c r="A1570" t="s">
        <v>1937</v>
      </c>
      <c r="B1570" t="s">
        <v>63</v>
      </c>
      <c r="C1570">
        <v>6</v>
      </c>
      <c r="D1570" t="s">
        <v>3420</v>
      </c>
      <c r="E1570">
        <v>78</v>
      </c>
      <c r="F1570">
        <v>26</v>
      </c>
      <c r="G1570">
        <v>52</v>
      </c>
      <c r="H1570" t="s">
        <v>3494</v>
      </c>
      <c r="I1570" t="s">
        <v>3490</v>
      </c>
      <c r="J1570" t="s">
        <v>2932</v>
      </c>
    </row>
    <row r="1571" spans="1:10" x14ac:dyDescent="0.25">
      <c r="A1571" t="s">
        <v>1937</v>
      </c>
      <c r="B1571" t="s">
        <v>63</v>
      </c>
      <c r="C1571">
        <v>6</v>
      </c>
      <c r="D1571" t="s">
        <v>3422</v>
      </c>
      <c r="E1571">
        <v>82</v>
      </c>
      <c r="F1571">
        <v>14</v>
      </c>
      <c r="G1571">
        <v>68</v>
      </c>
      <c r="H1571" t="s">
        <v>196</v>
      </c>
      <c r="I1571" t="s">
        <v>3490</v>
      </c>
      <c r="J1571" t="s">
        <v>2932</v>
      </c>
    </row>
    <row r="1572" spans="1:10" x14ac:dyDescent="0.25">
      <c r="A1572" t="s">
        <v>1942</v>
      </c>
      <c r="B1572" t="s">
        <v>105</v>
      </c>
      <c r="C1572">
        <v>4</v>
      </c>
      <c r="D1572" t="s">
        <v>3154</v>
      </c>
      <c r="E1572">
        <v>52</v>
      </c>
      <c r="F1572">
        <v>29</v>
      </c>
      <c r="G1572">
        <v>23</v>
      </c>
      <c r="H1572" t="s">
        <v>3493</v>
      </c>
      <c r="I1572" t="s">
        <v>3490</v>
      </c>
      <c r="J1572" t="s">
        <v>2908</v>
      </c>
    </row>
    <row r="1573" spans="1:10" x14ac:dyDescent="0.25">
      <c r="A1573" t="s">
        <v>1942</v>
      </c>
      <c r="B1573" t="s">
        <v>105</v>
      </c>
      <c r="C1573">
        <v>4</v>
      </c>
      <c r="D1573" t="s">
        <v>3156</v>
      </c>
      <c r="E1573">
        <v>59</v>
      </c>
      <c r="F1573">
        <v>19</v>
      </c>
      <c r="G1573">
        <v>40</v>
      </c>
      <c r="H1573" t="s">
        <v>3493</v>
      </c>
      <c r="I1573" t="s">
        <v>3490</v>
      </c>
      <c r="J1573" t="s">
        <v>2908</v>
      </c>
    </row>
    <row r="1574" spans="1:10" x14ac:dyDescent="0.25">
      <c r="A1574" t="s">
        <v>1942</v>
      </c>
      <c r="B1574" t="s">
        <v>105</v>
      </c>
      <c r="C1574">
        <v>4</v>
      </c>
      <c r="D1574" t="s">
        <v>3158</v>
      </c>
      <c r="E1574">
        <v>82</v>
      </c>
      <c r="F1574">
        <v>25</v>
      </c>
      <c r="G1574">
        <v>57</v>
      </c>
      <c r="H1574" t="s">
        <v>196</v>
      </c>
      <c r="I1574" t="s">
        <v>3490</v>
      </c>
      <c r="J1574" t="s">
        <v>2908</v>
      </c>
    </row>
    <row r="1575" spans="1:10" x14ac:dyDescent="0.25">
      <c r="A1575" t="s">
        <v>1942</v>
      </c>
      <c r="B1575" t="s">
        <v>105</v>
      </c>
      <c r="C1575">
        <v>4</v>
      </c>
      <c r="D1575" t="s">
        <v>3160</v>
      </c>
      <c r="E1575">
        <v>64</v>
      </c>
      <c r="F1575">
        <v>14</v>
      </c>
      <c r="G1575">
        <v>50</v>
      </c>
      <c r="H1575" t="s">
        <v>3489</v>
      </c>
      <c r="I1575" t="s">
        <v>3490</v>
      </c>
      <c r="J1575" t="s">
        <v>2908</v>
      </c>
    </row>
    <row r="1576" spans="1:10" x14ac:dyDescent="0.25">
      <c r="A1576" t="s">
        <v>1942</v>
      </c>
      <c r="B1576" t="s">
        <v>105</v>
      </c>
      <c r="C1576">
        <v>4</v>
      </c>
      <c r="D1576" t="s">
        <v>3162</v>
      </c>
      <c r="E1576">
        <v>50</v>
      </c>
      <c r="F1576">
        <v>13</v>
      </c>
      <c r="G1576">
        <v>37</v>
      </c>
      <c r="H1576" t="s">
        <v>3493</v>
      </c>
      <c r="I1576" t="s">
        <v>3490</v>
      </c>
      <c r="J1576" t="s">
        <v>2908</v>
      </c>
    </row>
    <row r="1577" spans="1:10" x14ac:dyDescent="0.25">
      <c r="A1577" t="s">
        <v>1947</v>
      </c>
      <c r="B1577" t="s">
        <v>159</v>
      </c>
      <c r="C1577">
        <v>4</v>
      </c>
      <c r="D1577" t="s">
        <v>3094</v>
      </c>
      <c r="E1577">
        <v>87</v>
      </c>
      <c r="F1577">
        <v>24</v>
      </c>
      <c r="G1577">
        <v>63</v>
      </c>
      <c r="H1577" t="s">
        <v>196</v>
      </c>
      <c r="I1577" t="s">
        <v>3490</v>
      </c>
      <c r="J1577" t="s">
        <v>2902</v>
      </c>
    </row>
    <row r="1578" spans="1:10" x14ac:dyDescent="0.25">
      <c r="A1578" t="s">
        <v>1947</v>
      </c>
      <c r="B1578" t="s">
        <v>159</v>
      </c>
      <c r="C1578">
        <v>4</v>
      </c>
      <c r="D1578" t="s">
        <v>3096</v>
      </c>
      <c r="E1578">
        <v>50</v>
      </c>
      <c r="F1578">
        <v>14</v>
      </c>
      <c r="G1578">
        <v>36</v>
      </c>
      <c r="H1578" t="s">
        <v>3493</v>
      </c>
      <c r="I1578" t="s">
        <v>3490</v>
      </c>
      <c r="J1578" t="s">
        <v>2902</v>
      </c>
    </row>
    <row r="1579" spans="1:10" x14ac:dyDescent="0.25">
      <c r="A1579" t="s">
        <v>1947</v>
      </c>
      <c r="B1579" t="s">
        <v>159</v>
      </c>
      <c r="C1579">
        <v>4</v>
      </c>
      <c r="D1579" t="s">
        <v>3098</v>
      </c>
      <c r="E1579">
        <v>56</v>
      </c>
      <c r="F1579">
        <v>22</v>
      </c>
      <c r="G1579">
        <v>34</v>
      </c>
      <c r="H1579" t="s">
        <v>3493</v>
      </c>
      <c r="I1579" t="s">
        <v>3490</v>
      </c>
      <c r="J1579" t="s">
        <v>2902</v>
      </c>
    </row>
    <row r="1580" spans="1:10" x14ac:dyDescent="0.25">
      <c r="A1580" t="s">
        <v>1947</v>
      </c>
      <c r="B1580" t="s">
        <v>159</v>
      </c>
      <c r="C1580">
        <v>4</v>
      </c>
      <c r="D1580" t="s">
        <v>3100</v>
      </c>
      <c r="E1580">
        <v>36</v>
      </c>
      <c r="F1580">
        <v>11</v>
      </c>
      <c r="G1580">
        <v>25</v>
      </c>
      <c r="H1580" t="s">
        <v>3491</v>
      </c>
      <c r="I1580" t="s">
        <v>3492</v>
      </c>
      <c r="J1580" t="s">
        <v>2902</v>
      </c>
    </row>
    <row r="1581" spans="1:10" x14ac:dyDescent="0.25">
      <c r="A1581" t="s">
        <v>1947</v>
      </c>
      <c r="B1581" t="s">
        <v>159</v>
      </c>
      <c r="C1581">
        <v>4</v>
      </c>
      <c r="D1581" t="s">
        <v>3102</v>
      </c>
      <c r="E1581">
        <v>83</v>
      </c>
      <c r="F1581">
        <v>29</v>
      </c>
      <c r="G1581">
        <v>54</v>
      </c>
      <c r="H1581" t="s">
        <v>196</v>
      </c>
      <c r="I1581" t="s">
        <v>3490</v>
      </c>
      <c r="J1581" t="s">
        <v>2902</v>
      </c>
    </row>
    <row r="1582" spans="1:10" x14ac:dyDescent="0.25">
      <c r="A1582" t="s">
        <v>1953</v>
      </c>
      <c r="B1582" t="s">
        <v>212</v>
      </c>
      <c r="C1582">
        <v>8</v>
      </c>
      <c r="D1582" t="s">
        <v>3474</v>
      </c>
      <c r="E1582">
        <v>87</v>
      </c>
      <c r="F1582">
        <v>22</v>
      </c>
      <c r="G1582">
        <v>65</v>
      </c>
      <c r="H1582" t="s">
        <v>196</v>
      </c>
      <c r="I1582" t="s">
        <v>3490</v>
      </c>
      <c r="J1582" t="s">
        <v>3001</v>
      </c>
    </row>
    <row r="1583" spans="1:10" x14ac:dyDescent="0.25">
      <c r="A1583" t="s">
        <v>1953</v>
      </c>
      <c r="B1583" t="s">
        <v>212</v>
      </c>
      <c r="C1583">
        <v>8</v>
      </c>
      <c r="D1583" t="s">
        <v>3476</v>
      </c>
      <c r="E1583">
        <v>49</v>
      </c>
      <c r="F1583">
        <v>18</v>
      </c>
      <c r="G1583">
        <v>31</v>
      </c>
      <c r="H1583" t="s">
        <v>3491</v>
      </c>
      <c r="I1583" t="s">
        <v>3492</v>
      </c>
      <c r="J1583" t="s">
        <v>3001</v>
      </c>
    </row>
    <row r="1584" spans="1:10" x14ac:dyDescent="0.25">
      <c r="A1584" t="s">
        <v>1953</v>
      </c>
      <c r="B1584" t="s">
        <v>212</v>
      </c>
      <c r="C1584">
        <v>8</v>
      </c>
      <c r="D1584" t="s">
        <v>3478</v>
      </c>
      <c r="E1584">
        <v>46</v>
      </c>
      <c r="F1584">
        <v>18</v>
      </c>
      <c r="G1584">
        <v>28</v>
      </c>
      <c r="H1584" t="s">
        <v>3491</v>
      </c>
      <c r="I1584" t="s">
        <v>3492</v>
      </c>
      <c r="J1584" t="s">
        <v>3001</v>
      </c>
    </row>
    <row r="1585" spans="1:10" x14ac:dyDescent="0.25">
      <c r="A1585" t="s">
        <v>1953</v>
      </c>
      <c r="B1585" t="s">
        <v>212</v>
      </c>
      <c r="C1585">
        <v>8</v>
      </c>
      <c r="D1585" t="s">
        <v>3480</v>
      </c>
      <c r="E1585">
        <v>71</v>
      </c>
      <c r="F1585">
        <v>16</v>
      </c>
      <c r="G1585">
        <v>55</v>
      </c>
      <c r="H1585" t="s">
        <v>3494</v>
      </c>
      <c r="I1585" t="s">
        <v>3490</v>
      </c>
      <c r="J1585" t="s">
        <v>3001</v>
      </c>
    </row>
    <row r="1586" spans="1:10" x14ac:dyDescent="0.25">
      <c r="A1586" t="s">
        <v>1953</v>
      </c>
      <c r="B1586" t="s">
        <v>212</v>
      </c>
      <c r="C1586">
        <v>8</v>
      </c>
      <c r="D1586" t="s">
        <v>3482</v>
      </c>
      <c r="E1586">
        <v>64</v>
      </c>
      <c r="F1586">
        <v>30</v>
      </c>
      <c r="G1586">
        <v>34</v>
      </c>
      <c r="H1586" t="s">
        <v>3489</v>
      </c>
      <c r="I1586" t="s">
        <v>3490</v>
      </c>
      <c r="J1586" t="s">
        <v>3001</v>
      </c>
    </row>
    <row r="1587" spans="1:10" x14ac:dyDescent="0.25">
      <c r="A1587" t="s">
        <v>1958</v>
      </c>
      <c r="B1587" t="s">
        <v>63</v>
      </c>
      <c r="C1587">
        <v>6</v>
      </c>
      <c r="D1587" t="s">
        <v>3414</v>
      </c>
      <c r="E1587">
        <v>76</v>
      </c>
      <c r="F1587">
        <v>28</v>
      </c>
      <c r="G1587">
        <v>48</v>
      </c>
      <c r="H1587" t="s">
        <v>3494</v>
      </c>
      <c r="I1587" t="s">
        <v>3490</v>
      </c>
      <c r="J1587" t="s">
        <v>2932</v>
      </c>
    </row>
    <row r="1588" spans="1:10" x14ac:dyDescent="0.25">
      <c r="A1588" t="s">
        <v>1958</v>
      </c>
      <c r="B1588" t="s">
        <v>63</v>
      </c>
      <c r="C1588">
        <v>6</v>
      </c>
      <c r="D1588" t="s">
        <v>3416</v>
      </c>
      <c r="E1588">
        <v>68</v>
      </c>
      <c r="F1588">
        <v>15</v>
      </c>
      <c r="G1588">
        <v>53</v>
      </c>
      <c r="H1588" t="s">
        <v>3489</v>
      </c>
      <c r="I1588" t="s">
        <v>3490</v>
      </c>
      <c r="J1588" t="s">
        <v>2932</v>
      </c>
    </row>
    <row r="1589" spans="1:10" x14ac:dyDescent="0.25">
      <c r="A1589" t="s">
        <v>1958</v>
      </c>
      <c r="B1589" t="s">
        <v>63</v>
      </c>
      <c r="C1589">
        <v>6</v>
      </c>
      <c r="D1589" t="s">
        <v>3418</v>
      </c>
      <c r="E1589">
        <v>52</v>
      </c>
      <c r="F1589">
        <v>17</v>
      </c>
      <c r="G1589">
        <v>35</v>
      </c>
      <c r="H1589" t="s">
        <v>3493</v>
      </c>
      <c r="I1589" t="s">
        <v>3490</v>
      </c>
      <c r="J1589" t="s">
        <v>2932</v>
      </c>
    </row>
    <row r="1590" spans="1:10" x14ac:dyDescent="0.25">
      <c r="A1590" t="s">
        <v>1958</v>
      </c>
      <c r="B1590" t="s">
        <v>63</v>
      </c>
      <c r="C1590">
        <v>6</v>
      </c>
      <c r="D1590" t="s">
        <v>3420</v>
      </c>
      <c r="E1590">
        <v>98</v>
      </c>
      <c r="F1590">
        <v>28</v>
      </c>
      <c r="G1590">
        <v>70</v>
      </c>
      <c r="H1590" t="s">
        <v>3495</v>
      </c>
      <c r="I1590" t="s">
        <v>3490</v>
      </c>
      <c r="J1590" t="s">
        <v>2932</v>
      </c>
    </row>
    <row r="1591" spans="1:10" x14ac:dyDescent="0.25">
      <c r="A1591" t="s">
        <v>1958</v>
      </c>
      <c r="B1591" t="s">
        <v>63</v>
      </c>
      <c r="C1591">
        <v>6</v>
      </c>
      <c r="D1591" t="s">
        <v>3422</v>
      </c>
      <c r="E1591">
        <v>42</v>
      </c>
      <c r="F1591">
        <v>13</v>
      </c>
      <c r="G1591">
        <v>29</v>
      </c>
      <c r="H1591" t="s">
        <v>3491</v>
      </c>
      <c r="I1591" t="s">
        <v>3492</v>
      </c>
      <c r="J1591" t="s">
        <v>2932</v>
      </c>
    </row>
    <row r="1592" spans="1:10" x14ac:dyDescent="0.25">
      <c r="A1592" t="s">
        <v>1963</v>
      </c>
      <c r="B1592" t="s">
        <v>105</v>
      </c>
      <c r="C1592">
        <v>8</v>
      </c>
      <c r="D1592" t="s">
        <v>3174</v>
      </c>
      <c r="E1592">
        <v>74</v>
      </c>
      <c r="F1592">
        <v>13</v>
      </c>
      <c r="G1592">
        <v>61</v>
      </c>
      <c r="H1592" t="s">
        <v>3494</v>
      </c>
      <c r="I1592" t="s">
        <v>3490</v>
      </c>
      <c r="J1592" t="s">
        <v>2908</v>
      </c>
    </row>
    <row r="1593" spans="1:10" x14ac:dyDescent="0.25">
      <c r="A1593" t="s">
        <v>1963</v>
      </c>
      <c r="B1593" t="s">
        <v>105</v>
      </c>
      <c r="C1593">
        <v>8</v>
      </c>
      <c r="D1593" t="s">
        <v>3176</v>
      </c>
      <c r="E1593">
        <v>78</v>
      </c>
      <c r="F1593">
        <v>27</v>
      </c>
      <c r="G1593">
        <v>51</v>
      </c>
      <c r="H1593" t="s">
        <v>3494</v>
      </c>
      <c r="I1593" t="s">
        <v>3490</v>
      </c>
      <c r="J1593" t="s">
        <v>2908</v>
      </c>
    </row>
    <row r="1594" spans="1:10" x14ac:dyDescent="0.25">
      <c r="A1594" t="s">
        <v>1963</v>
      </c>
      <c r="B1594" t="s">
        <v>105</v>
      </c>
      <c r="C1594">
        <v>8</v>
      </c>
      <c r="D1594" t="s">
        <v>3178</v>
      </c>
      <c r="E1594">
        <v>55</v>
      </c>
      <c r="F1594">
        <v>10</v>
      </c>
      <c r="G1594">
        <v>45</v>
      </c>
      <c r="H1594" t="s">
        <v>3493</v>
      </c>
      <c r="I1594" t="s">
        <v>3490</v>
      </c>
      <c r="J1594" t="s">
        <v>2908</v>
      </c>
    </row>
    <row r="1595" spans="1:10" x14ac:dyDescent="0.25">
      <c r="A1595" t="s">
        <v>1963</v>
      </c>
      <c r="B1595" t="s">
        <v>105</v>
      </c>
      <c r="C1595">
        <v>8</v>
      </c>
      <c r="D1595" t="s">
        <v>3180</v>
      </c>
      <c r="E1595">
        <v>71</v>
      </c>
      <c r="F1595">
        <v>15</v>
      </c>
      <c r="G1595">
        <v>56</v>
      </c>
      <c r="H1595" t="s">
        <v>3494</v>
      </c>
      <c r="I1595" t="s">
        <v>3490</v>
      </c>
      <c r="J1595" t="s">
        <v>2908</v>
      </c>
    </row>
    <row r="1596" spans="1:10" x14ac:dyDescent="0.25">
      <c r="A1596" t="s">
        <v>1963</v>
      </c>
      <c r="B1596" t="s">
        <v>105</v>
      </c>
      <c r="C1596">
        <v>8</v>
      </c>
      <c r="D1596" t="s">
        <v>3182</v>
      </c>
      <c r="E1596">
        <v>47</v>
      </c>
      <c r="F1596">
        <v>16</v>
      </c>
      <c r="G1596">
        <v>31</v>
      </c>
      <c r="H1596" t="s">
        <v>3491</v>
      </c>
      <c r="I1596" t="s">
        <v>3492</v>
      </c>
      <c r="J1596" t="s">
        <v>2908</v>
      </c>
    </row>
    <row r="1597" spans="1:10" x14ac:dyDescent="0.25">
      <c r="A1597" t="s">
        <v>1969</v>
      </c>
      <c r="B1597" t="s">
        <v>105</v>
      </c>
      <c r="C1597">
        <v>6</v>
      </c>
      <c r="D1597" t="s">
        <v>3174</v>
      </c>
      <c r="E1597">
        <v>78</v>
      </c>
      <c r="F1597">
        <v>26</v>
      </c>
      <c r="G1597">
        <v>52</v>
      </c>
      <c r="H1597" t="s">
        <v>3494</v>
      </c>
      <c r="I1597" t="s">
        <v>3490</v>
      </c>
      <c r="J1597" t="s">
        <v>2908</v>
      </c>
    </row>
    <row r="1598" spans="1:10" x14ac:dyDescent="0.25">
      <c r="A1598" t="s">
        <v>1969</v>
      </c>
      <c r="B1598" t="s">
        <v>105</v>
      </c>
      <c r="C1598">
        <v>6</v>
      </c>
      <c r="D1598" t="s">
        <v>3176</v>
      </c>
      <c r="E1598">
        <v>76</v>
      </c>
      <c r="F1598">
        <v>11</v>
      </c>
      <c r="G1598">
        <v>65</v>
      </c>
      <c r="H1598" t="s">
        <v>3494</v>
      </c>
      <c r="I1598" t="s">
        <v>3490</v>
      </c>
      <c r="J1598" t="s">
        <v>2908</v>
      </c>
    </row>
    <row r="1599" spans="1:10" x14ac:dyDescent="0.25">
      <c r="A1599" t="s">
        <v>1969</v>
      </c>
      <c r="B1599" t="s">
        <v>105</v>
      </c>
      <c r="C1599">
        <v>6</v>
      </c>
      <c r="D1599" t="s">
        <v>3178</v>
      </c>
      <c r="E1599">
        <v>83</v>
      </c>
      <c r="F1599">
        <v>28</v>
      </c>
      <c r="G1599">
        <v>55</v>
      </c>
      <c r="H1599" t="s">
        <v>196</v>
      </c>
      <c r="I1599" t="s">
        <v>3490</v>
      </c>
      <c r="J1599" t="s">
        <v>2908</v>
      </c>
    </row>
    <row r="1600" spans="1:10" x14ac:dyDescent="0.25">
      <c r="A1600" t="s">
        <v>1969</v>
      </c>
      <c r="B1600" t="s">
        <v>105</v>
      </c>
      <c r="C1600">
        <v>6</v>
      </c>
      <c r="D1600" t="s">
        <v>3180</v>
      </c>
      <c r="E1600">
        <v>46</v>
      </c>
      <c r="F1600">
        <v>16</v>
      </c>
      <c r="G1600">
        <v>30</v>
      </c>
      <c r="H1600" t="s">
        <v>3491</v>
      </c>
      <c r="I1600" t="s">
        <v>3492</v>
      </c>
      <c r="J1600" t="s">
        <v>2908</v>
      </c>
    </row>
    <row r="1601" spans="1:10" x14ac:dyDescent="0.25">
      <c r="A1601" t="s">
        <v>1969</v>
      </c>
      <c r="B1601" t="s">
        <v>105</v>
      </c>
      <c r="C1601">
        <v>6</v>
      </c>
      <c r="D1601" t="s">
        <v>3182</v>
      </c>
      <c r="E1601">
        <v>41</v>
      </c>
      <c r="F1601">
        <v>14</v>
      </c>
      <c r="G1601">
        <v>27</v>
      </c>
      <c r="H1601" t="s">
        <v>3491</v>
      </c>
      <c r="I1601" t="s">
        <v>3492</v>
      </c>
      <c r="J1601" t="s">
        <v>2908</v>
      </c>
    </row>
    <row r="1602" spans="1:10" x14ac:dyDescent="0.25">
      <c r="A1602" t="s">
        <v>1974</v>
      </c>
      <c r="B1602" t="s">
        <v>75</v>
      </c>
      <c r="C1602">
        <v>8</v>
      </c>
      <c r="D1602" t="s">
        <v>3054</v>
      </c>
      <c r="E1602">
        <v>38</v>
      </c>
      <c r="F1602">
        <v>11</v>
      </c>
      <c r="G1602">
        <v>27</v>
      </c>
      <c r="H1602" t="s">
        <v>3491</v>
      </c>
      <c r="I1602" t="s">
        <v>3492</v>
      </c>
      <c r="J1602" t="s">
        <v>2961</v>
      </c>
    </row>
    <row r="1603" spans="1:10" x14ac:dyDescent="0.25">
      <c r="A1603" t="s">
        <v>1974</v>
      </c>
      <c r="B1603" t="s">
        <v>75</v>
      </c>
      <c r="C1603">
        <v>8</v>
      </c>
      <c r="D1603" t="s">
        <v>3056</v>
      </c>
      <c r="E1603">
        <v>41</v>
      </c>
      <c r="F1603">
        <v>10</v>
      </c>
      <c r="G1603">
        <v>31</v>
      </c>
      <c r="H1603" t="s">
        <v>3491</v>
      </c>
      <c r="I1603" t="s">
        <v>3492</v>
      </c>
      <c r="J1603" t="s">
        <v>2961</v>
      </c>
    </row>
    <row r="1604" spans="1:10" x14ac:dyDescent="0.25">
      <c r="A1604" t="s">
        <v>1974</v>
      </c>
      <c r="B1604" t="s">
        <v>75</v>
      </c>
      <c r="C1604">
        <v>8</v>
      </c>
      <c r="D1604" t="s">
        <v>3058</v>
      </c>
      <c r="E1604">
        <v>48</v>
      </c>
      <c r="F1604">
        <v>17</v>
      </c>
      <c r="G1604">
        <v>31</v>
      </c>
      <c r="H1604" t="s">
        <v>3491</v>
      </c>
      <c r="I1604" t="s">
        <v>3492</v>
      </c>
      <c r="J1604" t="s">
        <v>2961</v>
      </c>
    </row>
    <row r="1605" spans="1:10" x14ac:dyDescent="0.25">
      <c r="A1605" t="s">
        <v>1974</v>
      </c>
      <c r="B1605" t="s">
        <v>75</v>
      </c>
      <c r="C1605">
        <v>8</v>
      </c>
      <c r="D1605" t="s">
        <v>3060</v>
      </c>
      <c r="E1605">
        <v>31</v>
      </c>
      <c r="F1605">
        <v>10</v>
      </c>
      <c r="G1605">
        <v>21</v>
      </c>
      <c r="H1605" t="s">
        <v>3491</v>
      </c>
      <c r="I1605" t="s">
        <v>3492</v>
      </c>
      <c r="J1605" t="s">
        <v>2961</v>
      </c>
    </row>
    <row r="1606" spans="1:10" x14ac:dyDescent="0.25">
      <c r="A1606" t="s">
        <v>1974</v>
      </c>
      <c r="B1606" t="s">
        <v>75</v>
      </c>
      <c r="C1606">
        <v>8</v>
      </c>
      <c r="D1606" t="s">
        <v>3062</v>
      </c>
      <c r="E1606">
        <v>76</v>
      </c>
      <c r="F1606">
        <v>12</v>
      </c>
      <c r="G1606">
        <v>64</v>
      </c>
      <c r="H1606" t="s">
        <v>3494</v>
      </c>
      <c r="I1606" t="s">
        <v>3490</v>
      </c>
      <c r="J1606" t="s">
        <v>2961</v>
      </c>
    </row>
    <row r="1607" spans="1:10" x14ac:dyDescent="0.25">
      <c r="A1607" t="s">
        <v>1979</v>
      </c>
      <c r="B1607" t="s">
        <v>75</v>
      </c>
      <c r="C1607">
        <v>8</v>
      </c>
      <c r="D1607" t="s">
        <v>3054</v>
      </c>
      <c r="E1607">
        <v>70</v>
      </c>
      <c r="F1607">
        <v>26</v>
      </c>
      <c r="G1607">
        <v>44</v>
      </c>
      <c r="H1607" t="s">
        <v>3494</v>
      </c>
      <c r="I1607" t="s">
        <v>3490</v>
      </c>
      <c r="J1607" t="s">
        <v>2961</v>
      </c>
    </row>
    <row r="1608" spans="1:10" x14ac:dyDescent="0.25">
      <c r="A1608" t="s">
        <v>1979</v>
      </c>
      <c r="B1608" t="s">
        <v>75</v>
      </c>
      <c r="C1608">
        <v>8</v>
      </c>
      <c r="D1608" t="s">
        <v>3056</v>
      </c>
      <c r="E1608">
        <v>71</v>
      </c>
      <c r="F1608">
        <v>24</v>
      </c>
      <c r="G1608">
        <v>47</v>
      </c>
      <c r="H1608" t="s">
        <v>3494</v>
      </c>
      <c r="I1608" t="s">
        <v>3490</v>
      </c>
      <c r="J1608" t="s">
        <v>2961</v>
      </c>
    </row>
    <row r="1609" spans="1:10" x14ac:dyDescent="0.25">
      <c r="A1609" t="s">
        <v>1979</v>
      </c>
      <c r="B1609" t="s">
        <v>75</v>
      </c>
      <c r="C1609">
        <v>8</v>
      </c>
      <c r="D1609" t="s">
        <v>3058</v>
      </c>
      <c r="E1609">
        <v>49</v>
      </c>
      <c r="F1609">
        <v>22</v>
      </c>
      <c r="G1609">
        <v>27</v>
      </c>
      <c r="H1609" t="s">
        <v>3491</v>
      </c>
      <c r="I1609" t="s">
        <v>3492</v>
      </c>
      <c r="J1609" t="s">
        <v>2961</v>
      </c>
    </row>
    <row r="1610" spans="1:10" x14ac:dyDescent="0.25">
      <c r="A1610" t="s">
        <v>1979</v>
      </c>
      <c r="B1610" t="s">
        <v>75</v>
      </c>
      <c r="C1610">
        <v>8</v>
      </c>
      <c r="D1610" t="s">
        <v>3060</v>
      </c>
      <c r="E1610">
        <v>32</v>
      </c>
      <c r="F1610">
        <v>11</v>
      </c>
      <c r="G1610">
        <v>21</v>
      </c>
      <c r="H1610" t="s">
        <v>3491</v>
      </c>
      <c r="I1610" t="s">
        <v>3492</v>
      </c>
      <c r="J1610" t="s">
        <v>2961</v>
      </c>
    </row>
    <row r="1611" spans="1:10" x14ac:dyDescent="0.25">
      <c r="A1611" t="s">
        <v>1979</v>
      </c>
      <c r="B1611" t="s">
        <v>75</v>
      </c>
      <c r="C1611">
        <v>8</v>
      </c>
      <c r="D1611" t="s">
        <v>3062</v>
      </c>
      <c r="E1611">
        <v>86</v>
      </c>
      <c r="F1611">
        <v>26</v>
      </c>
      <c r="G1611">
        <v>60</v>
      </c>
      <c r="H1611" t="s">
        <v>196</v>
      </c>
      <c r="I1611" t="s">
        <v>3490</v>
      </c>
      <c r="J1611" t="s">
        <v>2961</v>
      </c>
    </row>
    <row r="1612" spans="1:10" x14ac:dyDescent="0.25">
      <c r="A1612" t="s">
        <v>1984</v>
      </c>
      <c r="B1612" t="s">
        <v>63</v>
      </c>
      <c r="C1612">
        <v>4</v>
      </c>
      <c r="D1612" t="s">
        <v>3394</v>
      </c>
      <c r="E1612">
        <v>91</v>
      </c>
      <c r="F1612">
        <v>29</v>
      </c>
      <c r="G1612">
        <v>62</v>
      </c>
      <c r="H1612" t="s">
        <v>3495</v>
      </c>
      <c r="I1612" t="s">
        <v>3490</v>
      </c>
      <c r="J1612" t="s">
        <v>2932</v>
      </c>
    </row>
    <row r="1613" spans="1:10" x14ac:dyDescent="0.25">
      <c r="A1613" t="s">
        <v>1984</v>
      </c>
      <c r="B1613" t="s">
        <v>63</v>
      </c>
      <c r="C1613">
        <v>4</v>
      </c>
      <c r="D1613" t="s">
        <v>3396</v>
      </c>
      <c r="E1613">
        <v>90</v>
      </c>
      <c r="F1613">
        <v>27</v>
      </c>
      <c r="G1613">
        <v>63</v>
      </c>
      <c r="H1613" t="s">
        <v>3495</v>
      </c>
      <c r="I1613" t="s">
        <v>3490</v>
      </c>
      <c r="J1613" t="s">
        <v>2932</v>
      </c>
    </row>
    <row r="1614" spans="1:10" x14ac:dyDescent="0.25">
      <c r="A1614" t="s">
        <v>1984</v>
      </c>
      <c r="B1614" t="s">
        <v>63</v>
      </c>
      <c r="C1614">
        <v>4</v>
      </c>
      <c r="D1614" t="s">
        <v>3398</v>
      </c>
      <c r="E1614">
        <v>90</v>
      </c>
      <c r="F1614">
        <v>25</v>
      </c>
      <c r="G1614">
        <v>65</v>
      </c>
      <c r="H1614" t="s">
        <v>3495</v>
      </c>
      <c r="I1614" t="s">
        <v>3490</v>
      </c>
      <c r="J1614" t="s">
        <v>2932</v>
      </c>
    </row>
    <row r="1615" spans="1:10" x14ac:dyDescent="0.25">
      <c r="A1615" t="s">
        <v>1984</v>
      </c>
      <c r="B1615" t="s">
        <v>63</v>
      </c>
      <c r="C1615">
        <v>4</v>
      </c>
      <c r="D1615" t="s">
        <v>3400</v>
      </c>
      <c r="E1615">
        <v>49</v>
      </c>
      <c r="F1615">
        <v>22</v>
      </c>
      <c r="G1615">
        <v>27</v>
      </c>
      <c r="H1615" t="s">
        <v>3491</v>
      </c>
      <c r="I1615" t="s">
        <v>3492</v>
      </c>
      <c r="J1615" t="s">
        <v>2932</v>
      </c>
    </row>
    <row r="1616" spans="1:10" x14ac:dyDescent="0.25">
      <c r="A1616" t="s">
        <v>1984</v>
      </c>
      <c r="B1616" t="s">
        <v>63</v>
      </c>
      <c r="C1616">
        <v>4</v>
      </c>
      <c r="D1616" t="s">
        <v>3402</v>
      </c>
      <c r="E1616">
        <v>65</v>
      </c>
      <c r="F1616">
        <v>10</v>
      </c>
      <c r="G1616">
        <v>55</v>
      </c>
      <c r="H1616" t="s">
        <v>3489</v>
      </c>
      <c r="I1616" t="s">
        <v>3490</v>
      </c>
      <c r="J1616" t="s">
        <v>2932</v>
      </c>
    </row>
    <row r="1617" spans="1:10" x14ac:dyDescent="0.25">
      <c r="A1617" t="s">
        <v>1990</v>
      </c>
      <c r="B1617" t="s">
        <v>63</v>
      </c>
      <c r="C1617">
        <v>6</v>
      </c>
      <c r="D1617" t="s">
        <v>3414</v>
      </c>
      <c r="E1617">
        <v>50</v>
      </c>
      <c r="F1617">
        <v>12</v>
      </c>
      <c r="G1617">
        <v>38</v>
      </c>
      <c r="H1617" t="s">
        <v>3493</v>
      </c>
      <c r="I1617" t="s">
        <v>3490</v>
      </c>
      <c r="J1617" t="s">
        <v>2932</v>
      </c>
    </row>
    <row r="1618" spans="1:10" x14ac:dyDescent="0.25">
      <c r="A1618" t="s">
        <v>1990</v>
      </c>
      <c r="B1618" t="s">
        <v>63</v>
      </c>
      <c r="C1618">
        <v>6</v>
      </c>
      <c r="D1618" t="s">
        <v>3416</v>
      </c>
      <c r="E1618">
        <v>59</v>
      </c>
      <c r="F1618">
        <v>16</v>
      </c>
      <c r="G1618">
        <v>43</v>
      </c>
      <c r="H1618" t="s">
        <v>3493</v>
      </c>
      <c r="I1618" t="s">
        <v>3490</v>
      </c>
      <c r="J1618" t="s">
        <v>2932</v>
      </c>
    </row>
    <row r="1619" spans="1:10" x14ac:dyDescent="0.25">
      <c r="A1619" t="s">
        <v>1990</v>
      </c>
      <c r="B1619" t="s">
        <v>63</v>
      </c>
      <c r="C1619">
        <v>6</v>
      </c>
      <c r="D1619" t="s">
        <v>3418</v>
      </c>
      <c r="E1619">
        <v>92</v>
      </c>
      <c r="F1619">
        <v>22</v>
      </c>
      <c r="G1619">
        <v>70</v>
      </c>
      <c r="H1619" t="s">
        <v>3495</v>
      </c>
      <c r="I1619" t="s">
        <v>3490</v>
      </c>
      <c r="J1619" t="s">
        <v>2932</v>
      </c>
    </row>
    <row r="1620" spans="1:10" x14ac:dyDescent="0.25">
      <c r="A1620" t="s">
        <v>1990</v>
      </c>
      <c r="B1620" t="s">
        <v>63</v>
      </c>
      <c r="C1620">
        <v>6</v>
      </c>
      <c r="D1620" t="s">
        <v>3420</v>
      </c>
      <c r="E1620">
        <v>50</v>
      </c>
      <c r="F1620">
        <v>12</v>
      </c>
      <c r="G1620">
        <v>38</v>
      </c>
      <c r="H1620" t="s">
        <v>3493</v>
      </c>
      <c r="I1620" t="s">
        <v>3490</v>
      </c>
      <c r="J1620" t="s">
        <v>2932</v>
      </c>
    </row>
    <row r="1621" spans="1:10" x14ac:dyDescent="0.25">
      <c r="A1621" t="s">
        <v>1990</v>
      </c>
      <c r="B1621" t="s">
        <v>63</v>
      </c>
      <c r="C1621">
        <v>6</v>
      </c>
      <c r="D1621" t="s">
        <v>3422</v>
      </c>
      <c r="E1621">
        <v>77</v>
      </c>
      <c r="F1621">
        <v>11</v>
      </c>
      <c r="G1621">
        <v>66</v>
      </c>
      <c r="H1621" t="s">
        <v>3494</v>
      </c>
      <c r="I1621" t="s">
        <v>3490</v>
      </c>
      <c r="J1621" t="s">
        <v>2932</v>
      </c>
    </row>
    <row r="1622" spans="1:10" x14ac:dyDescent="0.25">
      <c r="A1622" t="s">
        <v>1996</v>
      </c>
      <c r="B1622" t="s">
        <v>159</v>
      </c>
      <c r="C1622">
        <v>6</v>
      </c>
      <c r="D1622" t="s">
        <v>3114</v>
      </c>
      <c r="E1622">
        <v>72</v>
      </c>
      <c r="F1622">
        <v>17</v>
      </c>
      <c r="G1622">
        <v>55</v>
      </c>
      <c r="H1622" t="s">
        <v>3494</v>
      </c>
      <c r="I1622" t="s">
        <v>3490</v>
      </c>
      <c r="J1622" t="s">
        <v>2902</v>
      </c>
    </row>
    <row r="1623" spans="1:10" x14ac:dyDescent="0.25">
      <c r="A1623" t="s">
        <v>1996</v>
      </c>
      <c r="B1623" t="s">
        <v>159</v>
      </c>
      <c r="C1623">
        <v>6</v>
      </c>
      <c r="D1623" t="s">
        <v>3116</v>
      </c>
      <c r="E1623">
        <v>59</v>
      </c>
      <c r="F1623">
        <v>19</v>
      </c>
      <c r="G1623">
        <v>40</v>
      </c>
      <c r="H1623" t="s">
        <v>3493</v>
      </c>
      <c r="I1623" t="s">
        <v>3490</v>
      </c>
      <c r="J1623" t="s">
        <v>2902</v>
      </c>
    </row>
    <row r="1624" spans="1:10" x14ac:dyDescent="0.25">
      <c r="A1624" t="s">
        <v>1996</v>
      </c>
      <c r="B1624" t="s">
        <v>159</v>
      </c>
      <c r="C1624">
        <v>6</v>
      </c>
      <c r="D1624" t="s">
        <v>3118</v>
      </c>
      <c r="E1624">
        <v>65</v>
      </c>
      <c r="F1624">
        <v>30</v>
      </c>
      <c r="G1624">
        <v>35</v>
      </c>
      <c r="H1624" t="s">
        <v>3489</v>
      </c>
      <c r="I1624" t="s">
        <v>3490</v>
      </c>
      <c r="J1624" t="s">
        <v>2902</v>
      </c>
    </row>
    <row r="1625" spans="1:10" x14ac:dyDescent="0.25">
      <c r="A1625" t="s">
        <v>1996</v>
      </c>
      <c r="B1625" t="s">
        <v>159</v>
      </c>
      <c r="C1625">
        <v>6</v>
      </c>
      <c r="D1625" t="s">
        <v>3120</v>
      </c>
      <c r="E1625">
        <v>55</v>
      </c>
      <c r="F1625">
        <v>30</v>
      </c>
      <c r="G1625">
        <v>25</v>
      </c>
      <c r="H1625" t="s">
        <v>3493</v>
      </c>
      <c r="I1625" t="s">
        <v>3490</v>
      </c>
      <c r="J1625" t="s">
        <v>2902</v>
      </c>
    </row>
    <row r="1626" spans="1:10" x14ac:dyDescent="0.25">
      <c r="A1626" t="s">
        <v>1996</v>
      </c>
      <c r="B1626" t="s">
        <v>159</v>
      </c>
      <c r="C1626">
        <v>6</v>
      </c>
      <c r="D1626" t="s">
        <v>3122</v>
      </c>
      <c r="E1626">
        <v>80</v>
      </c>
      <c r="F1626">
        <v>28</v>
      </c>
      <c r="G1626">
        <v>52</v>
      </c>
      <c r="H1626" t="s">
        <v>196</v>
      </c>
      <c r="I1626" t="s">
        <v>3490</v>
      </c>
      <c r="J1626" t="s">
        <v>2902</v>
      </c>
    </row>
    <row r="1627" spans="1:10" x14ac:dyDescent="0.25">
      <c r="A1627" t="s">
        <v>2002</v>
      </c>
      <c r="B1627" t="s">
        <v>30</v>
      </c>
      <c r="C1627">
        <v>8</v>
      </c>
      <c r="D1627" t="s">
        <v>3354</v>
      </c>
      <c r="E1627">
        <v>81</v>
      </c>
      <c r="F1627">
        <v>11</v>
      </c>
      <c r="G1627">
        <v>70</v>
      </c>
      <c r="H1627" t="s">
        <v>196</v>
      </c>
      <c r="I1627" t="s">
        <v>3490</v>
      </c>
      <c r="J1627" t="s">
        <v>2895</v>
      </c>
    </row>
    <row r="1628" spans="1:10" x14ac:dyDescent="0.25">
      <c r="A1628" t="s">
        <v>2002</v>
      </c>
      <c r="B1628" t="s">
        <v>30</v>
      </c>
      <c r="C1628">
        <v>8</v>
      </c>
      <c r="D1628" t="s">
        <v>3356</v>
      </c>
      <c r="E1628">
        <v>62</v>
      </c>
      <c r="F1628">
        <v>25</v>
      </c>
      <c r="G1628">
        <v>37</v>
      </c>
      <c r="H1628" t="s">
        <v>3489</v>
      </c>
      <c r="I1628" t="s">
        <v>3490</v>
      </c>
      <c r="J1628" t="s">
        <v>2895</v>
      </c>
    </row>
    <row r="1629" spans="1:10" x14ac:dyDescent="0.25">
      <c r="A1629" t="s">
        <v>2002</v>
      </c>
      <c r="B1629" t="s">
        <v>30</v>
      </c>
      <c r="C1629">
        <v>8</v>
      </c>
      <c r="D1629" t="s">
        <v>3358</v>
      </c>
      <c r="E1629">
        <v>93</v>
      </c>
      <c r="F1629">
        <v>23</v>
      </c>
      <c r="G1629">
        <v>70</v>
      </c>
      <c r="H1629" t="s">
        <v>3495</v>
      </c>
      <c r="I1629" t="s">
        <v>3490</v>
      </c>
      <c r="J1629" t="s">
        <v>2895</v>
      </c>
    </row>
    <row r="1630" spans="1:10" x14ac:dyDescent="0.25">
      <c r="A1630" t="s">
        <v>2002</v>
      </c>
      <c r="B1630" t="s">
        <v>30</v>
      </c>
      <c r="C1630">
        <v>8</v>
      </c>
      <c r="D1630" t="s">
        <v>3360</v>
      </c>
      <c r="E1630">
        <v>88</v>
      </c>
      <c r="F1630">
        <v>27</v>
      </c>
      <c r="G1630">
        <v>61</v>
      </c>
      <c r="H1630" t="s">
        <v>196</v>
      </c>
      <c r="I1630" t="s">
        <v>3490</v>
      </c>
      <c r="J1630" t="s">
        <v>2895</v>
      </c>
    </row>
    <row r="1631" spans="1:10" x14ac:dyDescent="0.25">
      <c r="A1631" t="s">
        <v>2002</v>
      </c>
      <c r="B1631" t="s">
        <v>30</v>
      </c>
      <c r="C1631">
        <v>8</v>
      </c>
      <c r="D1631" t="s">
        <v>3362</v>
      </c>
      <c r="E1631">
        <v>46</v>
      </c>
      <c r="F1631">
        <v>14</v>
      </c>
      <c r="G1631">
        <v>32</v>
      </c>
      <c r="H1631" t="s">
        <v>3491</v>
      </c>
      <c r="I1631" t="s">
        <v>3492</v>
      </c>
      <c r="J1631" t="s">
        <v>2895</v>
      </c>
    </row>
    <row r="1632" spans="1:10" x14ac:dyDescent="0.25">
      <c r="A1632" t="s">
        <v>2007</v>
      </c>
      <c r="B1632" t="s">
        <v>159</v>
      </c>
      <c r="C1632">
        <v>8</v>
      </c>
      <c r="D1632" t="s">
        <v>3114</v>
      </c>
      <c r="E1632">
        <v>59</v>
      </c>
      <c r="F1632">
        <v>20</v>
      </c>
      <c r="G1632">
        <v>39</v>
      </c>
      <c r="H1632" t="s">
        <v>3493</v>
      </c>
      <c r="I1632" t="s">
        <v>3490</v>
      </c>
      <c r="J1632" t="s">
        <v>2902</v>
      </c>
    </row>
    <row r="1633" spans="1:10" x14ac:dyDescent="0.25">
      <c r="A1633" t="s">
        <v>2007</v>
      </c>
      <c r="B1633" t="s">
        <v>159</v>
      </c>
      <c r="C1633">
        <v>8</v>
      </c>
      <c r="D1633" t="s">
        <v>3116</v>
      </c>
      <c r="E1633">
        <v>80</v>
      </c>
      <c r="F1633">
        <v>23</v>
      </c>
      <c r="G1633">
        <v>57</v>
      </c>
      <c r="H1633" t="s">
        <v>196</v>
      </c>
      <c r="I1633" t="s">
        <v>3490</v>
      </c>
      <c r="J1633" t="s">
        <v>2902</v>
      </c>
    </row>
    <row r="1634" spans="1:10" x14ac:dyDescent="0.25">
      <c r="A1634" t="s">
        <v>2007</v>
      </c>
      <c r="B1634" t="s">
        <v>159</v>
      </c>
      <c r="C1634">
        <v>8</v>
      </c>
      <c r="D1634" t="s">
        <v>3118</v>
      </c>
      <c r="E1634">
        <v>83</v>
      </c>
      <c r="F1634">
        <v>20</v>
      </c>
      <c r="G1634">
        <v>63</v>
      </c>
      <c r="H1634" t="s">
        <v>196</v>
      </c>
      <c r="I1634" t="s">
        <v>3490</v>
      </c>
      <c r="J1634" t="s">
        <v>2902</v>
      </c>
    </row>
    <row r="1635" spans="1:10" x14ac:dyDescent="0.25">
      <c r="A1635" t="s">
        <v>2007</v>
      </c>
      <c r="B1635" t="s">
        <v>159</v>
      </c>
      <c r="C1635">
        <v>8</v>
      </c>
      <c r="D1635" t="s">
        <v>3120</v>
      </c>
      <c r="E1635">
        <v>35</v>
      </c>
      <c r="F1635">
        <v>13</v>
      </c>
      <c r="G1635">
        <v>22</v>
      </c>
      <c r="H1635" t="s">
        <v>3491</v>
      </c>
      <c r="I1635" t="s">
        <v>3492</v>
      </c>
      <c r="J1635" t="s">
        <v>2902</v>
      </c>
    </row>
    <row r="1636" spans="1:10" x14ac:dyDescent="0.25">
      <c r="A1636" t="s">
        <v>2007</v>
      </c>
      <c r="B1636" t="s">
        <v>159</v>
      </c>
      <c r="C1636">
        <v>8</v>
      </c>
      <c r="D1636" t="s">
        <v>3122</v>
      </c>
      <c r="E1636">
        <v>42</v>
      </c>
      <c r="F1636">
        <v>10</v>
      </c>
      <c r="G1636">
        <v>32</v>
      </c>
      <c r="H1636" t="s">
        <v>3491</v>
      </c>
      <c r="I1636" t="s">
        <v>3492</v>
      </c>
      <c r="J1636" t="s">
        <v>2902</v>
      </c>
    </row>
    <row r="1637" spans="1:10" x14ac:dyDescent="0.25">
      <c r="A1637" t="s">
        <v>2012</v>
      </c>
      <c r="B1637" t="s">
        <v>212</v>
      </c>
      <c r="C1637">
        <v>8</v>
      </c>
      <c r="D1637" t="s">
        <v>3474</v>
      </c>
      <c r="E1637">
        <v>59</v>
      </c>
      <c r="F1637">
        <v>10</v>
      </c>
      <c r="G1637">
        <v>49</v>
      </c>
      <c r="H1637" t="s">
        <v>3493</v>
      </c>
      <c r="I1637" t="s">
        <v>3490</v>
      </c>
      <c r="J1637" t="s">
        <v>3001</v>
      </c>
    </row>
    <row r="1638" spans="1:10" x14ac:dyDescent="0.25">
      <c r="A1638" t="s">
        <v>2012</v>
      </c>
      <c r="B1638" t="s">
        <v>212</v>
      </c>
      <c r="C1638">
        <v>8</v>
      </c>
      <c r="D1638" t="s">
        <v>3476</v>
      </c>
      <c r="E1638">
        <v>53</v>
      </c>
      <c r="F1638">
        <v>22</v>
      </c>
      <c r="G1638">
        <v>31</v>
      </c>
      <c r="H1638" t="s">
        <v>3493</v>
      </c>
      <c r="I1638" t="s">
        <v>3490</v>
      </c>
      <c r="J1638" t="s">
        <v>3001</v>
      </c>
    </row>
    <row r="1639" spans="1:10" x14ac:dyDescent="0.25">
      <c r="A1639" t="s">
        <v>2012</v>
      </c>
      <c r="B1639" t="s">
        <v>212</v>
      </c>
      <c r="C1639">
        <v>8</v>
      </c>
      <c r="D1639" t="s">
        <v>3478</v>
      </c>
      <c r="E1639">
        <v>53</v>
      </c>
      <c r="F1639">
        <v>10</v>
      </c>
      <c r="G1639">
        <v>43</v>
      </c>
      <c r="H1639" t="s">
        <v>3493</v>
      </c>
      <c r="I1639" t="s">
        <v>3490</v>
      </c>
      <c r="J1639" t="s">
        <v>3001</v>
      </c>
    </row>
    <row r="1640" spans="1:10" x14ac:dyDescent="0.25">
      <c r="A1640" t="s">
        <v>2012</v>
      </c>
      <c r="B1640" t="s">
        <v>212</v>
      </c>
      <c r="C1640">
        <v>8</v>
      </c>
      <c r="D1640" t="s">
        <v>3480</v>
      </c>
      <c r="E1640">
        <v>59</v>
      </c>
      <c r="F1640">
        <v>18</v>
      </c>
      <c r="G1640">
        <v>41</v>
      </c>
      <c r="H1640" t="s">
        <v>3493</v>
      </c>
      <c r="I1640" t="s">
        <v>3490</v>
      </c>
      <c r="J1640" t="s">
        <v>3001</v>
      </c>
    </row>
    <row r="1641" spans="1:10" x14ac:dyDescent="0.25">
      <c r="A1641" t="s">
        <v>2012</v>
      </c>
      <c r="B1641" t="s">
        <v>212</v>
      </c>
      <c r="C1641">
        <v>8</v>
      </c>
      <c r="D1641" t="s">
        <v>3482</v>
      </c>
      <c r="E1641">
        <v>72</v>
      </c>
      <c r="F1641">
        <v>28</v>
      </c>
      <c r="G1641">
        <v>44</v>
      </c>
      <c r="H1641" t="s">
        <v>3494</v>
      </c>
      <c r="I1641" t="s">
        <v>3490</v>
      </c>
      <c r="J1641" t="s">
        <v>3001</v>
      </c>
    </row>
    <row r="1642" spans="1:10" x14ac:dyDescent="0.25">
      <c r="A1642" t="s">
        <v>2017</v>
      </c>
      <c r="B1642" t="s">
        <v>212</v>
      </c>
      <c r="C1642">
        <v>6</v>
      </c>
      <c r="D1642" t="s">
        <v>3474</v>
      </c>
      <c r="E1642">
        <v>48</v>
      </c>
      <c r="F1642">
        <v>24</v>
      </c>
      <c r="G1642">
        <v>24</v>
      </c>
      <c r="H1642" t="s">
        <v>3491</v>
      </c>
      <c r="I1642" t="s">
        <v>3492</v>
      </c>
      <c r="J1642" t="s">
        <v>3001</v>
      </c>
    </row>
    <row r="1643" spans="1:10" x14ac:dyDescent="0.25">
      <c r="A1643" t="s">
        <v>2017</v>
      </c>
      <c r="B1643" t="s">
        <v>212</v>
      </c>
      <c r="C1643">
        <v>6</v>
      </c>
      <c r="D1643" t="s">
        <v>3476</v>
      </c>
      <c r="E1643">
        <v>41</v>
      </c>
      <c r="F1643">
        <v>20</v>
      </c>
      <c r="G1643">
        <v>21</v>
      </c>
      <c r="H1643" t="s">
        <v>3491</v>
      </c>
      <c r="I1643" t="s">
        <v>3492</v>
      </c>
      <c r="J1643" t="s">
        <v>3001</v>
      </c>
    </row>
    <row r="1644" spans="1:10" x14ac:dyDescent="0.25">
      <c r="A1644" t="s">
        <v>2017</v>
      </c>
      <c r="B1644" t="s">
        <v>212</v>
      </c>
      <c r="C1644">
        <v>6</v>
      </c>
      <c r="D1644" t="s">
        <v>3478</v>
      </c>
      <c r="E1644">
        <v>58</v>
      </c>
      <c r="F1644">
        <v>11</v>
      </c>
      <c r="G1644">
        <v>47</v>
      </c>
      <c r="H1644" t="s">
        <v>3493</v>
      </c>
      <c r="I1644" t="s">
        <v>3490</v>
      </c>
      <c r="J1644" t="s">
        <v>3001</v>
      </c>
    </row>
    <row r="1645" spans="1:10" x14ac:dyDescent="0.25">
      <c r="A1645" t="s">
        <v>2017</v>
      </c>
      <c r="B1645" t="s">
        <v>212</v>
      </c>
      <c r="C1645">
        <v>6</v>
      </c>
      <c r="D1645" t="s">
        <v>3480</v>
      </c>
      <c r="E1645">
        <v>85</v>
      </c>
      <c r="F1645">
        <v>23</v>
      </c>
      <c r="G1645">
        <v>62</v>
      </c>
      <c r="H1645" t="s">
        <v>196</v>
      </c>
      <c r="I1645" t="s">
        <v>3490</v>
      </c>
      <c r="J1645" t="s">
        <v>3001</v>
      </c>
    </row>
    <row r="1646" spans="1:10" x14ac:dyDescent="0.25">
      <c r="A1646" t="s">
        <v>2017</v>
      </c>
      <c r="B1646" t="s">
        <v>212</v>
      </c>
      <c r="C1646">
        <v>6</v>
      </c>
      <c r="D1646" t="s">
        <v>3482</v>
      </c>
      <c r="E1646">
        <v>69</v>
      </c>
      <c r="F1646">
        <v>22</v>
      </c>
      <c r="G1646">
        <v>47</v>
      </c>
      <c r="H1646" t="s">
        <v>3489</v>
      </c>
      <c r="I1646" t="s">
        <v>3490</v>
      </c>
      <c r="J1646" t="s">
        <v>3001</v>
      </c>
    </row>
    <row r="1647" spans="1:10" x14ac:dyDescent="0.25">
      <c r="A1647" t="s">
        <v>2022</v>
      </c>
      <c r="B1647" t="s">
        <v>159</v>
      </c>
      <c r="C1647">
        <v>8</v>
      </c>
      <c r="D1647" t="s">
        <v>3114</v>
      </c>
      <c r="E1647">
        <v>43</v>
      </c>
      <c r="F1647">
        <v>18</v>
      </c>
      <c r="G1647">
        <v>25</v>
      </c>
      <c r="H1647" t="s">
        <v>3491</v>
      </c>
      <c r="I1647" t="s">
        <v>3492</v>
      </c>
      <c r="J1647" t="s">
        <v>2902</v>
      </c>
    </row>
    <row r="1648" spans="1:10" x14ac:dyDescent="0.25">
      <c r="A1648" t="s">
        <v>2022</v>
      </c>
      <c r="B1648" t="s">
        <v>159</v>
      </c>
      <c r="C1648">
        <v>8</v>
      </c>
      <c r="D1648" t="s">
        <v>3116</v>
      </c>
      <c r="E1648">
        <v>32</v>
      </c>
      <c r="F1648">
        <v>12</v>
      </c>
      <c r="G1648">
        <v>20</v>
      </c>
      <c r="H1648" t="s">
        <v>3491</v>
      </c>
      <c r="I1648" t="s">
        <v>3492</v>
      </c>
      <c r="J1648" t="s">
        <v>2902</v>
      </c>
    </row>
    <row r="1649" spans="1:10" x14ac:dyDescent="0.25">
      <c r="A1649" t="s">
        <v>2022</v>
      </c>
      <c r="B1649" t="s">
        <v>159</v>
      </c>
      <c r="C1649">
        <v>8</v>
      </c>
      <c r="D1649" t="s">
        <v>3118</v>
      </c>
      <c r="E1649">
        <v>75</v>
      </c>
      <c r="F1649">
        <v>30</v>
      </c>
      <c r="G1649">
        <v>45</v>
      </c>
      <c r="H1649" t="s">
        <v>3494</v>
      </c>
      <c r="I1649" t="s">
        <v>3490</v>
      </c>
      <c r="J1649" t="s">
        <v>2902</v>
      </c>
    </row>
    <row r="1650" spans="1:10" x14ac:dyDescent="0.25">
      <c r="A1650" t="s">
        <v>2022</v>
      </c>
      <c r="B1650" t="s">
        <v>159</v>
      </c>
      <c r="C1650">
        <v>8</v>
      </c>
      <c r="D1650" t="s">
        <v>3120</v>
      </c>
      <c r="E1650">
        <v>60</v>
      </c>
      <c r="F1650">
        <v>21</v>
      </c>
      <c r="G1650">
        <v>39</v>
      </c>
      <c r="H1650" t="s">
        <v>3489</v>
      </c>
      <c r="I1650" t="s">
        <v>3490</v>
      </c>
      <c r="J1650" t="s">
        <v>2902</v>
      </c>
    </row>
    <row r="1651" spans="1:10" x14ac:dyDescent="0.25">
      <c r="A1651" t="s">
        <v>2022</v>
      </c>
      <c r="B1651" t="s">
        <v>159</v>
      </c>
      <c r="C1651">
        <v>8</v>
      </c>
      <c r="D1651" t="s">
        <v>3122</v>
      </c>
      <c r="E1651">
        <v>77</v>
      </c>
      <c r="F1651">
        <v>12</v>
      </c>
      <c r="G1651">
        <v>65</v>
      </c>
      <c r="H1651" t="s">
        <v>3494</v>
      </c>
      <c r="I1651" t="s">
        <v>3490</v>
      </c>
      <c r="J1651" t="s">
        <v>2902</v>
      </c>
    </row>
    <row r="1652" spans="1:10" x14ac:dyDescent="0.25">
      <c r="A1652" t="s">
        <v>2027</v>
      </c>
      <c r="B1652" t="s">
        <v>95</v>
      </c>
      <c r="C1652">
        <v>6</v>
      </c>
      <c r="D1652" t="s">
        <v>3234</v>
      </c>
      <c r="E1652">
        <v>77</v>
      </c>
      <c r="F1652">
        <v>12</v>
      </c>
      <c r="G1652">
        <v>65</v>
      </c>
      <c r="H1652" t="s">
        <v>3494</v>
      </c>
      <c r="I1652" t="s">
        <v>3490</v>
      </c>
      <c r="J1652" t="s">
        <v>2889</v>
      </c>
    </row>
    <row r="1653" spans="1:10" x14ac:dyDescent="0.25">
      <c r="A1653" t="s">
        <v>2027</v>
      </c>
      <c r="B1653" t="s">
        <v>95</v>
      </c>
      <c r="C1653">
        <v>6</v>
      </c>
      <c r="D1653" t="s">
        <v>3236</v>
      </c>
      <c r="E1653">
        <v>55</v>
      </c>
      <c r="F1653">
        <v>17</v>
      </c>
      <c r="G1653">
        <v>38</v>
      </c>
      <c r="H1653" t="s">
        <v>3493</v>
      </c>
      <c r="I1653" t="s">
        <v>3490</v>
      </c>
      <c r="J1653" t="s">
        <v>2889</v>
      </c>
    </row>
    <row r="1654" spans="1:10" x14ac:dyDescent="0.25">
      <c r="A1654" t="s">
        <v>2027</v>
      </c>
      <c r="B1654" t="s">
        <v>95</v>
      </c>
      <c r="C1654">
        <v>6</v>
      </c>
      <c r="D1654" t="s">
        <v>3238</v>
      </c>
      <c r="E1654">
        <v>58</v>
      </c>
      <c r="F1654">
        <v>10</v>
      </c>
      <c r="G1654">
        <v>48</v>
      </c>
      <c r="H1654" t="s">
        <v>3493</v>
      </c>
      <c r="I1654" t="s">
        <v>3490</v>
      </c>
      <c r="J1654" t="s">
        <v>2889</v>
      </c>
    </row>
    <row r="1655" spans="1:10" x14ac:dyDescent="0.25">
      <c r="A1655" t="s">
        <v>2027</v>
      </c>
      <c r="B1655" t="s">
        <v>95</v>
      </c>
      <c r="C1655">
        <v>6</v>
      </c>
      <c r="D1655" t="s">
        <v>3240</v>
      </c>
      <c r="E1655">
        <v>67</v>
      </c>
      <c r="F1655">
        <v>27</v>
      </c>
      <c r="G1655">
        <v>40</v>
      </c>
      <c r="H1655" t="s">
        <v>3489</v>
      </c>
      <c r="I1655" t="s">
        <v>3490</v>
      </c>
      <c r="J1655" t="s">
        <v>2889</v>
      </c>
    </row>
    <row r="1656" spans="1:10" x14ac:dyDescent="0.25">
      <c r="A1656" t="s">
        <v>2027</v>
      </c>
      <c r="B1656" t="s">
        <v>95</v>
      </c>
      <c r="C1656">
        <v>6</v>
      </c>
      <c r="D1656" t="s">
        <v>3242</v>
      </c>
      <c r="E1656">
        <v>58</v>
      </c>
      <c r="F1656">
        <v>13</v>
      </c>
      <c r="G1656">
        <v>45</v>
      </c>
      <c r="H1656" t="s">
        <v>3493</v>
      </c>
      <c r="I1656" t="s">
        <v>3490</v>
      </c>
      <c r="J1656" t="s">
        <v>2889</v>
      </c>
    </row>
    <row r="1657" spans="1:10" x14ac:dyDescent="0.25">
      <c r="A1657" t="s">
        <v>2032</v>
      </c>
      <c r="B1657" t="s">
        <v>159</v>
      </c>
      <c r="C1657">
        <v>6</v>
      </c>
      <c r="D1657" t="s">
        <v>3114</v>
      </c>
      <c r="E1657">
        <v>86</v>
      </c>
      <c r="F1657">
        <v>29</v>
      </c>
      <c r="G1657">
        <v>57</v>
      </c>
      <c r="H1657" t="s">
        <v>196</v>
      </c>
      <c r="I1657" t="s">
        <v>3490</v>
      </c>
      <c r="J1657" t="s">
        <v>2902</v>
      </c>
    </row>
    <row r="1658" spans="1:10" x14ac:dyDescent="0.25">
      <c r="A1658" t="s">
        <v>2032</v>
      </c>
      <c r="B1658" t="s">
        <v>159</v>
      </c>
      <c r="C1658">
        <v>6</v>
      </c>
      <c r="D1658" t="s">
        <v>3116</v>
      </c>
      <c r="E1658">
        <v>87</v>
      </c>
      <c r="F1658">
        <v>18</v>
      </c>
      <c r="G1658">
        <v>69</v>
      </c>
      <c r="H1658" t="s">
        <v>196</v>
      </c>
      <c r="I1658" t="s">
        <v>3490</v>
      </c>
      <c r="J1658" t="s">
        <v>2902</v>
      </c>
    </row>
    <row r="1659" spans="1:10" x14ac:dyDescent="0.25">
      <c r="A1659" t="s">
        <v>2032</v>
      </c>
      <c r="B1659" t="s">
        <v>159</v>
      </c>
      <c r="C1659">
        <v>6</v>
      </c>
      <c r="D1659" t="s">
        <v>3118</v>
      </c>
      <c r="E1659">
        <v>79</v>
      </c>
      <c r="F1659">
        <v>29</v>
      </c>
      <c r="G1659">
        <v>50</v>
      </c>
      <c r="H1659" t="s">
        <v>3494</v>
      </c>
      <c r="I1659" t="s">
        <v>3490</v>
      </c>
      <c r="J1659" t="s">
        <v>2902</v>
      </c>
    </row>
    <row r="1660" spans="1:10" x14ac:dyDescent="0.25">
      <c r="A1660" t="s">
        <v>2032</v>
      </c>
      <c r="B1660" t="s">
        <v>159</v>
      </c>
      <c r="C1660">
        <v>6</v>
      </c>
      <c r="D1660" t="s">
        <v>3120</v>
      </c>
      <c r="E1660">
        <v>64</v>
      </c>
      <c r="F1660">
        <v>11</v>
      </c>
      <c r="G1660">
        <v>53</v>
      </c>
      <c r="H1660" t="s">
        <v>3489</v>
      </c>
      <c r="I1660" t="s">
        <v>3490</v>
      </c>
      <c r="J1660" t="s">
        <v>2902</v>
      </c>
    </row>
    <row r="1661" spans="1:10" x14ac:dyDescent="0.25">
      <c r="A1661" t="s">
        <v>2032</v>
      </c>
      <c r="B1661" t="s">
        <v>159</v>
      </c>
      <c r="C1661">
        <v>6</v>
      </c>
      <c r="D1661" t="s">
        <v>3122</v>
      </c>
      <c r="E1661">
        <v>49</v>
      </c>
      <c r="F1661">
        <v>29</v>
      </c>
      <c r="G1661">
        <v>20</v>
      </c>
      <c r="H1661" t="s">
        <v>3491</v>
      </c>
      <c r="I1661" t="s">
        <v>3492</v>
      </c>
      <c r="J1661" t="s">
        <v>2902</v>
      </c>
    </row>
    <row r="1662" spans="1:10" x14ac:dyDescent="0.25">
      <c r="A1662" t="s">
        <v>2037</v>
      </c>
      <c r="B1662" t="s">
        <v>159</v>
      </c>
      <c r="C1662">
        <v>8</v>
      </c>
      <c r="D1662" t="s">
        <v>3114</v>
      </c>
      <c r="E1662">
        <v>90</v>
      </c>
      <c r="F1662">
        <v>21</v>
      </c>
      <c r="G1662">
        <v>69</v>
      </c>
      <c r="H1662" t="s">
        <v>3495</v>
      </c>
      <c r="I1662" t="s">
        <v>3490</v>
      </c>
      <c r="J1662" t="s">
        <v>2902</v>
      </c>
    </row>
    <row r="1663" spans="1:10" x14ac:dyDescent="0.25">
      <c r="A1663" t="s">
        <v>2037</v>
      </c>
      <c r="B1663" t="s">
        <v>159</v>
      </c>
      <c r="C1663">
        <v>8</v>
      </c>
      <c r="D1663" t="s">
        <v>3116</v>
      </c>
      <c r="E1663">
        <v>95</v>
      </c>
      <c r="F1663">
        <v>27</v>
      </c>
      <c r="G1663">
        <v>68</v>
      </c>
      <c r="H1663" t="s">
        <v>3495</v>
      </c>
      <c r="I1663" t="s">
        <v>3490</v>
      </c>
      <c r="J1663" t="s">
        <v>2902</v>
      </c>
    </row>
    <row r="1664" spans="1:10" x14ac:dyDescent="0.25">
      <c r="A1664" t="s">
        <v>2037</v>
      </c>
      <c r="B1664" t="s">
        <v>159</v>
      </c>
      <c r="C1664">
        <v>8</v>
      </c>
      <c r="D1664" t="s">
        <v>3118</v>
      </c>
      <c r="E1664">
        <v>63</v>
      </c>
      <c r="F1664">
        <v>16</v>
      </c>
      <c r="G1664">
        <v>47</v>
      </c>
      <c r="H1664" t="s">
        <v>3489</v>
      </c>
      <c r="I1664" t="s">
        <v>3490</v>
      </c>
      <c r="J1664" t="s">
        <v>2902</v>
      </c>
    </row>
    <row r="1665" spans="1:10" x14ac:dyDescent="0.25">
      <c r="A1665" t="s">
        <v>2037</v>
      </c>
      <c r="B1665" t="s">
        <v>159</v>
      </c>
      <c r="C1665">
        <v>8</v>
      </c>
      <c r="D1665" t="s">
        <v>3120</v>
      </c>
      <c r="E1665">
        <v>78</v>
      </c>
      <c r="F1665">
        <v>23</v>
      </c>
      <c r="G1665">
        <v>55</v>
      </c>
      <c r="H1665" t="s">
        <v>3494</v>
      </c>
      <c r="I1665" t="s">
        <v>3490</v>
      </c>
      <c r="J1665" t="s">
        <v>2902</v>
      </c>
    </row>
    <row r="1666" spans="1:10" x14ac:dyDescent="0.25">
      <c r="A1666" t="s">
        <v>2037</v>
      </c>
      <c r="B1666" t="s">
        <v>159</v>
      </c>
      <c r="C1666">
        <v>8</v>
      </c>
      <c r="D1666" t="s">
        <v>3122</v>
      </c>
      <c r="E1666">
        <v>54</v>
      </c>
      <c r="F1666">
        <v>16</v>
      </c>
      <c r="G1666">
        <v>38</v>
      </c>
      <c r="H1666" t="s">
        <v>3493</v>
      </c>
      <c r="I1666" t="s">
        <v>3490</v>
      </c>
      <c r="J1666" t="s">
        <v>2902</v>
      </c>
    </row>
    <row r="1667" spans="1:10" x14ac:dyDescent="0.25">
      <c r="A1667" t="s">
        <v>2042</v>
      </c>
      <c r="B1667" t="s">
        <v>75</v>
      </c>
      <c r="C1667">
        <v>4</v>
      </c>
      <c r="D1667" t="s">
        <v>3034</v>
      </c>
      <c r="E1667">
        <v>56</v>
      </c>
      <c r="F1667">
        <v>27</v>
      </c>
      <c r="G1667">
        <v>29</v>
      </c>
      <c r="H1667" t="s">
        <v>3493</v>
      </c>
      <c r="I1667" t="s">
        <v>3490</v>
      </c>
      <c r="J1667" t="s">
        <v>2961</v>
      </c>
    </row>
    <row r="1668" spans="1:10" x14ac:dyDescent="0.25">
      <c r="A1668" t="s">
        <v>2042</v>
      </c>
      <c r="B1668" t="s">
        <v>75</v>
      </c>
      <c r="C1668">
        <v>4</v>
      </c>
      <c r="D1668" t="s">
        <v>3036</v>
      </c>
      <c r="E1668">
        <v>76</v>
      </c>
      <c r="F1668">
        <v>22</v>
      </c>
      <c r="G1668">
        <v>54</v>
      </c>
      <c r="H1668" t="s">
        <v>3494</v>
      </c>
      <c r="I1668" t="s">
        <v>3490</v>
      </c>
      <c r="J1668" t="s">
        <v>2961</v>
      </c>
    </row>
    <row r="1669" spans="1:10" x14ac:dyDescent="0.25">
      <c r="A1669" t="s">
        <v>2042</v>
      </c>
      <c r="B1669" t="s">
        <v>75</v>
      </c>
      <c r="C1669">
        <v>4</v>
      </c>
      <c r="D1669" t="s">
        <v>3038</v>
      </c>
      <c r="E1669">
        <v>84</v>
      </c>
      <c r="F1669">
        <v>28</v>
      </c>
      <c r="G1669">
        <v>56</v>
      </c>
      <c r="H1669" t="s">
        <v>196</v>
      </c>
      <c r="I1669" t="s">
        <v>3490</v>
      </c>
      <c r="J1669" t="s">
        <v>2961</v>
      </c>
    </row>
    <row r="1670" spans="1:10" x14ac:dyDescent="0.25">
      <c r="A1670" t="s">
        <v>2042</v>
      </c>
      <c r="B1670" t="s">
        <v>75</v>
      </c>
      <c r="C1670">
        <v>4</v>
      </c>
      <c r="D1670" t="s">
        <v>3040</v>
      </c>
      <c r="E1670">
        <v>74</v>
      </c>
      <c r="F1670">
        <v>29</v>
      </c>
      <c r="G1670">
        <v>45</v>
      </c>
      <c r="H1670" t="s">
        <v>3494</v>
      </c>
      <c r="I1670" t="s">
        <v>3490</v>
      </c>
      <c r="J1670" t="s">
        <v>2961</v>
      </c>
    </row>
    <row r="1671" spans="1:10" x14ac:dyDescent="0.25">
      <c r="A1671" t="s">
        <v>2042</v>
      </c>
      <c r="B1671" t="s">
        <v>75</v>
      </c>
      <c r="C1671">
        <v>4</v>
      </c>
      <c r="D1671" t="s">
        <v>3042</v>
      </c>
      <c r="E1671">
        <v>59</v>
      </c>
      <c r="F1671">
        <v>15</v>
      </c>
      <c r="G1671">
        <v>44</v>
      </c>
      <c r="H1671" t="s">
        <v>3493</v>
      </c>
      <c r="I1671" t="s">
        <v>3490</v>
      </c>
      <c r="J1671" t="s">
        <v>2961</v>
      </c>
    </row>
    <row r="1672" spans="1:10" x14ac:dyDescent="0.25">
      <c r="A1672" t="s">
        <v>2047</v>
      </c>
      <c r="B1672" t="s">
        <v>63</v>
      </c>
      <c r="C1672">
        <v>8</v>
      </c>
      <c r="D1672" t="s">
        <v>3414</v>
      </c>
      <c r="E1672">
        <v>78</v>
      </c>
      <c r="F1672">
        <v>29</v>
      </c>
      <c r="G1672">
        <v>49</v>
      </c>
      <c r="H1672" t="s">
        <v>3494</v>
      </c>
      <c r="I1672" t="s">
        <v>3490</v>
      </c>
      <c r="J1672" t="s">
        <v>2932</v>
      </c>
    </row>
    <row r="1673" spans="1:10" x14ac:dyDescent="0.25">
      <c r="A1673" t="s">
        <v>2047</v>
      </c>
      <c r="B1673" t="s">
        <v>63</v>
      </c>
      <c r="C1673">
        <v>8</v>
      </c>
      <c r="D1673" t="s">
        <v>3416</v>
      </c>
      <c r="E1673">
        <v>63</v>
      </c>
      <c r="F1673">
        <v>10</v>
      </c>
      <c r="G1673">
        <v>53</v>
      </c>
      <c r="H1673" t="s">
        <v>3489</v>
      </c>
      <c r="I1673" t="s">
        <v>3490</v>
      </c>
      <c r="J1673" t="s">
        <v>2932</v>
      </c>
    </row>
    <row r="1674" spans="1:10" x14ac:dyDescent="0.25">
      <c r="A1674" t="s">
        <v>2047</v>
      </c>
      <c r="B1674" t="s">
        <v>63</v>
      </c>
      <c r="C1674">
        <v>8</v>
      </c>
      <c r="D1674" t="s">
        <v>3418</v>
      </c>
      <c r="E1674">
        <v>71</v>
      </c>
      <c r="F1674">
        <v>17</v>
      </c>
      <c r="G1674">
        <v>54</v>
      </c>
      <c r="H1674" t="s">
        <v>3494</v>
      </c>
      <c r="I1674" t="s">
        <v>3490</v>
      </c>
      <c r="J1674" t="s">
        <v>2932</v>
      </c>
    </row>
    <row r="1675" spans="1:10" x14ac:dyDescent="0.25">
      <c r="A1675" t="s">
        <v>2047</v>
      </c>
      <c r="B1675" t="s">
        <v>63</v>
      </c>
      <c r="C1675">
        <v>8</v>
      </c>
      <c r="D1675" t="s">
        <v>3420</v>
      </c>
      <c r="E1675">
        <v>78</v>
      </c>
      <c r="F1675">
        <v>23</v>
      </c>
      <c r="G1675">
        <v>55</v>
      </c>
      <c r="H1675" t="s">
        <v>3494</v>
      </c>
      <c r="I1675" t="s">
        <v>3490</v>
      </c>
      <c r="J1675" t="s">
        <v>2932</v>
      </c>
    </row>
    <row r="1676" spans="1:10" x14ac:dyDescent="0.25">
      <c r="A1676" t="s">
        <v>2047</v>
      </c>
      <c r="B1676" t="s">
        <v>63</v>
      </c>
      <c r="C1676">
        <v>8</v>
      </c>
      <c r="D1676" t="s">
        <v>3422</v>
      </c>
      <c r="E1676">
        <v>80</v>
      </c>
      <c r="F1676">
        <v>27</v>
      </c>
      <c r="G1676">
        <v>53</v>
      </c>
      <c r="H1676" t="s">
        <v>196</v>
      </c>
      <c r="I1676" t="s">
        <v>3490</v>
      </c>
      <c r="J1676" t="s">
        <v>2932</v>
      </c>
    </row>
    <row r="1677" spans="1:10" x14ac:dyDescent="0.25">
      <c r="A1677" t="s">
        <v>2052</v>
      </c>
      <c r="B1677" t="s">
        <v>105</v>
      </c>
      <c r="C1677">
        <v>6</v>
      </c>
      <c r="D1677" t="s">
        <v>3174</v>
      </c>
      <c r="E1677">
        <v>86</v>
      </c>
      <c r="F1677">
        <v>30</v>
      </c>
      <c r="G1677">
        <v>56</v>
      </c>
      <c r="H1677" t="s">
        <v>196</v>
      </c>
      <c r="I1677" t="s">
        <v>3490</v>
      </c>
      <c r="J1677" t="s">
        <v>2908</v>
      </c>
    </row>
    <row r="1678" spans="1:10" x14ac:dyDescent="0.25">
      <c r="A1678" t="s">
        <v>2052</v>
      </c>
      <c r="B1678" t="s">
        <v>105</v>
      </c>
      <c r="C1678">
        <v>6</v>
      </c>
      <c r="D1678" t="s">
        <v>3176</v>
      </c>
      <c r="E1678">
        <v>63</v>
      </c>
      <c r="F1678">
        <v>13</v>
      </c>
      <c r="G1678">
        <v>50</v>
      </c>
      <c r="H1678" t="s">
        <v>3489</v>
      </c>
      <c r="I1678" t="s">
        <v>3490</v>
      </c>
      <c r="J1678" t="s">
        <v>2908</v>
      </c>
    </row>
    <row r="1679" spans="1:10" x14ac:dyDescent="0.25">
      <c r="A1679" t="s">
        <v>2052</v>
      </c>
      <c r="B1679" t="s">
        <v>105</v>
      </c>
      <c r="C1679">
        <v>6</v>
      </c>
      <c r="D1679" t="s">
        <v>3178</v>
      </c>
      <c r="E1679">
        <v>89</v>
      </c>
      <c r="F1679">
        <v>26</v>
      </c>
      <c r="G1679">
        <v>63</v>
      </c>
      <c r="H1679" t="s">
        <v>196</v>
      </c>
      <c r="I1679" t="s">
        <v>3490</v>
      </c>
      <c r="J1679" t="s">
        <v>2908</v>
      </c>
    </row>
    <row r="1680" spans="1:10" x14ac:dyDescent="0.25">
      <c r="A1680" t="s">
        <v>2052</v>
      </c>
      <c r="B1680" t="s">
        <v>105</v>
      </c>
      <c r="C1680">
        <v>6</v>
      </c>
      <c r="D1680" t="s">
        <v>3180</v>
      </c>
      <c r="E1680">
        <v>81</v>
      </c>
      <c r="F1680">
        <v>30</v>
      </c>
      <c r="G1680">
        <v>51</v>
      </c>
      <c r="H1680" t="s">
        <v>196</v>
      </c>
      <c r="I1680" t="s">
        <v>3490</v>
      </c>
      <c r="J1680" t="s">
        <v>2908</v>
      </c>
    </row>
    <row r="1681" spans="1:10" x14ac:dyDescent="0.25">
      <c r="A1681" t="s">
        <v>2052</v>
      </c>
      <c r="B1681" t="s">
        <v>105</v>
      </c>
      <c r="C1681">
        <v>6</v>
      </c>
      <c r="D1681" t="s">
        <v>3182</v>
      </c>
      <c r="E1681">
        <v>53</v>
      </c>
      <c r="F1681">
        <v>29</v>
      </c>
      <c r="G1681">
        <v>24</v>
      </c>
      <c r="H1681" t="s">
        <v>3493</v>
      </c>
      <c r="I1681" t="s">
        <v>3490</v>
      </c>
      <c r="J1681" t="s">
        <v>2908</v>
      </c>
    </row>
    <row r="1682" spans="1:10" x14ac:dyDescent="0.25">
      <c r="A1682" t="s">
        <v>2058</v>
      </c>
      <c r="B1682" t="s">
        <v>95</v>
      </c>
      <c r="C1682">
        <v>8</v>
      </c>
      <c r="D1682" t="s">
        <v>3234</v>
      </c>
      <c r="E1682">
        <v>42</v>
      </c>
      <c r="F1682">
        <v>21</v>
      </c>
      <c r="G1682">
        <v>21</v>
      </c>
      <c r="H1682" t="s">
        <v>3491</v>
      </c>
      <c r="I1682" t="s">
        <v>3492</v>
      </c>
      <c r="J1682" t="s">
        <v>2889</v>
      </c>
    </row>
    <row r="1683" spans="1:10" x14ac:dyDescent="0.25">
      <c r="A1683" t="s">
        <v>2058</v>
      </c>
      <c r="B1683" t="s">
        <v>95</v>
      </c>
      <c r="C1683">
        <v>8</v>
      </c>
      <c r="D1683" t="s">
        <v>3236</v>
      </c>
      <c r="E1683">
        <v>78</v>
      </c>
      <c r="F1683">
        <v>21</v>
      </c>
      <c r="G1683">
        <v>57</v>
      </c>
      <c r="H1683" t="s">
        <v>3494</v>
      </c>
      <c r="I1683" t="s">
        <v>3490</v>
      </c>
      <c r="J1683" t="s">
        <v>2889</v>
      </c>
    </row>
    <row r="1684" spans="1:10" x14ac:dyDescent="0.25">
      <c r="A1684" t="s">
        <v>2058</v>
      </c>
      <c r="B1684" t="s">
        <v>95</v>
      </c>
      <c r="C1684">
        <v>8</v>
      </c>
      <c r="D1684" t="s">
        <v>3238</v>
      </c>
      <c r="E1684">
        <v>54</v>
      </c>
      <c r="F1684">
        <v>23</v>
      </c>
      <c r="G1684">
        <v>31</v>
      </c>
      <c r="H1684" t="s">
        <v>3493</v>
      </c>
      <c r="I1684" t="s">
        <v>3490</v>
      </c>
      <c r="J1684" t="s">
        <v>2889</v>
      </c>
    </row>
    <row r="1685" spans="1:10" x14ac:dyDescent="0.25">
      <c r="A1685" t="s">
        <v>2058</v>
      </c>
      <c r="B1685" t="s">
        <v>95</v>
      </c>
      <c r="C1685">
        <v>8</v>
      </c>
      <c r="D1685" t="s">
        <v>3240</v>
      </c>
      <c r="E1685">
        <v>70</v>
      </c>
      <c r="F1685">
        <v>21</v>
      </c>
      <c r="G1685">
        <v>49</v>
      </c>
      <c r="H1685" t="s">
        <v>3494</v>
      </c>
      <c r="I1685" t="s">
        <v>3490</v>
      </c>
      <c r="J1685" t="s">
        <v>2889</v>
      </c>
    </row>
    <row r="1686" spans="1:10" x14ac:dyDescent="0.25">
      <c r="A1686" t="s">
        <v>2058</v>
      </c>
      <c r="B1686" t="s">
        <v>95</v>
      </c>
      <c r="C1686">
        <v>8</v>
      </c>
      <c r="D1686" t="s">
        <v>3242</v>
      </c>
      <c r="E1686">
        <v>68</v>
      </c>
      <c r="F1686">
        <v>12</v>
      </c>
      <c r="G1686">
        <v>56</v>
      </c>
      <c r="H1686" t="s">
        <v>3489</v>
      </c>
      <c r="I1686" t="s">
        <v>3490</v>
      </c>
      <c r="J1686" t="s">
        <v>2889</v>
      </c>
    </row>
    <row r="1687" spans="1:10" x14ac:dyDescent="0.25">
      <c r="A1687" t="s">
        <v>2064</v>
      </c>
      <c r="B1687" t="s">
        <v>122</v>
      </c>
      <c r="C1687">
        <v>8</v>
      </c>
      <c r="D1687" t="s">
        <v>3294</v>
      </c>
      <c r="E1687">
        <v>68</v>
      </c>
      <c r="F1687">
        <v>24</v>
      </c>
      <c r="G1687">
        <v>44</v>
      </c>
      <c r="H1687" t="s">
        <v>3489</v>
      </c>
      <c r="I1687" t="s">
        <v>3490</v>
      </c>
      <c r="J1687" t="s">
        <v>2919</v>
      </c>
    </row>
    <row r="1688" spans="1:10" x14ac:dyDescent="0.25">
      <c r="A1688" t="s">
        <v>2064</v>
      </c>
      <c r="B1688" t="s">
        <v>122</v>
      </c>
      <c r="C1688">
        <v>8</v>
      </c>
      <c r="D1688" t="s">
        <v>3296</v>
      </c>
      <c r="E1688">
        <v>74</v>
      </c>
      <c r="F1688">
        <v>10</v>
      </c>
      <c r="G1688">
        <v>64</v>
      </c>
      <c r="H1688" t="s">
        <v>3494</v>
      </c>
      <c r="I1688" t="s">
        <v>3490</v>
      </c>
      <c r="J1688" t="s">
        <v>2919</v>
      </c>
    </row>
    <row r="1689" spans="1:10" x14ac:dyDescent="0.25">
      <c r="A1689" t="s">
        <v>2064</v>
      </c>
      <c r="B1689" t="s">
        <v>122</v>
      </c>
      <c r="C1689">
        <v>8</v>
      </c>
      <c r="D1689" t="s">
        <v>3298</v>
      </c>
      <c r="E1689">
        <v>64</v>
      </c>
      <c r="F1689">
        <v>29</v>
      </c>
      <c r="G1689">
        <v>35</v>
      </c>
      <c r="H1689" t="s">
        <v>3489</v>
      </c>
      <c r="I1689" t="s">
        <v>3490</v>
      </c>
      <c r="J1689" t="s">
        <v>2919</v>
      </c>
    </row>
    <row r="1690" spans="1:10" x14ac:dyDescent="0.25">
      <c r="A1690" t="s">
        <v>2064</v>
      </c>
      <c r="B1690" t="s">
        <v>122</v>
      </c>
      <c r="C1690">
        <v>8</v>
      </c>
      <c r="D1690" t="s">
        <v>3300</v>
      </c>
      <c r="E1690">
        <v>35</v>
      </c>
      <c r="F1690">
        <v>14</v>
      </c>
      <c r="G1690">
        <v>21</v>
      </c>
      <c r="H1690" t="s">
        <v>3491</v>
      </c>
      <c r="I1690" t="s">
        <v>3492</v>
      </c>
      <c r="J1690" t="s">
        <v>2919</v>
      </c>
    </row>
    <row r="1691" spans="1:10" x14ac:dyDescent="0.25">
      <c r="A1691" t="s">
        <v>2064</v>
      </c>
      <c r="B1691" t="s">
        <v>122</v>
      </c>
      <c r="C1691">
        <v>8</v>
      </c>
      <c r="D1691" t="s">
        <v>3302</v>
      </c>
      <c r="E1691">
        <v>40</v>
      </c>
      <c r="F1691">
        <v>12</v>
      </c>
      <c r="G1691">
        <v>28</v>
      </c>
      <c r="H1691" t="s">
        <v>3491</v>
      </c>
      <c r="I1691" t="s">
        <v>3492</v>
      </c>
      <c r="J1691" t="s">
        <v>2919</v>
      </c>
    </row>
    <row r="1692" spans="1:10" x14ac:dyDescent="0.25">
      <c r="A1692" t="s">
        <v>2069</v>
      </c>
      <c r="B1692" t="s">
        <v>105</v>
      </c>
      <c r="C1692">
        <v>8</v>
      </c>
      <c r="D1692" t="s">
        <v>3174</v>
      </c>
      <c r="E1692">
        <v>87</v>
      </c>
      <c r="F1692">
        <v>23</v>
      </c>
      <c r="G1692">
        <v>64</v>
      </c>
      <c r="H1692" t="s">
        <v>196</v>
      </c>
      <c r="I1692" t="s">
        <v>3490</v>
      </c>
      <c r="J1692" t="s">
        <v>2908</v>
      </c>
    </row>
    <row r="1693" spans="1:10" x14ac:dyDescent="0.25">
      <c r="A1693" t="s">
        <v>2069</v>
      </c>
      <c r="B1693" t="s">
        <v>105</v>
      </c>
      <c r="C1693">
        <v>8</v>
      </c>
      <c r="D1693" t="s">
        <v>3176</v>
      </c>
      <c r="E1693">
        <v>70</v>
      </c>
      <c r="F1693">
        <v>21</v>
      </c>
      <c r="G1693">
        <v>49</v>
      </c>
      <c r="H1693" t="s">
        <v>3494</v>
      </c>
      <c r="I1693" t="s">
        <v>3490</v>
      </c>
      <c r="J1693" t="s">
        <v>2908</v>
      </c>
    </row>
    <row r="1694" spans="1:10" x14ac:dyDescent="0.25">
      <c r="A1694" t="s">
        <v>2069</v>
      </c>
      <c r="B1694" t="s">
        <v>105</v>
      </c>
      <c r="C1694">
        <v>8</v>
      </c>
      <c r="D1694" t="s">
        <v>3178</v>
      </c>
      <c r="E1694">
        <v>83</v>
      </c>
      <c r="F1694">
        <v>30</v>
      </c>
      <c r="G1694">
        <v>53</v>
      </c>
      <c r="H1694" t="s">
        <v>196</v>
      </c>
      <c r="I1694" t="s">
        <v>3490</v>
      </c>
      <c r="J1694" t="s">
        <v>2908</v>
      </c>
    </row>
    <row r="1695" spans="1:10" x14ac:dyDescent="0.25">
      <c r="A1695" t="s">
        <v>2069</v>
      </c>
      <c r="B1695" t="s">
        <v>105</v>
      </c>
      <c r="C1695">
        <v>8</v>
      </c>
      <c r="D1695" t="s">
        <v>3180</v>
      </c>
      <c r="E1695">
        <v>83</v>
      </c>
      <c r="F1695">
        <v>28</v>
      </c>
      <c r="G1695">
        <v>55</v>
      </c>
      <c r="H1695" t="s">
        <v>196</v>
      </c>
      <c r="I1695" t="s">
        <v>3490</v>
      </c>
      <c r="J1695" t="s">
        <v>2908</v>
      </c>
    </row>
    <row r="1696" spans="1:10" x14ac:dyDescent="0.25">
      <c r="A1696" t="s">
        <v>2069</v>
      </c>
      <c r="B1696" t="s">
        <v>105</v>
      </c>
      <c r="C1696">
        <v>8</v>
      </c>
      <c r="D1696" t="s">
        <v>3182</v>
      </c>
      <c r="E1696">
        <v>59</v>
      </c>
      <c r="F1696">
        <v>15</v>
      </c>
      <c r="G1696">
        <v>44</v>
      </c>
      <c r="H1696" t="s">
        <v>3493</v>
      </c>
      <c r="I1696" t="s">
        <v>3490</v>
      </c>
      <c r="J1696" t="s">
        <v>2908</v>
      </c>
    </row>
    <row r="1697" spans="1:10" x14ac:dyDescent="0.25">
      <c r="A1697" t="s">
        <v>2075</v>
      </c>
      <c r="B1697" t="s">
        <v>159</v>
      </c>
      <c r="C1697">
        <v>4</v>
      </c>
      <c r="D1697" t="s">
        <v>3094</v>
      </c>
      <c r="E1697">
        <v>49</v>
      </c>
      <c r="F1697">
        <v>10</v>
      </c>
      <c r="G1697">
        <v>39</v>
      </c>
      <c r="H1697" t="s">
        <v>3491</v>
      </c>
      <c r="I1697" t="s">
        <v>3492</v>
      </c>
      <c r="J1697" t="s">
        <v>2902</v>
      </c>
    </row>
    <row r="1698" spans="1:10" x14ac:dyDescent="0.25">
      <c r="A1698" t="s">
        <v>2075</v>
      </c>
      <c r="B1698" t="s">
        <v>159</v>
      </c>
      <c r="C1698">
        <v>4</v>
      </c>
      <c r="D1698" t="s">
        <v>3096</v>
      </c>
      <c r="E1698">
        <v>67</v>
      </c>
      <c r="F1698">
        <v>12</v>
      </c>
      <c r="G1698">
        <v>55</v>
      </c>
      <c r="H1698" t="s">
        <v>3489</v>
      </c>
      <c r="I1698" t="s">
        <v>3490</v>
      </c>
      <c r="J1698" t="s">
        <v>2902</v>
      </c>
    </row>
    <row r="1699" spans="1:10" x14ac:dyDescent="0.25">
      <c r="A1699" t="s">
        <v>2075</v>
      </c>
      <c r="B1699" t="s">
        <v>159</v>
      </c>
      <c r="C1699">
        <v>4</v>
      </c>
      <c r="D1699" t="s">
        <v>3098</v>
      </c>
      <c r="E1699">
        <v>78</v>
      </c>
      <c r="F1699">
        <v>10</v>
      </c>
      <c r="G1699">
        <v>68</v>
      </c>
      <c r="H1699" t="s">
        <v>3494</v>
      </c>
      <c r="I1699" t="s">
        <v>3490</v>
      </c>
      <c r="J1699" t="s">
        <v>2902</v>
      </c>
    </row>
    <row r="1700" spans="1:10" x14ac:dyDescent="0.25">
      <c r="A1700" t="s">
        <v>2075</v>
      </c>
      <c r="B1700" t="s">
        <v>159</v>
      </c>
      <c r="C1700">
        <v>4</v>
      </c>
      <c r="D1700" t="s">
        <v>3100</v>
      </c>
      <c r="E1700">
        <v>71</v>
      </c>
      <c r="F1700">
        <v>28</v>
      </c>
      <c r="G1700">
        <v>43</v>
      </c>
      <c r="H1700" t="s">
        <v>3494</v>
      </c>
      <c r="I1700" t="s">
        <v>3490</v>
      </c>
      <c r="J1700" t="s">
        <v>2902</v>
      </c>
    </row>
    <row r="1701" spans="1:10" x14ac:dyDescent="0.25">
      <c r="A1701" t="s">
        <v>2075</v>
      </c>
      <c r="B1701" t="s">
        <v>159</v>
      </c>
      <c r="C1701">
        <v>4</v>
      </c>
      <c r="D1701" t="s">
        <v>3102</v>
      </c>
      <c r="E1701">
        <v>38</v>
      </c>
      <c r="F1701">
        <v>14</v>
      </c>
      <c r="G1701">
        <v>24</v>
      </c>
      <c r="H1701" t="s">
        <v>3491</v>
      </c>
      <c r="I1701" t="s">
        <v>3492</v>
      </c>
      <c r="J1701" t="s">
        <v>2902</v>
      </c>
    </row>
    <row r="1702" spans="1:10" x14ac:dyDescent="0.25">
      <c r="A1702" t="s">
        <v>2080</v>
      </c>
      <c r="B1702" t="s">
        <v>75</v>
      </c>
      <c r="C1702">
        <v>4</v>
      </c>
      <c r="D1702" t="s">
        <v>3034</v>
      </c>
      <c r="E1702">
        <v>67</v>
      </c>
      <c r="F1702">
        <v>24</v>
      </c>
      <c r="G1702">
        <v>43</v>
      </c>
      <c r="H1702" t="s">
        <v>3489</v>
      </c>
      <c r="I1702" t="s">
        <v>3490</v>
      </c>
      <c r="J1702" t="s">
        <v>2961</v>
      </c>
    </row>
    <row r="1703" spans="1:10" x14ac:dyDescent="0.25">
      <c r="A1703" t="s">
        <v>2080</v>
      </c>
      <c r="B1703" t="s">
        <v>75</v>
      </c>
      <c r="C1703">
        <v>4</v>
      </c>
      <c r="D1703" t="s">
        <v>3036</v>
      </c>
      <c r="E1703">
        <v>72</v>
      </c>
      <c r="F1703">
        <v>20</v>
      </c>
      <c r="G1703">
        <v>52</v>
      </c>
      <c r="H1703" t="s">
        <v>3494</v>
      </c>
      <c r="I1703" t="s">
        <v>3490</v>
      </c>
      <c r="J1703" t="s">
        <v>2961</v>
      </c>
    </row>
    <row r="1704" spans="1:10" x14ac:dyDescent="0.25">
      <c r="A1704" t="s">
        <v>2080</v>
      </c>
      <c r="B1704" t="s">
        <v>75</v>
      </c>
      <c r="C1704">
        <v>4</v>
      </c>
      <c r="D1704" t="s">
        <v>3038</v>
      </c>
      <c r="E1704">
        <v>47</v>
      </c>
      <c r="F1704">
        <v>20</v>
      </c>
      <c r="G1704">
        <v>27</v>
      </c>
      <c r="H1704" t="s">
        <v>3491</v>
      </c>
      <c r="I1704" t="s">
        <v>3492</v>
      </c>
      <c r="J1704" t="s">
        <v>2961</v>
      </c>
    </row>
    <row r="1705" spans="1:10" x14ac:dyDescent="0.25">
      <c r="A1705" t="s">
        <v>2080</v>
      </c>
      <c r="B1705" t="s">
        <v>75</v>
      </c>
      <c r="C1705">
        <v>4</v>
      </c>
      <c r="D1705" t="s">
        <v>3040</v>
      </c>
      <c r="E1705">
        <v>75</v>
      </c>
      <c r="F1705">
        <v>24</v>
      </c>
      <c r="G1705">
        <v>51</v>
      </c>
      <c r="H1705" t="s">
        <v>3494</v>
      </c>
      <c r="I1705" t="s">
        <v>3490</v>
      </c>
      <c r="J1705" t="s">
        <v>2961</v>
      </c>
    </row>
    <row r="1706" spans="1:10" x14ac:dyDescent="0.25">
      <c r="A1706" t="s">
        <v>2080</v>
      </c>
      <c r="B1706" t="s">
        <v>75</v>
      </c>
      <c r="C1706">
        <v>4</v>
      </c>
      <c r="D1706" t="s">
        <v>3042</v>
      </c>
      <c r="E1706">
        <v>62</v>
      </c>
      <c r="F1706">
        <v>24</v>
      </c>
      <c r="G1706">
        <v>38</v>
      </c>
      <c r="H1706" t="s">
        <v>3489</v>
      </c>
      <c r="I1706" t="s">
        <v>3490</v>
      </c>
      <c r="J1706" t="s">
        <v>2961</v>
      </c>
    </row>
    <row r="1707" spans="1:10" x14ac:dyDescent="0.25">
      <c r="A1707" t="s">
        <v>2086</v>
      </c>
      <c r="B1707" t="s">
        <v>105</v>
      </c>
      <c r="C1707">
        <v>4</v>
      </c>
      <c r="D1707" t="s">
        <v>3154</v>
      </c>
      <c r="E1707">
        <v>74</v>
      </c>
      <c r="F1707">
        <v>12</v>
      </c>
      <c r="G1707">
        <v>62</v>
      </c>
      <c r="H1707" t="s">
        <v>3494</v>
      </c>
      <c r="I1707" t="s">
        <v>3490</v>
      </c>
      <c r="J1707" t="s">
        <v>2908</v>
      </c>
    </row>
    <row r="1708" spans="1:10" x14ac:dyDescent="0.25">
      <c r="A1708" t="s">
        <v>2086</v>
      </c>
      <c r="B1708" t="s">
        <v>105</v>
      </c>
      <c r="C1708">
        <v>4</v>
      </c>
      <c r="D1708" t="s">
        <v>3156</v>
      </c>
      <c r="E1708">
        <v>65</v>
      </c>
      <c r="F1708">
        <v>14</v>
      </c>
      <c r="G1708">
        <v>51</v>
      </c>
      <c r="H1708" t="s">
        <v>3489</v>
      </c>
      <c r="I1708" t="s">
        <v>3490</v>
      </c>
      <c r="J1708" t="s">
        <v>2908</v>
      </c>
    </row>
    <row r="1709" spans="1:10" x14ac:dyDescent="0.25">
      <c r="A1709" t="s">
        <v>2086</v>
      </c>
      <c r="B1709" t="s">
        <v>105</v>
      </c>
      <c r="C1709">
        <v>4</v>
      </c>
      <c r="D1709" t="s">
        <v>3158</v>
      </c>
      <c r="E1709">
        <v>63</v>
      </c>
      <c r="F1709">
        <v>19</v>
      </c>
      <c r="G1709">
        <v>44</v>
      </c>
      <c r="H1709" t="s">
        <v>3489</v>
      </c>
      <c r="I1709" t="s">
        <v>3490</v>
      </c>
      <c r="J1709" t="s">
        <v>2908</v>
      </c>
    </row>
    <row r="1710" spans="1:10" x14ac:dyDescent="0.25">
      <c r="A1710" t="s">
        <v>2086</v>
      </c>
      <c r="B1710" t="s">
        <v>105</v>
      </c>
      <c r="C1710">
        <v>4</v>
      </c>
      <c r="D1710" t="s">
        <v>3160</v>
      </c>
      <c r="E1710">
        <v>60</v>
      </c>
      <c r="F1710">
        <v>29</v>
      </c>
      <c r="G1710">
        <v>31</v>
      </c>
      <c r="H1710" t="s">
        <v>3489</v>
      </c>
      <c r="I1710" t="s">
        <v>3490</v>
      </c>
      <c r="J1710" t="s">
        <v>2908</v>
      </c>
    </row>
    <row r="1711" spans="1:10" x14ac:dyDescent="0.25">
      <c r="A1711" t="s">
        <v>2086</v>
      </c>
      <c r="B1711" t="s">
        <v>105</v>
      </c>
      <c r="C1711">
        <v>4</v>
      </c>
      <c r="D1711" t="s">
        <v>3162</v>
      </c>
      <c r="E1711">
        <v>38</v>
      </c>
      <c r="F1711">
        <v>12</v>
      </c>
      <c r="G1711">
        <v>26</v>
      </c>
      <c r="H1711" t="s">
        <v>3491</v>
      </c>
      <c r="I1711" t="s">
        <v>3492</v>
      </c>
      <c r="J1711" t="s">
        <v>2908</v>
      </c>
    </row>
    <row r="1712" spans="1:10" x14ac:dyDescent="0.25">
      <c r="A1712" t="s">
        <v>2091</v>
      </c>
      <c r="B1712" t="s">
        <v>63</v>
      </c>
      <c r="C1712">
        <v>4</v>
      </c>
      <c r="D1712" t="s">
        <v>3394</v>
      </c>
      <c r="E1712">
        <v>90</v>
      </c>
      <c r="F1712">
        <v>27</v>
      </c>
      <c r="G1712">
        <v>63</v>
      </c>
      <c r="H1712" t="s">
        <v>3495</v>
      </c>
      <c r="I1712" t="s">
        <v>3490</v>
      </c>
      <c r="J1712" t="s">
        <v>2932</v>
      </c>
    </row>
    <row r="1713" spans="1:10" x14ac:dyDescent="0.25">
      <c r="A1713" t="s">
        <v>2091</v>
      </c>
      <c r="B1713" t="s">
        <v>63</v>
      </c>
      <c r="C1713">
        <v>4</v>
      </c>
      <c r="D1713" t="s">
        <v>3396</v>
      </c>
      <c r="E1713">
        <v>85</v>
      </c>
      <c r="F1713">
        <v>30</v>
      </c>
      <c r="G1713">
        <v>55</v>
      </c>
      <c r="H1713" t="s">
        <v>196</v>
      </c>
      <c r="I1713" t="s">
        <v>3490</v>
      </c>
      <c r="J1713" t="s">
        <v>2932</v>
      </c>
    </row>
    <row r="1714" spans="1:10" x14ac:dyDescent="0.25">
      <c r="A1714" t="s">
        <v>2091</v>
      </c>
      <c r="B1714" t="s">
        <v>63</v>
      </c>
      <c r="C1714">
        <v>4</v>
      </c>
      <c r="D1714" t="s">
        <v>3398</v>
      </c>
      <c r="E1714">
        <v>51</v>
      </c>
      <c r="F1714">
        <v>14</v>
      </c>
      <c r="G1714">
        <v>37</v>
      </c>
      <c r="H1714" t="s">
        <v>3493</v>
      </c>
      <c r="I1714" t="s">
        <v>3490</v>
      </c>
      <c r="J1714" t="s">
        <v>2932</v>
      </c>
    </row>
    <row r="1715" spans="1:10" x14ac:dyDescent="0.25">
      <c r="A1715" t="s">
        <v>2091</v>
      </c>
      <c r="B1715" t="s">
        <v>63</v>
      </c>
      <c r="C1715">
        <v>4</v>
      </c>
      <c r="D1715" t="s">
        <v>3400</v>
      </c>
      <c r="E1715">
        <v>70</v>
      </c>
      <c r="F1715">
        <v>12</v>
      </c>
      <c r="G1715">
        <v>58</v>
      </c>
      <c r="H1715" t="s">
        <v>3494</v>
      </c>
      <c r="I1715" t="s">
        <v>3490</v>
      </c>
      <c r="J1715" t="s">
        <v>2932</v>
      </c>
    </row>
    <row r="1716" spans="1:10" x14ac:dyDescent="0.25">
      <c r="A1716" t="s">
        <v>2091</v>
      </c>
      <c r="B1716" t="s">
        <v>63</v>
      </c>
      <c r="C1716">
        <v>4</v>
      </c>
      <c r="D1716" t="s">
        <v>3402</v>
      </c>
      <c r="E1716">
        <v>73</v>
      </c>
      <c r="F1716">
        <v>28</v>
      </c>
      <c r="G1716">
        <v>45</v>
      </c>
      <c r="H1716" t="s">
        <v>3494</v>
      </c>
      <c r="I1716" t="s">
        <v>3490</v>
      </c>
      <c r="J1716" t="s">
        <v>2932</v>
      </c>
    </row>
    <row r="1717" spans="1:10" x14ac:dyDescent="0.25">
      <c r="A1717" t="s">
        <v>2095</v>
      </c>
      <c r="B1717" t="s">
        <v>95</v>
      </c>
      <c r="C1717">
        <v>8</v>
      </c>
      <c r="D1717" t="s">
        <v>3234</v>
      </c>
      <c r="E1717">
        <v>61</v>
      </c>
      <c r="F1717">
        <v>14</v>
      </c>
      <c r="G1717">
        <v>47</v>
      </c>
      <c r="H1717" t="s">
        <v>3489</v>
      </c>
      <c r="I1717" t="s">
        <v>3490</v>
      </c>
      <c r="J1717" t="s">
        <v>2889</v>
      </c>
    </row>
    <row r="1718" spans="1:10" x14ac:dyDescent="0.25">
      <c r="A1718" t="s">
        <v>2095</v>
      </c>
      <c r="B1718" t="s">
        <v>95</v>
      </c>
      <c r="C1718">
        <v>8</v>
      </c>
      <c r="D1718" t="s">
        <v>3236</v>
      </c>
      <c r="E1718">
        <v>49</v>
      </c>
      <c r="F1718">
        <v>18</v>
      </c>
      <c r="G1718">
        <v>31</v>
      </c>
      <c r="H1718" t="s">
        <v>3491</v>
      </c>
      <c r="I1718" t="s">
        <v>3492</v>
      </c>
      <c r="J1718" t="s">
        <v>2889</v>
      </c>
    </row>
    <row r="1719" spans="1:10" x14ac:dyDescent="0.25">
      <c r="A1719" t="s">
        <v>2095</v>
      </c>
      <c r="B1719" t="s">
        <v>95</v>
      </c>
      <c r="C1719">
        <v>8</v>
      </c>
      <c r="D1719" t="s">
        <v>3238</v>
      </c>
      <c r="E1719">
        <v>44</v>
      </c>
      <c r="F1719">
        <v>15</v>
      </c>
      <c r="G1719">
        <v>29</v>
      </c>
      <c r="H1719" t="s">
        <v>3491</v>
      </c>
      <c r="I1719" t="s">
        <v>3492</v>
      </c>
      <c r="J1719" t="s">
        <v>2889</v>
      </c>
    </row>
    <row r="1720" spans="1:10" x14ac:dyDescent="0.25">
      <c r="A1720" t="s">
        <v>2095</v>
      </c>
      <c r="B1720" t="s">
        <v>95</v>
      </c>
      <c r="C1720">
        <v>8</v>
      </c>
      <c r="D1720" t="s">
        <v>3240</v>
      </c>
      <c r="E1720">
        <v>79</v>
      </c>
      <c r="F1720">
        <v>29</v>
      </c>
      <c r="G1720">
        <v>50</v>
      </c>
      <c r="H1720" t="s">
        <v>3494</v>
      </c>
      <c r="I1720" t="s">
        <v>3490</v>
      </c>
      <c r="J1720" t="s">
        <v>2889</v>
      </c>
    </row>
    <row r="1721" spans="1:10" x14ac:dyDescent="0.25">
      <c r="A1721" t="s">
        <v>2095</v>
      </c>
      <c r="B1721" t="s">
        <v>95</v>
      </c>
      <c r="C1721">
        <v>8</v>
      </c>
      <c r="D1721" t="s">
        <v>3242</v>
      </c>
      <c r="E1721">
        <v>72</v>
      </c>
      <c r="F1721">
        <v>20</v>
      </c>
      <c r="G1721">
        <v>52</v>
      </c>
      <c r="H1721" t="s">
        <v>3494</v>
      </c>
      <c r="I1721" t="s">
        <v>3490</v>
      </c>
      <c r="J1721" t="s">
        <v>2889</v>
      </c>
    </row>
    <row r="1722" spans="1:10" x14ac:dyDescent="0.25">
      <c r="A1722" t="s">
        <v>2100</v>
      </c>
      <c r="B1722" t="s">
        <v>159</v>
      </c>
      <c r="C1722">
        <v>6</v>
      </c>
      <c r="D1722" t="s">
        <v>3114</v>
      </c>
      <c r="E1722">
        <v>52</v>
      </c>
      <c r="F1722">
        <v>28</v>
      </c>
      <c r="G1722">
        <v>24</v>
      </c>
      <c r="H1722" t="s">
        <v>3493</v>
      </c>
      <c r="I1722" t="s">
        <v>3490</v>
      </c>
      <c r="J1722" t="s">
        <v>2902</v>
      </c>
    </row>
    <row r="1723" spans="1:10" x14ac:dyDescent="0.25">
      <c r="A1723" t="s">
        <v>2100</v>
      </c>
      <c r="B1723" t="s">
        <v>159</v>
      </c>
      <c r="C1723">
        <v>6</v>
      </c>
      <c r="D1723" t="s">
        <v>3116</v>
      </c>
      <c r="E1723">
        <v>47</v>
      </c>
      <c r="F1723">
        <v>24</v>
      </c>
      <c r="G1723">
        <v>23</v>
      </c>
      <c r="H1723" t="s">
        <v>3491</v>
      </c>
      <c r="I1723" t="s">
        <v>3492</v>
      </c>
      <c r="J1723" t="s">
        <v>2902</v>
      </c>
    </row>
    <row r="1724" spans="1:10" x14ac:dyDescent="0.25">
      <c r="A1724" t="s">
        <v>2100</v>
      </c>
      <c r="B1724" t="s">
        <v>159</v>
      </c>
      <c r="C1724">
        <v>6</v>
      </c>
      <c r="D1724" t="s">
        <v>3118</v>
      </c>
      <c r="E1724">
        <v>84</v>
      </c>
      <c r="F1724">
        <v>18</v>
      </c>
      <c r="G1724">
        <v>66</v>
      </c>
      <c r="H1724" t="s">
        <v>196</v>
      </c>
      <c r="I1724" t="s">
        <v>3490</v>
      </c>
      <c r="J1724" t="s">
        <v>2902</v>
      </c>
    </row>
    <row r="1725" spans="1:10" x14ac:dyDescent="0.25">
      <c r="A1725" t="s">
        <v>2100</v>
      </c>
      <c r="B1725" t="s">
        <v>159</v>
      </c>
      <c r="C1725">
        <v>6</v>
      </c>
      <c r="D1725" t="s">
        <v>3120</v>
      </c>
      <c r="E1725">
        <v>58</v>
      </c>
      <c r="F1725">
        <v>21</v>
      </c>
      <c r="G1725">
        <v>37</v>
      </c>
      <c r="H1725" t="s">
        <v>3493</v>
      </c>
      <c r="I1725" t="s">
        <v>3490</v>
      </c>
      <c r="J1725" t="s">
        <v>2902</v>
      </c>
    </row>
    <row r="1726" spans="1:10" x14ac:dyDescent="0.25">
      <c r="A1726" t="s">
        <v>2100</v>
      </c>
      <c r="B1726" t="s">
        <v>159</v>
      </c>
      <c r="C1726">
        <v>6</v>
      </c>
      <c r="D1726" t="s">
        <v>3122</v>
      </c>
      <c r="E1726">
        <v>40</v>
      </c>
      <c r="F1726">
        <v>14</v>
      </c>
      <c r="G1726">
        <v>26</v>
      </c>
      <c r="H1726" t="s">
        <v>3491</v>
      </c>
      <c r="I1726" t="s">
        <v>3492</v>
      </c>
      <c r="J1726" t="s">
        <v>2902</v>
      </c>
    </row>
    <row r="1727" spans="1:10" x14ac:dyDescent="0.25">
      <c r="A1727" t="s">
        <v>2105</v>
      </c>
      <c r="B1727" t="s">
        <v>63</v>
      </c>
      <c r="C1727">
        <v>6</v>
      </c>
      <c r="D1727" t="s">
        <v>3414</v>
      </c>
      <c r="E1727">
        <v>69</v>
      </c>
      <c r="F1727">
        <v>27</v>
      </c>
      <c r="G1727">
        <v>42</v>
      </c>
      <c r="H1727" t="s">
        <v>3489</v>
      </c>
      <c r="I1727" t="s">
        <v>3490</v>
      </c>
      <c r="J1727" t="s">
        <v>2932</v>
      </c>
    </row>
    <row r="1728" spans="1:10" x14ac:dyDescent="0.25">
      <c r="A1728" t="s">
        <v>2105</v>
      </c>
      <c r="B1728" t="s">
        <v>63</v>
      </c>
      <c r="C1728">
        <v>6</v>
      </c>
      <c r="D1728" t="s">
        <v>3416</v>
      </c>
      <c r="E1728">
        <v>62</v>
      </c>
      <c r="F1728">
        <v>19</v>
      </c>
      <c r="G1728">
        <v>43</v>
      </c>
      <c r="H1728" t="s">
        <v>3489</v>
      </c>
      <c r="I1728" t="s">
        <v>3490</v>
      </c>
      <c r="J1728" t="s">
        <v>2932</v>
      </c>
    </row>
    <row r="1729" spans="1:10" x14ac:dyDescent="0.25">
      <c r="A1729" t="s">
        <v>2105</v>
      </c>
      <c r="B1729" t="s">
        <v>63</v>
      </c>
      <c r="C1729">
        <v>6</v>
      </c>
      <c r="D1729" t="s">
        <v>3418</v>
      </c>
      <c r="E1729">
        <v>47</v>
      </c>
      <c r="F1729">
        <v>25</v>
      </c>
      <c r="G1729">
        <v>22</v>
      </c>
      <c r="H1729" t="s">
        <v>3491</v>
      </c>
      <c r="I1729" t="s">
        <v>3492</v>
      </c>
      <c r="J1729" t="s">
        <v>2932</v>
      </c>
    </row>
    <row r="1730" spans="1:10" x14ac:dyDescent="0.25">
      <c r="A1730" t="s">
        <v>2105</v>
      </c>
      <c r="B1730" t="s">
        <v>63</v>
      </c>
      <c r="C1730">
        <v>6</v>
      </c>
      <c r="D1730" t="s">
        <v>3420</v>
      </c>
      <c r="E1730">
        <v>67</v>
      </c>
      <c r="F1730">
        <v>20</v>
      </c>
      <c r="G1730">
        <v>47</v>
      </c>
      <c r="H1730" t="s">
        <v>3489</v>
      </c>
      <c r="I1730" t="s">
        <v>3490</v>
      </c>
      <c r="J1730" t="s">
        <v>2932</v>
      </c>
    </row>
    <row r="1731" spans="1:10" x14ac:dyDescent="0.25">
      <c r="A1731" t="s">
        <v>2105</v>
      </c>
      <c r="B1731" t="s">
        <v>63</v>
      </c>
      <c r="C1731">
        <v>6</v>
      </c>
      <c r="D1731" t="s">
        <v>3422</v>
      </c>
      <c r="E1731">
        <v>54</v>
      </c>
      <c r="F1731">
        <v>26</v>
      </c>
      <c r="G1731">
        <v>28</v>
      </c>
      <c r="H1731" t="s">
        <v>3493</v>
      </c>
      <c r="I1731" t="s">
        <v>3490</v>
      </c>
      <c r="J1731" t="s">
        <v>2932</v>
      </c>
    </row>
    <row r="1732" spans="1:10" x14ac:dyDescent="0.25">
      <c r="A1732" t="s">
        <v>2110</v>
      </c>
      <c r="B1732" t="s">
        <v>30</v>
      </c>
      <c r="C1732">
        <v>8</v>
      </c>
      <c r="D1732" t="s">
        <v>3354</v>
      </c>
      <c r="E1732">
        <v>66</v>
      </c>
      <c r="F1732">
        <v>10</v>
      </c>
      <c r="G1732">
        <v>56</v>
      </c>
      <c r="H1732" t="s">
        <v>3489</v>
      </c>
      <c r="I1732" t="s">
        <v>3490</v>
      </c>
      <c r="J1732" t="s">
        <v>2895</v>
      </c>
    </row>
    <row r="1733" spans="1:10" x14ac:dyDescent="0.25">
      <c r="A1733" t="s">
        <v>2110</v>
      </c>
      <c r="B1733" t="s">
        <v>30</v>
      </c>
      <c r="C1733">
        <v>8</v>
      </c>
      <c r="D1733" t="s">
        <v>3356</v>
      </c>
      <c r="E1733">
        <v>42</v>
      </c>
      <c r="F1733">
        <v>14</v>
      </c>
      <c r="G1733">
        <v>28</v>
      </c>
      <c r="H1733" t="s">
        <v>3491</v>
      </c>
      <c r="I1733" t="s">
        <v>3492</v>
      </c>
      <c r="J1733" t="s">
        <v>2895</v>
      </c>
    </row>
    <row r="1734" spans="1:10" x14ac:dyDescent="0.25">
      <c r="A1734" t="s">
        <v>2110</v>
      </c>
      <c r="B1734" t="s">
        <v>30</v>
      </c>
      <c r="C1734">
        <v>8</v>
      </c>
      <c r="D1734" t="s">
        <v>3358</v>
      </c>
      <c r="E1734">
        <v>72</v>
      </c>
      <c r="F1734">
        <v>21</v>
      </c>
      <c r="G1734">
        <v>51</v>
      </c>
      <c r="H1734" t="s">
        <v>3494</v>
      </c>
      <c r="I1734" t="s">
        <v>3490</v>
      </c>
      <c r="J1734" t="s">
        <v>2895</v>
      </c>
    </row>
    <row r="1735" spans="1:10" x14ac:dyDescent="0.25">
      <c r="A1735" t="s">
        <v>2110</v>
      </c>
      <c r="B1735" t="s">
        <v>30</v>
      </c>
      <c r="C1735">
        <v>8</v>
      </c>
      <c r="D1735" t="s">
        <v>3360</v>
      </c>
      <c r="E1735">
        <v>75</v>
      </c>
      <c r="F1735">
        <v>10</v>
      </c>
      <c r="G1735">
        <v>65</v>
      </c>
      <c r="H1735" t="s">
        <v>3494</v>
      </c>
      <c r="I1735" t="s">
        <v>3490</v>
      </c>
      <c r="J1735" t="s">
        <v>2895</v>
      </c>
    </row>
    <row r="1736" spans="1:10" x14ac:dyDescent="0.25">
      <c r="A1736" t="s">
        <v>2110</v>
      </c>
      <c r="B1736" t="s">
        <v>30</v>
      </c>
      <c r="C1736">
        <v>8</v>
      </c>
      <c r="D1736" t="s">
        <v>3362</v>
      </c>
      <c r="E1736">
        <v>49</v>
      </c>
      <c r="F1736">
        <v>28</v>
      </c>
      <c r="G1736">
        <v>21</v>
      </c>
      <c r="H1736" t="s">
        <v>3491</v>
      </c>
      <c r="I1736" t="s">
        <v>3492</v>
      </c>
      <c r="J1736" t="s">
        <v>2895</v>
      </c>
    </row>
    <row r="1737" spans="1:10" x14ac:dyDescent="0.25">
      <c r="A1737" t="s">
        <v>2116</v>
      </c>
      <c r="B1737" t="s">
        <v>75</v>
      </c>
      <c r="C1737">
        <v>8</v>
      </c>
      <c r="D1737" t="s">
        <v>3054</v>
      </c>
      <c r="E1737">
        <v>35</v>
      </c>
      <c r="F1737">
        <v>11</v>
      </c>
      <c r="G1737">
        <v>24</v>
      </c>
      <c r="H1737" t="s">
        <v>3491</v>
      </c>
      <c r="I1737" t="s">
        <v>3492</v>
      </c>
      <c r="J1737" t="s">
        <v>2961</v>
      </c>
    </row>
    <row r="1738" spans="1:10" x14ac:dyDescent="0.25">
      <c r="A1738" t="s">
        <v>2116</v>
      </c>
      <c r="B1738" t="s">
        <v>75</v>
      </c>
      <c r="C1738">
        <v>8</v>
      </c>
      <c r="D1738" t="s">
        <v>3056</v>
      </c>
      <c r="E1738">
        <v>75</v>
      </c>
      <c r="F1738">
        <v>30</v>
      </c>
      <c r="G1738">
        <v>45</v>
      </c>
      <c r="H1738" t="s">
        <v>3494</v>
      </c>
      <c r="I1738" t="s">
        <v>3490</v>
      </c>
      <c r="J1738" t="s">
        <v>2961</v>
      </c>
    </row>
    <row r="1739" spans="1:10" x14ac:dyDescent="0.25">
      <c r="A1739" t="s">
        <v>2116</v>
      </c>
      <c r="B1739" t="s">
        <v>75</v>
      </c>
      <c r="C1739">
        <v>8</v>
      </c>
      <c r="D1739" t="s">
        <v>3058</v>
      </c>
      <c r="E1739">
        <v>82</v>
      </c>
      <c r="F1739">
        <v>17</v>
      </c>
      <c r="G1739">
        <v>65</v>
      </c>
      <c r="H1739" t="s">
        <v>196</v>
      </c>
      <c r="I1739" t="s">
        <v>3490</v>
      </c>
      <c r="J1739" t="s">
        <v>2961</v>
      </c>
    </row>
    <row r="1740" spans="1:10" x14ac:dyDescent="0.25">
      <c r="A1740" t="s">
        <v>2116</v>
      </c>
      <c r="B1740" t="s">
        <v>75</v>
      </c>
      <c r="C1740">
        <v>8</v>
      </c>
      <c r="D1740" t="s">
        <v>3060</v>
      </c>
      <c r="E1740">
        <v>66</v>
      </c>
      <c r="F1740">
        <v>20</v>
      </c>
      <c r="G1740">
        <v>46</v>
      </c>
      <c r="H1740" t="s">
        <v>3489</v>
      </c>
      <c r="I1740" t="s">
        <v>3490</v>
      </c>
      <c r="J1740" t="s">
        <v>2961</v>
      </c>
    </row>
    <row r="1741" spans="1:10" x14ac:dyDescent="0.25">
      <c r="A1741" t="s">
        <v>2116</v>
      </c>
      <c r="B1741" t="s">
        <v>75</v>
      </c>
      <c r="C1741">
        <v>8</v>
      </c>
      <c r="D1741" t="s">
        <v>3062</v>
      </c>
      <c r="E1741">
        <v>41</v>
      </c>
      <c r="F1741">
        <v>18</v>
      </c>
      <c r="G1741">
        <v>23</v>
      </c>
      <c r="H1741" t="s">
        <v>3491</v>
      </c>
      <c r="I1741" t="s">
        <v>3492</v>
      </c>
      <c r="J1741" t="s">
        <v>2961</v>
      </c>
    </row>
    <row r="1742" spans="1:10" x14ac:dyDescent="0.25">
      <c r="A1742" t="s">
        <v>2122</v>
      </c>
      <c r="B1742" t="s">
        <v>212</v>
      </c>
      <c r="C1742">
        <v>8</v>
      </c>
      <c r="D1742" t="s">
        <v>3474</v>
      </c>
      <c r="E1742">
        <v>54</v>
      </c>
      <c r="F1742">
        <v>24</v>
      </c>
      <c r="G1742">
        <v>30</v>
      </c>
      <c r="H1742" t="s">
        <v>3493</v>
      </c>
      <c r="I1742" t="s">
        <v>3490</v>
      </c>
      <c r="J1742" t="s">
        <v>3001</v>
      </c>
    </row>
    <row r="1743" spans="1:10" x14ac:dyDescent="0.25">
      <c r="A1743" t="s">
        <v>2122</v>
      </c>
      <c r="B1743" t="s">
        <v>212</v>
      </c>
      <c r="C1743">
        <v>8</v>
      </c>
      <c r="D1743" t="s">
        <v>3476</v>
      </c>
      <c r="E1743">
        <v>44</v>
      </c>
      <c r="F1743">
        <v>16</v>
      </c>
      <c r="G1743">
        <v>28</v>
      </c>
      <c r="H1743" t="s">
        <v>3491</v>
      </c>
      <c r="I1743" t="s">
        <v>3492</v>
      </c>
      <c r="J1743" t="s">
        <v>3001</v>
      </c>
    </row>
    <row r="1744" spans="1:10" x14ac:dyDescent="0.25">
      <c r="A1744" t="s">
        <v>2122</v>
      </c>
      <c r="B1744" t="s">
        <v>212</v>
      </c>
      <c r="C1744">
        <v>8</v>
      </c>
      <c r="D1744" t="s">
        <v>3478</v>
      </c>
      <c r="E1744">
        <v>68</v>
      </c>
      <c r="F1744">
        <v>18</v>
      </c>
      <c r="G1744">
        <v>50</v>
      </c>
      <c r="H1744" t="s">
        <v>3489</v>
      </c>
      <c r="I1744" t="s">
        <v>3490</v>
      </c>
      <c r="J1744" t="s">
        <v>3001</v>
      </c>
    </row>
    <row r="1745" spans="1:10" x14ac:dyDescent="0.25">
      <c r="A1745" t="s">
        <v>2122</v>
      </c>
      <c r="B1745" t="s">
        <v>212</v>
      </c>
      <c r="C1745">
        <v>8</v>
      </c>
      <c r="D1745" t="s">
        <v>3480</v>
      </c>
      <c r="E1745">
        <v>67</v>
      </c>
      <c r="F1745">
        <v>15</v>
      </c>
      <c r="G1745">
        <v>52</v>
      </c>
      <c r="H1745" t="s">
        <v>3489</v>
      </c>
      <c r="I1745" t="s">
        <v>3490</v>
      </c>
      <c r="J1745" t="s">
        <v>3001</v>
      </c>
    </row>
    <row r="1746" spans="1:10" x14ac:dyDescent="0.25">
      <c r="A1746" t="s">
        <v>2122</v>
      </c>
      <c r="B1746" t="s">
        <v>212</v>
      </c>
      <c r="C1746">
        <v>8</v>
      </c>
      <c r="D1746" t="s">
        <v>3482</v>
      </c>
      <c r="E1746">
        <v>70</v>
      </c>
      <c r="F1746">
        <v>15</v>
      </c>
      <c r="G1746">
        <v>55</v>
      </c>
      <c r="H1746" t="s">
        <v>3494</v>
      </c>
      <c r="I1746" t="s">
        <v>3490</v>
      </c>
      <c r="J1746" t="s">
        <v>3001</v>
      </c>
    </row>
    <row r="1747" spans="1:10" x14ac:dyDescent="0.25">
      <c r="A1747" t="s">
        <v>2127</v>
      </c>
      <c r="B1747" t="s">
        <v>159</v>
      </c>
      <c r="C1747">
        <v>4</v>
      </c>
      <c r="D1747" t="s">
        <v>3094</v>
      </c>
      <c r="E1747">
        <v>69</v>
      </c>
      <c r="F1747">
        <v>29</v>
      </c>
      <c r="G1747">
        <v>40</v>
      </c>
      <c r="H1747" t="s">
        <v>3489</v>
      </c>
      <c r="I1747" t="s">
        <v>3490</v>
      </c>
      <c r="J1747" t="s">
        <v>2902</v>
      </c>
    </row>
    <row r="1748" spans="1:10" x14ac:dyDescent="0.25">
      <c r="A1748" t="s">
        <v>2127</v>
      </c>
      <c r="B1748" t="s">
        <v>159</v>
      </c>
      <c r="C1748">
        <v>4</v>
      </c>
      <c r="D1748" t="s">
        <v>3096</v>
      </c>
      <c r="E1748">
        <v>38</v>
      </c>
      <c r="F1748">
        <v>18</v>
      </c>
      <c r="G1748">
        <v>20</v>
      </c>
      <c r="H1748" t="s">
        <v>3491</v>
      </c>
      <c r="I1748" t="s">
        <v>3492</v>
      </c>
      <c r="J1748" t="s">
        <v>2902</v>
      </c>
    </row>
    <row r="1749" spans="1:10" x14ac:dyDescent="0.25">
      <c r="A1749" t="s">
        <v>2127</v>
      </c>
      <c r="B1749" t="s">
        <v>159</v>
      </c>
      <c r="C1749">
        <v>4</v>
      </c>
      <c r="D1749" t="s">
        <v>3098</v>
      </c>
      <c r="E1749">
        <v>36</v>
      </c>
      <c r="F1749">
        <v>11</v>
      </c>
      <c r="G1749">
        <v>25</v>
      </c>
      <c r="H1749" t="s">
        <v>3491</v>
      </c>
      <c r="I1749" t="s">
        <v>3492</v>
      </c>
      <c r="J1749" t="s">
        <v>2902</v>
      </c>
    </row>
    <row r="1750" spans="1:10" x14ac:dyDescent="0.25">
      <c r="A1750" t="s">
        <v>2127</v>
      </c>
      <c r="B1750" t="s">
        <v>159</v>
      </c>
      <c r="C1750">
        <v>4</v>
      </c>
      <c r="D1750" t="s">
        <v>3100</v>
      </c>
      <c r="E1750">
        <v>78</v>
      </c>
      <c r="F1750">
        <v>25</v>
      </c>
      <c r="G1750">
        <v>53</v>
      </c>
      <c r="H1750" t="s">
        <v>3494</v>
      </c>
      <c r="I1750" t="s">
        <v>3490</v>
      </c>
      <c r="J1750" t="s">
        <v>2902</v>
      </c>
    </row>
    <row r="1751" spans="1:10" x14ac:dyDescent="0.25">
      <c r="A1751" t="s">
        <v>2127</v>
      </c>
      <c r="B1751" t="s">
        <v>159</v>
      </c>
      <c r="C1751">
        <v>4</v>
      </c>
      <c r="D1751" t="s">
        <v>3102</v>
      </c>
      <c r="E1751">
        <v>83</v>
      </c>
      <c r="F1751">
        <v>30</v>
      </c>
      <c r="G1751">
        <v>53</v>
      </c>
      <c r="H1751" t="s">
        <v>196</v>
      </c>
      <c r="I1751" t="s">
        <v>3490</v>
      </c>
      <c r="J1751" t="s">
        <v>2902</v>
      </c>
    </row>
    <row r="1752" spans="1:10" x14ac:dyDescent="0.25">
      <c r="A1752" t="s">
        <v>2132</v>
      </c>
      <c r="B1752" t="s">
        <v>75</v>
      </c>
      <c r="C1752">
        <v>8</v>
      </c>
      <c r="D1752" t="s">
        <v>3054</v>
      </c>
      <c r="E1752">
        <v>45</v>
      </c>
      <c r="F1752">
        <v>15</v>
      </c>
      <c r="G1752">
        <v>30</v>
      </c>
      <c r="H1752" t="s">
        <v>3491</v>
      </c>
      <c r="I1752" t="s">
        <v>3492</v>
      </c>
      <c r="J1752" t="s">
        <v>2961</v>
      </c>
    </row>
    <row r="1753" spans="1:10" x14ac:dyDescent="0.25">
      <c r="A1753" t="s">
        <v>2132</v>
      </c>
      <c r="B1753" t="s">
        <v>75</v>
      </c>
      <c r="C1753">
        <v>8</v>
      </c>
      <c r="D1753" t="s">
        <v>3056</v>
      </c>
      <c r="E1753">
        <v>83</v>
      </c>
      <c r="F1753">
        <v>18</v>
      </c>
      <c r="G1753">
        <v>65</v>
      </c>
      <c r="H1753" t="s">
        <v>196</v>
      </c>
      <c r="I1753" t="s">
        <v>3490</v>
      </c>
      <c r="J1753" t="s">
        <v>2961</v>
      </c>
    </row>
    <row r="1754" spans="1:10" x14ac:dyDescent="0.25">
      <c r="A1754" t="s">
        <v>2132</v>
      </c>
      <c r="B1754" t="s">
        <v>75</v>
      </c>
      <c r="C1754">
        <v>8</v>
      </c>
      <c r="D1754" t="s">
        <v>3058</v>
      </c>
      <c r="E1754">
        <v>59</v>
      </c>
      <c r="F1754">
        <v>24</v>
      </c>
      <c r="G1754">
        <v>35</v>
      </c>
      <c r="H1754" t="s">
        <v>3493</v>
      </c>
      <c r="I1754" t="s">
        <v>3490</v>
      </c>
      <c r="J1754" t="s">
        <v>2961</v>
      </c>
    </row>
    <row r="1755" spans="1:10" x14ac:dyDescent="0.25">
      <c r="A1755" t="s">
        <v>2132</v>
      </c>
      <c r="B1755" t="s">
        <v>75</v>
      </c>
      <c r="C1755">
        <v>8</v>
      </c>
      <c r="D1755" t="s">
        <v>3060</v>
      </c>
      <c r="E1755">
        <v>40</v>
      </c>
      <c r="F1755">
        <v>12</v>
      </c>
      <c r="G1755">
        <v>28</v>
      </c>
      <c r="H1755" t="s">
        <v>3491</v>
      </c>
      <c r="I1755" t="s">
        <v>3492</v>
      </c>
      <c r="J1755" t="s">
        <v>2961</v>
      </c>
    </row>
    <row r="1756" spans="1:10" x14ac:dyDescent="0.25">
      <c r="A1756" t="s">
        <v>2132</v>
      </c>
      <c r="B1756" t="s">
        <v>75</v>
      </c>
      <c r="C1756">
        <v>8</v>
      </c>
      <c r="D1756" t="s">
        <v>3062</v>
      </c>
      <c r="E1756">
        <v>47</v>
      </c>
      <c r="F1756">
        <v>23</v>
      </c>
      <c r="G1756">
        <v>24</v>
      </c>
      <c r="H1756" t="s">
        <v>3491</v>
      </c>
      <c r="I1756" t="s">
        <v>3492</v>
      </c>
      <c r="J1756" t="s">
        <v>2961</v>
      </c>
    </row>
    <row r="1757" spans="1:10" x14ac:dyDescent="0.25">
      <c r="A1757" t="s">
        <v>2138</v>
      </c>
      <c r="B1757" t="s">
        <v>122</v>
      </c>
      <c r="C1757">
        <v>8</v>
      </c>
      <c r="D1757" t="s">
        <v>3294</v>
      </c>
      <c r="E1757">
        <v>76</v>
      </c>
      <c r="F1757">
        <v>22</v>
      </c>
      <c r="G1757">
        <v>54</v>
      </c>
      <c r="H1757" t="s">
        <v>3494</v>
      </c>
      <c r="I1757" t="s">
        <v>3490</v>
      </c>
      <c r="J1757" t="s">
        <v>2919</v>
      </c>
    </row>
    <row r="1758" spans="1:10" x14ac:dyDescent="0.25">
      <c r="A1758" t="s">
        <v>2138</v>
      </c>
      <c r="B1758" t="s">
        <v>122</v>
      </c>
      <c r="C1758">
        <v>8</v>
      </c>
      <c r="D1758" t="s">
        <v>3296</v>
      </c>
      <c r="E1758">
        <v>41</v>
      </c>
      <c r="F1758">
        <v>21</v>
      </c>
      <c r="G1758">
        <v>20</v>
      </c>
      <c r="H1758" t="s">
        <v>3491</v>
      </c>
      <c r="I1758" t="s">
        <v>3492</v>
      </c>
      <c r="J1758" t="s">
        <v>2919</v>
      </c>
    </row>
    <row r="1759" spans="1:10" x14ac:dyDescent="0.25">
      <c r="A1759" t="s">
        <v>2138</v>
      </c>
      <c r="B1759" t="s">
        <v>122</v>
      </c>
      <c r="C1759">
        <v>8</v>
      </c>
      <c r="D1759" t="s">
        <v>3298</v>
      </c>
      <c r="E1759">
        <v>49</v>
      </c>
      <c r="F1759">
        <v>25</v>
      </c>
      <c r="G1759">
        <v>24</v>
      </c>
      <c r="H1759" t="s">
        <v>3491</v>
      </c>
      <c r="I1759" t="s">
        <v>3492</v>
      </c>
      <c r="J1759" t="s">
        <v>2919</v>
      </c>
    </row>
    <row r="1760" spans="1:10" x14ac:dyDescent="0.25">
      <c r="A1760" t="s">
        <v>2138</v>
      </c>
      <c r="B1760" t="s">
        <v>122</v>
      </c>
      <c r="C1760">
        <v>8</v>
      </c>
      <c r="D1760" t="s">
        <v>3300</v>
      </c>
      <c r="E1760">
        <v>81</v>
      </c>
      <c r="F1760">
        <v>11</v>
      </c>
      <c r="G1760">
        <v>70</v>
      </c>
      <c r="H1760" t="s">
        <v>196</v>
      </c>
      <c r="I1760" t="s">
        <v>3490</v>
      </c>
      <c r="J1760" t="s">
        <v>2919</v>
      </c>
    </row>
    <row r="1761" spans="1:10" x14ac:dyDescent="0.25">
      <c r="A1761" t="s">
        <v>2138</v>
      </c>
      <c r="B1761" t="s">
        <v>122</v>
      </c>
      <c r="C1761">
        <v>8</v>
      </c>
      <c r="D1761" t="s">
        <v>3302</v>
      </c>
      <c r="E1761">
        <v>76</v>
      </c>
      <c r="F1761">
        <v>21</v>
      </c>
      <c r="G1761">
        <v>55</v>
      </c>
      <c r="H1761" t="s">
        <v>3494</v>
      </c>
      <c r="I1761" t="s">
        <v>3490</v>
      </c>
      <c r="J1761" t="s">
        <v>2919</v>
      </c>
    </row>
    <row r="1762" spans="1:10" x14ac:dyDescent="0.25">
      <c r="A1762" t="s">
        <v>2143</v>
      </c>
      <c r="B1762" t="s">
        <v>105</v>
      </c>
      <c r="C1762">
        <v>4</v>
      </c>
      <c r="D1762" t="s">
        <v>3154</v>
      </c>
      <c r="E1762">
        <v>94</v>
      </c>
      <c r="F1762">
        <v>30</v>
      </c>
      <c r="G1762">
        <v>64</v>
      </c>
      <c r="H1762" t="s">
        <v>3495</v>
      </c>
      <c r="I1762" t="s">
        <v>3490</v>
      </c>
      <c r="J1762" t="s">
        <v>2908</v>
      </c>
    </row>
    <row r="1763" spans="1:10" x14ac:dyDescent="0.25">
      <c r="A1763" t="s">
        <v>2143</v>
      </c>
      <c r="B1763" t="s">
        <v>105</v>
      </c>
      <c r="C1763">
        <v>4</v>
      </c>
      <c r="D1763" t="s">
        <v>3156</v>
      </c>
      <c r="E1763">
        <v>36</v>
      </c>
      <c r="F1763">
        <v>11</v>
      </c>
      <c r="G1763">
        <v>25</v>
      </c>
      <c r="H1763" t="s">
        <v>3491</v>
      </c>
      <c r="I1763" t="s">
        <v>3492</v>
      </c>
      <c r="J1763" t="s">
        <v>2908</v>
      </c>
    </row>
    <row r="1764" spans="1:10" x14ac:dyDescent="0.25">
      <c r="A1764" t="s">
        <v>2143</v>
      </c>
      <c r="B1764" t="s">
        <v>105</v>
      </c>
      <c r="C1764">
        <v>4</v>
      </c>
      <c r="D1764" t="s">
        <v>3158</v>
      </c>
      <c r="E1764">
        <v>69</v>
      </c>
      <c r="F1764">
        <v>13</v>
      </c>
      <c r="G1764">
        <v>56</v>
      </c>
      <c r="H1764" t="s">
        <v>3489</v>
      </c>
      <c r="I1764" t="s">
        <v>3490</v>
      </c>
      <c r="J1764" t="s">
        <v>2908</v>
      </c>
    </row>
    <row r="1765" spans="1:10" x14ac:dyDescent="0.25">
      <c r="A1765" t="s">
        <v>2143</v>
      </c>
      <c r="B1765" t="s">
        <v>105</v>
      </c>
      <c r="C1765">
        <v>4</v>
      </c>
      <c r="D1765" t="s">
        <v>3160</v>
      </c>
      <c r="E1765">
        <v>41</v>
      </c>
      <c r="F1765">
        <v>21</v>
      </c>
      <c r="G1765">
        <v>20</v>
      </c>
      <c r="H1765" t="s">
        <v>3491</v>
      </c>
      <c r="I1765" t="s">
        <v>3492</v>
      </c>
      <c r="J1765" t="s">
        <v>2908</v>
      </c>
    </row>
    <row r="1766" spans="1:10" x14ac:dyDescent="0.25">
      <c r="A1766" t="s">
        <v>2143</v>
      </c>
      <c r="B1766" t="s">
        <v>105</v>
      </c>
      <c r="C1766">
        <v>4</v>
      </c>
      <c r="D1766" t="s">
        <v>3162</v>
      </c>
      <c r="E1766">
        <v>60</v>
      </c>
      <c r="F1766">
        <v>29</v>
      </c>
      <c r="G1766">
        <v>31</v>
      </c>
      <c r="H1766" t="s">
        <v>3489</v>
      </c>
      <c r="I1766" t="s">
        <v>3490</v>
      </c>
      <c r="J1766" t="s">
        <v>2908</v>
      </c>
    </row>
    <row r="1767" spans="1:10" x14ac:dyDescent="0.25">
      <c r="A1767" t="s">
        <v>2148</v>
      </c>
      <c r="B1767" t="s">
        <v>212</v>
      </c>
      <c r="C1767">
        <v>8</v>
      </c>
      <c r="D1767" t="s">
        <v>3474</v>
      </c>
      <c r="E1767">
        <v>50</v>
      </c>
      <c r="F1767">
        <v>24</v>
      </c>
      <c r="G1767">
        <v>26</v>
      </c>
      <c r="H1767" t="s">
        <v>3493</v>
      </c>
      <c r="I1767" t="s">
        <v>3490</v>
      </c>
      <c r="J1767" t="s">
        <v>3001</v>
      </c>
    </row>
    <row r="1768" spans="1:10" x14ac:dyDescent="0.25">
      <c r="A1768" t="s">
        <v>2148</v>
      </c>
      <c r="B1768" t="s">
        <v>212</v>
      </c>
      <c r="C1768">
        <v>8</v>
      </c>
      <c r="D1768" t="s">
        <v>3476</v>
      </c>
      <c r="E1768">
        <v>52</v>
      </c>
      <c r="F1768">
        <v>12</v>
      </c>
      <c r="G1768">
        <v>40</v>
      </c>
      <c r="H1768" t="s">
        <v>3493</v>
      </c>
      <c r="I1768" t="s">
        <v>3490</v>
      </c>
      <c r="J1768" t="s">
        <v>3001</v>
      </c>
    </row>
    <row r="1769" spans="1:10" x14ac:dyDescent="0.25">
      <c r="A1769" t="s">
        <v>2148</v>
      </c>
      <c r="B1769" t="s">
        <v>212</v>
      </c>
      <c r="C1769">
        <v>8</v>
      </c>
      <c r="D1769" t="s">
        <v>3478</v>
      </c>
      <c r="E1769">
        <v>62</v>
      </c>
      <c r="F1769">
        <v>15</v>
      </c>
      <c r="G1769">
        <v>47</v>
      </c>
      <c r="H1769" t="s">
        <v>3489</v>
      </c>
      <c r="I1769" t="s">
        <v>3490</v>
      </c>
      <c r="J1769" t="s">
        <v>3001</v>
      </c>
    </row>
    <row r="1770" spans="1:10" x14ac:dyDescent="0.25">
      <c r="A1770" t="s">
        <v>2148</v>
      </c>
      <c r="B1770" t="s">
        <v>212</v>
      </c>
      <c r="C1770">
        <v>8</v>
      </c>
      <c r="D1770" t="s">
        <v>3480</v>
      </c>
      <c r="E1770">
        <v>79</v>
      </c>
      <c r="F1770">
        <v>12</v>
      </c>
      <c r="G1770">
        <v>67</v>
      </c>
      <c r="H1770" t="s">
        <v>3494</v>
      </c>
      <c r="I1770" t="s">
        <v>3490</v>
      </c>
      <c r="J1770" t="s">
        <v>3001</v>
      </c>
    </row>
    <row r="1771" spans="1:10" x14ac:dyDescent="0.25">
      <c r="A1771" t="s">
        <v>2148</v>
      </c>
      <c r="B1771" t="s">
        <v>212</v>
      </c>
      <c r="C1771">
        <v>8</v>
      </c>
      <c r="D1771" t="s">
        <v>3482</v>
      </c>
      <c r="E1771">
        <v>78</v>
      </c>
      <c r="F1771">
        <v>11</v>
      </c>
      <c r="G1771">
        <v>67</v>
      </c>
      <c r="H1771" t="s">
        <v>3494</v>
      </c>
      <c r="I1771" t="s">
        <v>3490</v>
      </c>
      <c r="J1771" t="s">
        <v>3001</v>
      </c>
    </row>
    <row r="1772" spans="1:10" x14ac:dyDescent="0.25">
      <c r="A1772" t="s">
        <v>2153</v>
      </c>
      <c r="B1772" t="s">
        <v>30</v>
      </c>
      <c r="C1772">
        <v>6</v>
      </c>
      <c r="D1772" t="s">
        <v>3354</v>
      </c>
      <c r="E1772">
        <v>55</v>
      </c>
      <c r="F1772">
        <v>21</v>
      </c>
      <c r="G1772">
        <v>34</v>
      </c>
      <c r="H1772" t="s">
        <v>3493</v>
      </c>
      <c r="I1772" t="s">
        <v>3490</v>
      </c>
      <c r="J1772" t="s">
        <v>2895</v>
      </c>
    </row>
    <row r="1773" spans="1:10" x14ac:dyDescent="0.25">
      <c r="A1773" t="s">
        <v>2153</v>
      </c>
      <c r="B1773" t="s">
        <v>30</v>
      </c>
      <c r="C1773">
        <v>6</v>
      </c>
      <c r="D1773" t="s">
        <v>3356</v>
      </c>
      <c r="E1773">
        <v>47</v>
      </c>
      <c r="F1773">
        <v>24</v>
      </c>
      <c r="G1773">
        <v>23</v>
      </c>
      <c r="H1773" t="s">
        <v>3491</v>
      </c>
      <c r="I1773" t="s">
        <v>3492</v>
      </c>
      <c r="J1773" t="s">
        <v>2895</v>
      </c>
    </row>
    <row r="1774" spans="1:10" x14ac:dyDescent="0.25">
      <c r="A1774" t="s">
        <v>2153</v>
      </c>
      <c r="B1774" t="s">
        <v>30</v>
      </c>
      <c r="C1774">
        <v>6</v>
      </c>
      <c r="D1774" t="s">
        <v>3358</v>
      </c>
      <c r="E1774">
        <v>56</v>
      </c>
      <c r="F1774">
        <v>28</v>
      </c>
      <c r="G1774">
        <v>28</v>
      </c>
      <c r="H1774" t="s">
        <v>3493</v>
      </c>
      <c r="I1774" t="s">
        <v>3490</v>
      </c>
      <c r="J1774" t="s">
        <v>2895</v>
      </c>
    </row>
    <row r="1775" spans="1:10" x14ac:dyDescent="0.25">
      <c r="A1775" t="s">
        <v>2153</v>
      </c>
      <c r="B1775" t="s">
        <v>30</v>
      </c>
      <c r="C1775">
        <v>6</v>
      </c>
      <c r="D1775" t="s">
        <v>3360</v>
      </c>
      <c r="E1775">
        <v>38</v>
      </c>
      <c r="F1775">
        <v>16</v>
      </c>
      <c r="G1775">
        <v>22</v>
      </c>
      <c r="H1775" t="s">
        <v>3491</v>
      </c>
      <c r="I1775" t="s">
        <v>3492</v>
      </c>
      <c r="J1775" t="s">
        <v>2895</v>
      </c>
    </row>
    <row r="1776" spans="1:10" x14ac:dyDescent="0.25">
      <c r="A1776" t="s">
        <v>2153</v>
      </c>
      <c r="B1776" t="s">
        <v>30</v>
      </c>
      <c r="C1776">
        <v>6</v>
      </c>
      <c r="D1776" t="s">
        <v>3362</v>
      </c>
      <c r="E1776">
        <v>60</v>
      </c>
      <c r="F1776">
        <v>11</v>
      </c>
      <c r="G1776">
        <v>49</v>
      </c>
      <c r="H1776" t="s">
        <v>3489</v>
      </c>
      <c r="I1776" t="s">
        <v>3490</v>
      </c>
      <c r="J1776" t="s">
        <v>2895</v>
      </c>
    </row>
    <row r="1777" spans="1:10" x14ac:dyDescent="0.25">
      <c r="A1777" t="s">
        <v>2158</v>
      </c>
      <c r="B1777" t="s">
        <v>95</v>
      </c>
      <c r="C1777">
        <v>6</v>
      </c>
      <c r="D1777" t="s">
        <v>3234</v>
      </c>
      <c r="E1777">
        <v>59</v>
      </c>
      <c r="F1777">
        <v>12</v>
      </c>
      <c r="G1777">
        <v>47</v>
      </c>
      <c r="H1777" t="s">
        <v>3493</v>
      </c>
      <c r="I1777" t="s">
        <v>3490</v>
      </c>
      <c r="J1777" t="s">
        <v>2889</v>
      </c>
    </row>
    <row r="1778" spans="1:10" x14ac:dyDescent="0.25">
      <c r="A1778" t="s">
        <v>2158</v>
      </c>
      <c r="B1778" t="s">
        <v>95</v>
      </c>
      <c r="C1778">
        <v>6</v>
      </c>
      <c r="D1778" t="s">
        <v>3236</v>
      </c>
      <c r="E1778">
        <v>68</v>
      </c>
      <c r="F1778">
        <v>28</v>
      </c>
      <c r="G1778">
        <v>40</v>
      </c>
      <c r="H1778" t="s">
        <v>3489</v>
      </c>
      <c r="I1778" t="s">
        <v>3490</v>
      </c>
      <c r="J1778" t="s">
        <v>2889</v>
      </c>
    </row>
    <row r="1779" spans="1:10" x14ac:dyDescent="0.25">
      <c r="A1779" t="s">
        <v>2158</v>
      </c>
      <c r="B1779" t="s">
        <v>95</v>
      </c>
      <c r="C1779">
        <v>6</v>
      </c>
      <c r="D1779" t="s">
        <v>3238</v>
      </c>
      <c r="E1779">
        <v>30</v>
      </c>
      <c r="F1779">
        <v>10</v>
      </c>
      <c r="G1779">
        <v>20</v>
      </c>
      <c r="H1779" t="s">
        <v>3491</v>
      </c>
      <c r="I1779" t="s">
        <v>3492</v>
      </c>
      <c r="J1779" t="s">
        <v>2889</v>
      </c>
    </row>
    <row r="1780" spans="1:10" x14ac:dyDescent="0.25">
      <c r="A1780" t="s">
        <v>2158</v>
      </c>
      <c r="B1780" t="s">
        <v>95</v>
      </c>
      <c r="C1780">
        <v>6</v>
      </c>
      <c r="D1780" t="s">
        <v>3240</v>
      </c>
      <c r="E1780">
        <v>61</v>
      </c>
      <c r="F1780">
        <v>25</v>
      </c>
      <c r="G1780">
        <v>36</v>
      </c>
      <c r="H1780" t="s">
        <v>3489</v>
      </c>
      <c r="I1780" t="s">
        <v>3490</v>
      </c>
      <c r="J1780" t="s">
        <v>2889</v>
      </c>
    </row>
    <row r="1781" spans="1:10" x14ac:dyDescent="0.25">
      <c r="A1781" t="s">
        <v>2158</v>
      </c>
      <c r="B1781" t="s">
        <v>95</v>
      </c>
      <c r="C1781">
        <v>6</v>
      </c>
      <c r="D1781" t="s">
        <v>3242</v>
      </c>
      <c r="E1781">
        <v>55</v>
      </c>
      <c r="F1781">
        <v>30</v>
      </c>
      <c r="G1781">
        <v>25</v>
      </c>
      <c r="H1781" t="s">
        <v>3493</v>
      </c>
      <c r="I1781" t="s">
        <v>3490</v>
      </c>
      <c r="J1781" t="s">
        <v>2889</v>
      </c>
    </row>
    <row r="1782" spans="1:10" x14ac:dyDescent="0.25">
      <c r="A1782" t="s">
        <v>2163</v>
      </c>
      <c r="B1782" t="s">
        <v>159</v>
      </c>
      <c r="C1782">
        <v>6</v>
      </c>
      <c r="D1782" t="s">
        <v>3114</v>
      </c>
      <c r="E1782">
        <v>82</v>
      </c>
      <c r="F1782">
        <v>26</v>
      </c>
      <c r="G1782">
        <v>56</v>
      </c>
      <c r="H1782" t="s">
        <v>196</v>
      </c>
      <c r="I1782" t="s">
        <v>3490</v>
      </c>
      <c r="J1782" t="s">
        <v>2902</v>
      </c>
    </row>
    <row r="1783" spans="1:10" x14ac:dyDescent="0.25">
      <c r="A1783" t="s">
        <v>2163</v>
      </c>
      <c r="B1783" t="s">
        <v>159</v>
      </c>
      <c r="C1783">
        <v>6</v>
      </c>
      <c r="D1783" t="s">
        <v>3116</v>
      </c>
      <c r="E1783">
        <v>74</v>
      </c>
      <c r="F1783">
        <v>19</v>
      </c>
      <c r="G1783">
        <v>55</v>
      </c>
      <c r="H1783" t="s">
        <v>3494</v>
      </c>
      <c r="I1783" t="s">
        <v>3490</v>
      </c>
      <c r="J1783" t="s">
        <v>2902</v>
      </c>
    </row>
    <row r="1784" spans="1:10" x14ac:dyDescent="0.25">
      <c r="A1784" t="s">
        <v>2163</v>
      </c>
      <c r="B1784" t="s">
        <v>159</v>
      </c>
      <c r="C1784">
        <v>6</v>
      </c>
      <c r="D1784" t="s">
        <v>3118</v>
      </c>
      <c r="E1784">
        <v>84</v>
      </c>
      <c r="F1784">
        <v>20</v>
      </c>
      <c r="G1784">
        <v>64</v>
      </c>
      <c r="H1784" t="s">
        <v>196</v>
      </c>
      <c r="I1784" t="s">
        <v>3490</v>
      </c>
      <c r="J1784" t="s">
        <v>2902</v>
      </c>
    </row>
    <row r="1785" spans="1:10" x14ac:dyDescent="0.25">
      <c r="A1785" t="s">
        <v>2163</v>
      </c>
      <c r="B1785" t="s">
        <v>159</v>
      </c>
      <c r="C1785">
        <v>6</v>
      </c>
      <c r="D1785" t="s">
        <v>3120</v>
      </c>
      <c r="E1785">
        <v>53</v>
      </c>
      <c r="F1785">
        <v>19</v>
      </c>
      <c r="G1785">
        <v>34</v>
      </c>
      <c r="H1785" t="s">
        <v>3493</v>
      </c>
      <c r="I1785" t="s">
        <v>3490</v>
      </c>
      <c r="J1785" t="s">
        <v>2902</v>
      </c>
    </row>
    <row r="1786" spans="1:10" x14ac:dyDescent="0.25">
      <c r="A1786" t="s">
        <v>2163</v>
      </c>
      <c r="B1786" t="s">
        <v>159</v>
      </c>
      <c r="C1786">
        <v>6</v>
      </c>
      <c r="D1786" t="s">
        <v>3122</v>
      </c>
      <c r="E1786">
        <v>59</v>
      </c>
      <c r="F1786">
        <v>30</v>
      </c>
      <c r="G1786">
        <v>29</v>
      </c>
      <c r="H1786" t="s">
        <v>3493</v>
      </c>
      <c r="I1786" t="s">
        <v>3490</v>
      </c>
      <c r="J1786" t="s">
        <v>2902</v>
      </c>
    </row>
    <row r="1787" spans="1:10" x14ac:dyDescent="0.25">
      <c r="A1787" t="s">
        <v>2168</v>
      </c>
      <c r="B1787" t="s">
        <v>122</v>
      </c>
      <c r="C1787">
        <v>8</v>
      </c>
      <c r="D1787" t="s">
        <v>3294</v>
      </c>
      <c r="E1787">
        <v>81</v>
      </c>
      <c r="F1787">
        <v>28</v>
      </c>
      <c r="G1787">
        <v>53</v>
      </c>
      <c r="H1787" t="s">
        <v>196</v>
      </c>
      <c r="I1787" t="s">
        <v>3490</v>
      </c>
      <c r="J1787" t="s">
        <v>2919</v>
      </c>
    </row>
    <row r="1788" spans="1:10" x14ac:dyDescent="0.25">
      <c r="A1788" t="s">
        <v>2168</v>
      </c>
      <c r="B1788" t="s">
        <v>122</v>
      </c>
      <c r="C1788">
        <v>8</v>
      </c>
      <c r="D1788" t="s">
        <v>3296</v>
      </c>
      <c r="E1788">
        <v>70</v>
      </c>
      <c r="F1788">
        <v>24</v>
      </c>
      <c r="G1788">
        <v>46</v>
      </c>
      <c r="H1788" t="s">
        <v>3494</v>
      </c>
      <c r="I1788" t="s">
        <v>3490</v>
      </c>
      <c r="J1788" t="s">
        <v>2919</v>
      </c>
    </row>
    <row r="1789" spans="1:10" x14ac:dyDescent="0.25">
      <c r="A1789" t="s">
        <v>2168</v>
      </c>
      <c r="B1789" t="s">
        <v>122</v>
      </c>
      <c r="C1789">
        <v>8</v>
      </c>
      <c r="D1789" t="s">
        <v>3298</v>
      </c>
      <c r="E1789">
        <v>83</v>
      </c>
      <c r="F1789">
        <v>28</v>
      </c>
      <c r="G1789">
        <v>55</v>
      </c>
      <c r="H1789" t="s">
        <v>196</v>
      </c>
      <c r="I1789" t="s">
        <v>3490</v>
      </c>
      <c r="J1789" t="s">
        <v>2919</v>
      </c>
    </row>
    <row r="1790" spans="1:10" x14ac:dyDescent="0.25">
      <c r="A1790" t="s">
        <v>2168</v>
      </c>
      <c r="B1790" t="s">
        <v>122</v>
      </c>
      <c r="C1790">
        <v>8</v>
      </c>
      <c r="D1790" t="s">
        <v>3300</v>
      </c>
      <c r="E1790">
        <v>61</v>
      </c>
      <c r="F1790">
        <v>28</v>
      </c>
      <c r="G1790">
        <v>33</v>
      </c>
      <c r="H1790" t="s">
        <v>3489</v>
      </c>
      <c r="I1790" t="s">
        <v>3490</v>
      </c>
      <c r="J1790" t="s">
        <v>2919</v>
      </c>
    </row>
    <row r="1791" spans="1:10" x14ac:dyDescent="0.25">
      <c r="A1791" t="s">
        <v>2168</v>
      </c>
      <c r="B1791" t="s">
        <v>122</v>
      </c>
      <c r="C1791">
        <v>8</v>
      </c>
      <c r="D1791" t="s">
        <v>3302</v>
      </c>
      <c r="E1791">
        <v>65</v>
      </c>
      <c r="F1791">
        <v>23</v>
      </c>
      <c r="G1791">
        <v>42</v>
      </c>
      <c r="H1791" t="s">
        <v>3489</v>
      </c>
      <c r="I1791" t="s">
        <v>3490</v>
      </c>
      <c r="J1791" t="s">
        <v>2919</v>
      </c>
    </row>
    <row r="1792" spans="1:10" x14ac:dyDescent="0.25">
      <c r="A1792" t="s">
        <v>2173</v>
      </c>
      <c r="B1792" t="s">
        <v>105</v>
      </c>
      <c r="C1792">
        <v>4</v>
      </c>
      <c r="D1792" t="s">
        <v>3154</v>
      </c>
      <c r="E1792">
        <v>72</v>
      </c>
      <c r="F1792">
        <v>14</v>
      </c>
      <c r="G1792">
        <v>58</v>
      </c>
      <c r="H1792" t="s">
        <v>3494</v>
      </c>
      <c r="I1792" t="s">
        <v>3490</v>
      </c>
      <c r="J1792" t="s">
        <v>2908</v>
      </c>
    </row>
    <row r="1793" spans="1:10" x14ac:dyDescent="0.25">
      <c r="A1793" t="s">
        <v>2173</v>
      </c>
      <c r="B1793" t="s">
        <v>105</v>
      </c>
      <c r="C1793">
        <v>4</v>
      </c>
      <c r="D1793" t="s">
        <v>3156</v>
      </c>
      <c r="E1793">
        <v>55</v>
      </c>
      <c r="F1793">
        <v>18</v>
      </c>
      <c r="G1793">
        <v>37</v>
      </c>
      <c r="H1793" t="s">
        <v>3493</v>
      </c>
      <c r="I1793" t="s">
        <v>3490</v>
      </c>
      <c r="J1793" t="s">
        <v>2908</v>
      </c>
    </row>
    <row r="1794" spans="1:10" x14ac:dyDescent="0.25">
      <c r="A1794" t="s">
        <v>2173</v>
      </c>
      <c r="B1794" t="s">
        <v>105</v>
      </c>
      <c r="C1794">
        <v>4</v>
      </c>
      <c r="D1794" t="s">
        <v>3158</v>
      </c>
      <c r="E1794">
        <v>94</v>
      </c>
      <c r="F1794">
        <v>25</v>
      </c>
      <c r="G1794">
        <v>69</v>
      </c>
      <c r="H1794" t="s">
        <v>3495</v>
      </c>
      <c r="I1794" t="s">
        <v>3490</v>
      </c>
      <c r="J1794" t="s">
        <v>2908</v>
      </c>
    </row>
    <row r="1795" spans="1:10" x14ac:dyDescent="0.25">
      <c r="A1795" t="s">
        <v>2173</v>
      </c>
      <c r="B1795" t="s">
        <v>105</v>
      </c>
      <c r="C1795">
        <v>4</v>
      </c>
      <c r="D1795" t="s">
        <v>3160</v>
      </c>
      <c r="E1795">
        <v>59</v>
      </c>
      <c r="F1795">
        <v>13</v>
      </c>
      <c r="G1795">
        <v>46</v>
      </c>
      <c r="H1795" t="s">
        <v>3493</v>
      </c>
      <c r="I1795" t="s">
        <v>3490</v>
      </c>
      <c r="J1795" t="s">
        <v>2908</v>
      </c>
    </row>
    <row r="1796" spans="1:10" x14ac:dyDescent="0.25">
      <c r="A1796" t="s">
        <v>2173</v>
      </c>
      <c r="B1796" t="s">
        <v>105</v>
      </c>
      <c r="C1796">
        <v>4</v>
      </c>
      <c r="D1796" t="s">
        <v>3162</v>
      </c>
      <c r="E1796">
        <v>71</v>
      </c>
      <c r="F1796">
        <v>12</v>
      </c>
      <c r="G1796">
        <v>59</v>
      </c>
      <c r="H1796" t="s">
        <v>3494</v>
      </c>
      <c r="I1796" t="s">
        <v>3490</v>
      </c>
      <c r="J1796" t="s">
        <v>2908</v>
      </c>
    </row>
    <row r="1797" spans="1:10" x14ac:dyDescent="0.25">
      <c r="A1797" t="s">
        <v>2178</v>
      </c>
      <c r="B1797" t="s">
        <v>122</v>
      </c>
      <c r="C1797">
        <v>8</v>
      </c>
      <c r="D1797" t="s">
        <v>3294</v>
      </c>
      <c r="E1797">
        <v>55</v>
      </c>
      <c r="F1797">
        <v>26</v>
      </c>
      <c r="G1797">
        <v>29</v>
      </c>
      <c r="H1797" t="s">
        <v>3493</v>
      </c>
      <c r="I1797" t="s">
        <v>3490</v>
      </c>
      <c r="J1797" t="s">
        <v>2919</v>
      </c>
    </row>
    <row r="1798" spans="1:10" x14ac:dyDescent="0.25">
      <c r="A1798" t="s">
        <v>2178</v>
      </c>
      <c r="B1798" t="s">
        <v>122</v>
      </c>
      <c r="C1798">
        <v>8</v>
      </c>
      <c r="D1798" t="s">
        <v>3296</v>
      </c>
      <c r="E1798">
        <v>57</v>
      </c>
      <c r="F1798">
        <v>25</v>
      </c>
      <c r="G1798">
        <v>32</v>
      </c>
      <c r="H1798" t="s">
        <v>3493</v>
      </c>
      <c r="I1798" t="s">
        <v>3490</v>
      </c>
      <c r="J1798" t="s">
        <v>2919</v>
      </c>
    </row>
    <row r="1799" spans="1:10" x14ac:dyDescent="0.25">
      <c r="A1799" t="s">
        <v>2178</v>
      </c>
      <c r="B1799" t="s">
        <v>122</v>
      </c>
      <c r="C1799">
        <v>8</v>
      </c>
      <c r="D1799" t="s">
        <v>3298</v>
      </c>
      <c r="E1799">
        <v>73</v>
      </c>
      <c r="F1799">
        <v>19</v>
      </c>
      <c r="G1799">
        <v>54</v>
      </c>
      <c r="H1799" t="s">
        <v>3494</v>
      </c>
      <c r="I1799" t="s">
        <v>3490</v>
      </c>
      <c r="J1799" t="s">
        <v>2919</v>
      </c>
    </row>
    <row r="1800" spans="1:10" x14ac:dyDescent="0.25">
      <c r="A1800" t="s">
        <v>2178</v>
      </c>
      <c r="B1800" t="s">
        <v>122</v>
      </c>
      <c r="C1800">
        <v>8</v>
      </c>
      <c r="D1800" t="s">
        <v>3300</v>
      </c>
      <c r="E1800">
        <v>45</v>
      </c>
      <c r="F1800">
        <v>12</v>
      </c>
      <c r="G1800">
        <v>33</v>
      </c>
      <c r="H1800" t="s">
        <v>3491</v>
      </c>
      <c r="I1800" t="s">
        <v>3492</v>
      </c>
      <c r="J1800" t="s">
        <v>2919</v>
      </c>
    </row>
    <row r="1801" spans="1:10" x14ac:dyDescent="0.25">
      <c r="A1801" t="s">
        <v>2178</v>
      </c>
      <c r="B1801" t="s">
        <v>122</v>
      </c>
      <c r="C1801">
        <v>8</v>
      </c>
      <c r="D1801" t="s">
        <v>3302</v>
      </c>
      <c r="E1801">
        <v>34</v>
      </c>
      <c r="F1801">
        <v>12</v>
      </c>
      <c r="G1801">
        <v>22</v>
      </c>
      <c r="H1801" t="s">
        <v>3491</v>
      </c>
      <c r="I1801" t="s">
        <v>3492</v>
      </c>
      <c r="J1801" t="s">
        <v>2919</v>
      </c>
    </row>
    <row r="1802" spans="1:10" x14ac:dyDescent="0.25">
      <c r="A1802" t="s">
        <v>2183</v>
      </c>
      <c r="B1802" t="s">
        <v>212</v>
      </c>
      <c r="C1802">
        <v>4</v>
      </c>
      <c r="D1802" t="s">
        <v>3454</v>
      </c>
      <c r="E1802">
        <v>59</v>
      </c>
      <c r="F1802">
        <v>18</v>
      </c>
      <c r="G1802">
        <v>41</v>
      </c>
      <c r="H1802" t="s">
        <v>3493</v>
      </c>
      <c r="I1802" t="s">
        <v>3490</v>
      </c>
      <c r="J1802" t="s">
        <v>3001</v>
      </c>
    </row>
    <row r="1803" spans="1:10" x14ac:dyDescent="0.25">
      <c r="A1803" t="s">
        <v>2183</v>
      </c>
      <c r="B1803" t="s">
        <v>212</v>
      </c>
      <c r="C1803">
        <v>4</v>
      </c>
      <c r="D1803" t="s">
        <v>3456</v>
      </c>
      <c r="E1803">
        <v>40</v>
      </c>
      <c r="F1803">
        <v>11</v>
      </c>
      <c r="G1803">
        <v>29</v>
      </c>
      <c r="H1803" t="s">
        <v>3491</v>
      </c>
      <c r="I1803" t="s">
        <v>3492</v>
      </c>
      <c r="J1803" t="s">
        <v>3001</v>
      </c>
    </row>
    <row r="1804" spans="1:10" x14ac:dyDescent="0.25">
      <c r="A1804" t="s">
        <v>2183</v>
      </c>
      <c r="B1804" t="s">
        <v>212</v>
      </c>
      <c r="C1804">
        <v>4</v>
      </c>
      <c r="D1804" t="s">
        <v>3458</v>
      </c>
      <c r="E1804">
        <v>90</v>
      </c>
      <c r="F1804">
        <v>21</v>
      </c>
      <c r="G1804">
        <v>69</v>
      </c>
      <c r="H1804" t="s">
        <v>3495</v>
      </c>
      <c r="I1804" t="s">
        <v>3490</v>
      </c>
      <c r="J1804" t="s">
        <v>3001</v>
      </c>
    </row>
    <row r="1805" spans="1:10" x14ac:dyDescent="0.25">
      <c r="A1805" t="s">
        <v>2183</v>
      </c>
      <c r="B1805" t="s">
        <v>212</v>
      </c>
      <c r="C1805">
        <v>4</v>
      </c>
      <c r="D1805" t="s">
        <v>3460</v>
      </c>
      <c r="E1805">
        <v>89</v>
      </c>
      <c r="F1805">
        <v>27</v>
      </c>
      <c r="G1805">
        <v>62</v>
      </c>
      <c r="H1805" t="s">
        <v>196</v>
      </c>
      <c r="I1805" t="s">
        <v>3490</v>
      </c>
      <c r="J1805" t="s">
        <v>3001</v>
      </c>
    </row>
    <row r="1806" spans="1:10" x14ac:dyDescent="0.25">
      <c r="A1806" t="s">
        <v>2183</v>
      </c>
      <c r="B1806" t="s">
        <v>212</v>
      </c>
      <c r="C1806">
        <v>4</v>
      </c>
      <c r="D1806" t="s">
        <v>3462</v>
      </c>
      <c r="E1806">
        <v>74</v>
      </c>
      <c r="F1806">
        <v>29</v>
      </c>
      <c r="G1806">
        <v>45</v>
      </c>
      <c r="H1806" t="s">
        <v>3494</v>
      </c>
      <c r="I1806" t="s">
        <v>3490</v>
      </c>
      <c r="J1806" t="s">
        <v>3001</v>
      </c>
    </row>
    <row r="1807" spans="1:10" x14ac:dyDescent="0.25">
      <c r="A1807" t="s">
        <v>2188</v>
      </c>
      <c r="B1807" t="s">
        <v>95</v>
      </c>
      <c r="C1807">
        <v>8</v>
      </c>
      <c r="D1807" t="s">
        <v>3234</v>
      </c>
      <c r="E1807">
        <v>80</v>
      </c>
      <c r="F1807">
        <v>17</v>
      </c>
      <c r="G1807">
        <v>63</v>
      </c>
      <c r="H1807" t="s">
        <v>196</v>
      </c>
      <c r="I1807" t="s">
        <v>3490</v>
      </c>
      <c r="J1807" t="s">
        <v>2889</v>
      </c>
    </row>
    <row r="1808" spans="1:10" x14ac:dyDescent="0.25">
      <c r="A1808" t="s">
        <v>2188</v>
      </c>
      <c r="B1808" t="s">
        <v>95</v>
      </c>
      <c r="C1808">
        <v>8</v>
      </c>
      <c r="D1808" t="s">
        <v>3236</v>
      </c>
      <c r="E1808">
        <v>39</v>
      </c>
      <c r="F1808">
        <v>15</v>
      </c>
      <c r="G1808">
        <v>24</v>
      </c>
      <c r="H1808" t="s">
        <v>3491</v>
      </c>
      <c r="I1808" t="s">
        <v>3492</v>
      </c>
      <c r="J1808" t="s">
        <v>2889</v>
      </c>
    </row>
    <row r="1809" spans="1:10" x14ac:dyDescent="0.25">
      <c r="A1809" t="s">
        <v>2188</v>
      </c>
      <c r="B1809" t="s">
        <v>95</v>
      </c>
      <c r="C1809">
        <v>8</v>
      </c>
      <c r="D1809" t="s">
        <v>3238</v>
      </c>
      <c r="E1809">
        <v>62</v>
      </c>
      <c r="F1809">
        <v>24</v>
      </c>
      <c r="G1809">
        <v>38</v>
      </c>
      <c r="H1809" t="s">
        <v>3489</v>
      </c>
      <c r="I1809" t="s">
        <v>3490</v>
      </c>
      <c r="J1809" t="s">
        <v>2889</v>
      </c>
    </row>
    <row r="1810" spans="1:10" x14ac:dyDescent="0.25">
      <c r="A1810" t="s">
        <v>2188</v>
      </c>
      <c r="B1810" t="s">
        <v>95</v>
      </c>
      <c r="C1810">
        <v>8</v>
      </c>
      <c r="D1810" t="s">
        <v>3240</v>
      </c>
      <c r="E1810">
        <v>86</v>
      </c>
      <c r="F1810">
        <v>16</v>
      </c>
      <c r="G1810">
        <v>70</v>
      </c>
      <c r="H1810" t="s">
        <v>196</v>
      </c>
      <c r="I1810" t="s">
        <v>3490</v>
      </c>
      <c r="J1810" t="s">
        <v>2889</v>
      </c>
    </row>
    <row r="1811" spans="1:10" x14ac:dyDescent="0.25">
      <c r="A1811" t="s">
        <v>2188</v>
      </c>
      <c r="B1811" t="s">
        <v>95</v>
      </c>
      <c r="C1811">
        <v>8</v>
      </c>
      <c r="D1811" t="s">
        <v>3242</v>
      </c>
      <c r="E1811">
        <v>69</v>
      </c>
      <c r="F1811">
        <v>21</v>
      </c>
      <c r="G1811">
        <v>48</v>
      </c>
      <c r="H1811" t="s">
        <v>3489</v>
      </c>
      <c r="I1811" t="s">
        <v>3490</v>
      </c>
      <c r="J1811" t="s">
        <v>2889</v>
      </c>
    </row>
    <row r="1812" spans="1:10" x14ac:dyDescent="0.25">
      <c r="A1812" t="s">
        <v>2193</v>
      </c>
      <c r="B1812" t="s">
        <v>122</v>
      </c>
      <c r="C1812">
        <v>8</v>
      </c>
      <c r="D1812" t="s">
        <v>3294</v>
      </c>
      <c r="E1812">
        <v>71</v>
      </c>
      <c r="F1812">
        <v>18</v>
      </c>
      <c r="G1812">
        <v>53</v>
      </c>
      <c r="H1812" t="s">
        <v>3494</v>
      </c>
      <c r="I1812" t="s">
        <v>3490</v>
      </c>
      <c r="J1812" t="s">
        <v>2919</v>
      </c>
    </row>
    <row r="1813" spans="1:10" x14ac:dyDescent="0.25">
      <c r="A1813" t="s">
        <v>2193</v>
      </c>
      <c r="B1813" t="s">
        <v>122</v>
      </c>
      <c r="C1813">
        <v>8</v>
      </c>
      <c r="D1813" t="s">
        <v>3296</v>
      </c>
      <c r="E1813">
        <v>58</v>
      </c>
      <c r="F1813">
        <v>17</v>
      </c>
      <c r="G1813">
        <v>41</v>
      </c>
      <c r="H1813" t="s">
        <v>3493</v>
      </c>
      <c r="I1813" t="s">
        <v>3490</v>
      </c>
      <c r="J1813" t="s">
        <v>2919</v>
      </c>
    </row>
    <row r="1814" spans="1:10" x14ac:dyDescent="0.25">
      <c r="A1814" t="s">
        <v>2193</v>
      </c>
      <c r="B1814" t="s">
        <v>122</v>
      </c>
      <c r="C1814">
        <v>8</v>
      </c>
      <c r="D1814" t="s">
        <v>3298</v>
      </c>
      <c r="E1814">
        <v>60</v>
      </c>
      <c r="F1814">
        <v>14</v>
      </c>
      <c r="G1814">
        <v>46</v>
      </c>
      <c r="H1814" t="s">
        <v>3489</v>
      </c>
      <c r="I1814" t="s">
        <v>3490</v>
      </c>
      <c r="J1814" t="s">
        <v>2919</v>
      </c>
    </row>
    <row r="1815" spans="1:10" x14ac:dyDescent="0.25">
      <c r="A1815" t="s">
        <v>2193</v>
      </c>
      <c r="B1815" t="s">
        <v>122</v>
      </c>
      <c r="C1815">
        <v>8</v>
      </c>
      <c r="D1815" t="s">
        <v>3300</v>
      </c>
      <c r="E1815">
        <v>49</v>
      </c>
      <c r="F1815">
        <v>26</v>
      </c>
      <c r="G1815">
        <v>23</v>
      </c>
      <c r="H1815" t="s">
        <v>3491</v>
      </c>
      <c r="I1815" t="s">
        <v>3492</v>
      </c>
      <c r="J1815" t="s">
        <v>2919</v>
      </c>
    </row>
    <row r="1816" spans="1:10" x14ac:dyDescent="0.25">
      <c r="A1816" t="s">
        <v>2193</v>
      </c>
      <c r="B1816" t="s">
        <v>122</v>
      </c>
      <c r="C1816">
        <v>8</v>
      </c>
      <c r="D1816" t="s">
        <v>3302</v>
      </c>
      <c r="E1816">
        <v>59</v>
      </c>
      <c r="F1816">
        <v>22</v>
      </c>
      <c r="G1816">
        <v>37</v>
      </c>
      <c r="H1816" t="s">
        <v>3493</v>
      </c>
      <c r="I1816" t="s">
        <v>3490</v>
      </c>
      <c r="J1816" t="s">
        <v>2919</v>
      </c>
    </row>
    <row r="1817" spans="1:10" x14ac:dyDescent="0.25">
      <c r="A1817" t="s">
        <v>2198</v>
      </c>
      <c r="B1817" t="s">
        <v>63</v>
      </c>
      <c r="C1817">
        <v>4</v>
      </c>
      <c r="D1817" t="s">
        <v>3394</v>
      </c>
      <c r="E1817">
        <v>74</v>
      </c>
      <c r="F1817">
        <v>27</v>
      </c>
      <c r="G1817">
        <v>47</v>
      </c>
      <c r="H1817" t="s">
        <v>3494</v>
      </c>
      <c r="I1817" t="s">
        <v>3490</v>
      </c>
      <c r="J1817" t="s">
        <v>2932</v>
      </c>
    </row>
    <row r="1818" spans="1:10" x14ac:dyDescent="0.25">
      <c r="A1818" t="s">
        <v>2198</v>
      </c>
      <c r="B1818" t="s">
        <v>63</v>
      </c>
      <c r="C1818">
        <v>4</v>
      </c>
      <c r="D1818" t="s">
        <v>3396</v>
      </c>
      <c r="E1818">
        <v>78</v>
      </c>
      <c r="F1818">
        <v>11</v>
      </c>
      <c r="G1818">
        <v>67</v>
      </c>
      <c r="H1818" t="s">
        <v>3494</v>
      </c>
      <c r="I1818" t="s">
        <v>3490</v>
      </c>
      <c r="J1818" t="s">
        <v>2932</v>
      </c>
    </row>
    <row r="1819" spans="1:10" x14ac:dyDescent="0.25">
      <c r="A1819" t="s">
        <v>2198</v>
      </c>
      <c r="B1819" t="s">
        <v>63</v>
      </c>
      <c r="C1819">
        <v>4</v>
      </c>
      <c r="D1819" t="s">
        <v>3398</v>
      </c>
      <c r="E1819">
        <v>71</v>
      </c>
      <c r="F1819">
        <v>23</v>
      </c>
      <c r="G1819">
        <v>48</v>
      </c>
      <c r="H1819" t="s">
        <v>3494</v>
      </c>
      <c r="I1819" t="s">
        <v>3490</v>
      </c>
      <c r="J1819" t="s">
        <v>2932</v>
      </c>
    </row>
    <row r="1820" spans="1:10" x14ac:dyDescent="0.25">
      <c r="A1820" t="s">
        <v>2198</v>
      </c>
      <c r="B1820" t="s">
        <v>63</v>
      </c>
      <c r="C1820">
        <v>4</v>
      </c>
      <c r="D1820" t="s">
        <v>3400</v>
      </c>
      <c r="E1820">
        <v>73</v>
      </c>
      <c r="F1820">
        <v>16</v>
      </c>
      <c r="G1820">
        <v>57</v>
      </c>
      <c r="H1820" t="s">
        <v>3494</v>
      </c>
      <c r="I1820" t="s">
        <v>3490</v>
      </c>
      <c r="J1820" t="s">
        <v>2932</v>
      </c>
    </row>
    <row r="1821" spans="1:10" x14ac:dyDescent="0.25">
      <c r="A1821" t="s">
        <v>2198</v>
      </c>
      <c r="B1821" t="s">
        <v>63</v>
      </c>
      <c r="C1821">
        <v>4</v>
      </c>
      <c r="D1821" t="s">
        <v>3402</v>
      </c>
      <c r="E1821">
        <v>61</v>
      </c>
      <c r="F1821">
        <v>27</v>
      </c>
      <c r="G1821">
        <v>34</v>
      </c>
      <c r="H1821" t="s">
        <v>3489</v>
      </c>
      <c r="I1821" t="s">
        <v>3490</v>
      </c>
      <c r="J1821" t="s">
        <v>2932</v>
      </c>
    </row>
    <row r="1822" spans="1:10" x14ac:dyDescent="0.25">
      <c r="A1822" t="s">
        <v>2203</v>
      </c>
      <c r="B1822" t="s">
        <v>75</v>
      </c>
      <c r="C1822">
        <v>8</v>
      </c>
      <c r="D1822" t="s">
        <v>3054</v>
      </c>
      <c r="E1822">
        <v>57</v>
      </c>
      <c r="F1822">
        <v>18</v>
      </c>
      <c r="G1822">
        <v>39</v>
      </c>
      <c r="H1822" t="s">
        <v>3493</v>
      </c>
      <c r="I1822" t="s">
        <v>3490</v>
      </c>
      <c r="J1822" t="s">
        <v>2961</v>
      </c>
    </row>
    <row r="1823" spans="1:10" x14ac:dyDescent="0.25">
      <c r="A1823" t="s">
        <v>2203</v>
      </c>
      <c r="B1823" t="s">
        <v>75</v>
      </c>
      <c r="C1823">
        <v>8</v>
      </c>
      <c r="D1823" t="s">
        <v>3056</v>
      </c>
      <c r="E1823">
        <v>79</v>
      </c>
      <c r="F1823">
        <v>27</v>
      </c>
      <c r="G1823">
        <v>52</v>
      </c>
      <c r="H1823" t="s">
        <v>3494</v>
      </c>
      <c r="I1823" t="s">
        <v>3490</v>
      </c>
      <c r="J1823" t="s">
        <v>2961</v>
      </c>
    </row>
    <row r="1824" spans="1:10" x14ac:dyDescent="0.25">
      <c r="A1824" t="s">
        <v>2203</v>
      </c>
      <c r="B1824" t="s">
        <v>75</v>
      </c>
      <c r="C1824">
        <v>8</v>
      </c>
      <c r="D1824" t="s">
        <v>3058</v>
      </c>
      <c r="E1824">
        <v>71</v>
      </c>
      <c r="F1824">
        <v>16</v>
      </c>
      <c r="G1824">
        <v>55</v>
      </c>
      <c r="H1824" t="s">
        <v>3494</v>
      </c>
      <c r="I1824" t="s">
        <v>3490</v>
      </c>
      <c r="J1824" t="s">
        <v>2961</v>
      </c>
    </row>
    <row r="1825" spans="1:10" x14ac:dyDescent="0.25">
      <c r="A1825" t="s">
        <v>2203</v>
      </c>
      <c r="B1825" t="s">
        <v>75</v>
      </c>
      <c r="C1825">
        <v>8</v>
      </c>
      <c r="D1825" t="s">
        <v>3060</v>
      </c>
      <c r="E1825">
        <v>50</v>
      </c>
      <c r="F1825">
        <v>19</v>
      </c>
      <c r="G1825">
        <v>31</v>
      </c>
      <c r="H1825" t="s">
        <v>3493</v>
      </c>
      <c r="I1825" t="s">
        <v>3490</v>
      </c>
      <c r="J1825" t="s">
        <v>2961</v>
      </c>
    </row>
    <row r="1826" spans="1:10" x14ac:dyDescent="0.25">
      <c r="A1826" t="s">
        <v>2203</v>
      </c>
      <c r="B1826" t="s">
        <v>75</v>
      </c>
      <c r="C1826">
        <v>8</v>
      </c>
      <c r="D1826" t="s">
        <v>3062</v>
      </c>
      <c r="E1826">
        <v>54</v>
      </c>
      <c r="F1826">
        <v>20</v>
      </c>
      <c r="G1826">
        <v>34</v>
      </c>
      <c r="H1826" t="s">
        <v>3493</v>
      </c>
      <c r="I1826" t="s">
        <v>3490</v>
      </c>
      <c r="J1826" t="s">
        <v>2961</v>
      </c>
    </row>
    <row r="1827" spans="1:10" x14ac:dyDescent="0.25">
      <c r="A1827" t="s">
        <v>2207</v>
      </c>
      <c r="B1827" t="s">
        <v>75</v>
      </c>
      <c r="C1827">
        <v>4</v>
      </c>
      <c r="D1827" t="s">
        <v>3034</v>
      </c>
      <c r="E1827">
        <v>82</v>
      </c>
      <c r="F1827">
        <v>22</v>
      </c>
      <c r="G1827">
        <v>60</v>
      </c>
      <c r="H1827" t="s">
        <v>196</v>
      </c>
      <c r="I1827" t="s">
        <v>3490</v>
      </c>
      <c r="J1827" t="s">
        <v>2961</v>
      </c>
    </row>
    <row r="1828" spans="1:10" x14ac:dyDescent="0.25">
      <c r="A1828" t="s">
        <v>2207</v>
      </c>
      <c r="B1828" t="s">
        <v>75</v>
      </c>
      <c r="C1828">
        <v>4</v>
      </c>
      <c r="D1828" t="s">
        <v>3036</v>
      </c>
      <c r="E1828">
        <v>64</v>
      </c>
      <c r="F1828">
        <v>19</v>
      </c>
      <c r="G1828">
        <v>45</v>
      </c>
      <c r="H1828" t="s">
        <v>3489</v>
      </c>
      <c r="I1828" t="s">
        <v>3490</v>
      </c>
      <c r="J1828" t="s">
        <v>2961</v>
      </c>
    </row>
    <row r="1829" spans="1:10" x14ac:dyDescent="0.25">
      <c r="A1829" t="s">
        <v>2207</v>
      </c>
      <c r="B1829" t="s">
        <v>75</v>
      </c>
      <c r="C1829">
        <v>4</v>
      </c>
      <c r="D1829" t="s">
        <v>3038</v>
      </c>
      <c r="E1829">
        <v>68</v>
      </c>
      <c r="F1829">
        <v>14</v>
      </c>
      <c r="G1829">
        <v>54</v>
      </c>
      <c r="H1829" t="s">
        <v>3489</v>
      </c>
      <c r="I1829" t="s">
        <v>3490</v>
      </c>
      <c r="J1829" t="s">
        <v>2961</v>
      </c>
    </row>
    <row r="1830" spans="1:10" x14ac:dyDescent="0.25">
      <c r="A1830" t="s">
        <v>2207</v>
      </c>
      <c r="B1830" t="s">
        <v>75</v>
      </c>
      <c r="C1830">
        <v>4</v>
      </c>
      <c r="D1830" t="s">
        <v>3040</v>
      </c>
      <c r="E1830">
        <v>52</v>
      </c>
      <c r="F1830">
        <v>11</v>
      </c>
      <c r="G1830">
        <v>41</v>
      </c>
      <c r="H1830" t="s">
        <v>3493</v>
      </c>
      <c r="I1830" t="s">
        <v>3490</v>
      </c>
      <c r="J1830" t="s">
        <v>2961</v>
      </c>
    </row>
    <row r="1831" spans="1:10" x14ac:dyDescent="0.25">
      <c r="A1831" t="s">
        <v>2207</v>
      </c>
      <c r="B1831" t="s">
        <v>75</v>
      </c>
      <c r="C1831">
        <v>4</v>
      </c>
      <c r="D1831" t="s">
        <v>3042</v>
      </c>
      <c r="E1831">
        <v>43</v>
      </c>
      <c r="F1831">
        <v>20</v>
      </c>
      <c r="G1831">
        <v>23</v>
      </c>
      <c r="H1831" t="s">
        <v>3491</v>
      </c>
      <c r="I1831" t="s">
        <v>3492</v>
      </c>
      <c r="J1831" t="s">
        <v>2961</v>
      </c>
    </row>
    <row r="1832" spans="1:10" x14ac:dyDescent="0.25">
      <c r="A1832" t="s">
        <v>2213</v>
      </c>
      <c r="B1832" t="s">
        <v>30</v>
      </c>
      <c r="C1832">
        <v>6</v>
      </c>
      <c r="D1832" t="s">
        <v>3354</v>
      </c>
      <c r="E1832">
        <v>72</v>
      </c>
      <c r="F1832">
        <v>24</v>
      </c>
      <c r="G1832">
        <v>48</v>
      </c>
      <c r="H1832" t="s">
        <v>3494</v>
      </c>
      <c r="I1832" t="s">
        <v>3490</v>
      </c>
      <c r="J1832" t="s">
        <v>2895</v>
      </c>
    </row>
    <row r="1833" spans="1:10" x14ac:dyDescent="0.25">
      <c r="A1833" t="s">
        <v>2213</v>
      </c>
      <c r="B1833" t="s">
        <v>30</v>
      </c>
      <c r="C1833">
        <v>6</v>
      </c>
      <c r="D1833" t="s">
        <v>3356</v>
      </c>
      <c r="E1833">
        <v>83</v>
      </c>
      <c r="F1833">
        <v>18</v>
      </c>
      <c r="G1833">
        <v>65</v>
      </c>
      <c r="H1833" t="s">
        <v>196</v>
      </c>
      <c r="I1833" t="s">
        <v>3490</v>
      </c>
      <c r="J1833" t="s">
        <v>2895</v>
      </c>
    </row>
    <row r="1834" spans="1:10" x14ac:dyDescent="0.25">
      <c r="A1834" t="s">
        <v>2213</v>
      </c>
      <c r="B1834" t="s">
        <v>30</v>
      </c>
      <c r="C1834">
        <v>6</v>
      </c>
      <c r="D1834" t="s">
        <v>3358</v>
      </c>
      <c r="E1834">
        <v>56</v>
      </c>
      <c r="F1834">
        <v>11</v>
      </c>
      <c r="G1834">
        <v>45</v>
      </c>
      <c r="H1834" t="s">
        <v>3493</v>
      </c>
      <c r="I1834" t="s">
        <v>3490</v>
      </c>
      <c r="J1834" t="s">
        <v>2895</v>
      </c>
    </row>
    <row r="1835" spans="1:10" x14ac:dyDescent="0.25">
      <c r="A1835" t="s">
        <v>2213</v>
      </c>
      <c r="B1835" t="s">
        <v>30</v>
      </c>
      <c r="C1835">
        <v>6</v>
      </c>
      <c r="D1835" t="s">
        <v>3360</v>
      </c>
      <c r="E1835">
        <v>69</v>
      </c>
      <c r="F1835">
        <v>21</v>
      </c>
      <c r="G1835">
        <v>48</v>
      </c>
      <c r="H1835" t="s">
        <v>3489</v>
      </c>
      <c r="I1835" t="s">
        <v>3490</v>
      </c>
      <c r="J1835" t="s">
        <v>2895</v>
      </c>
    </row>
    <row r="1836" spans="1:10" x14ac:dyDescent="0.25">
      <c r="A1836" t="s">
        <v>2213</v>
      </c>
      <c r="B1836" t="s">
        <v>30</v>
      </c>
      <c r="C1836">
        <v>6</v>
      </c>
      <c r="D1836" t="s">
        <v>3362</v>
      </c>
      <c r="E1836">
        <v>70</v>
      </c>
      <c r="F1836">
        <v>29</v>
      </c>
      <c r="G1836">
        <v>41</v>
      </c>
      <c r="H1836" t="s">
        <v>3494</v>
      </c>
      <c r="I1836" t="s">
        <v>3490</v>
      </c>
      <c r="J1836" t="s">
        <v>2895</v>
      </c>
    </row>
    <row r="1837" spans="1:10" x14ac:dyDescent="0.25">
      <c r="A1837" t="s">
        <v>2218</v>
      </c>
      <c r="B1837" t="s">
        <v>212</v>
      </c>
      <c r="C1837">
        <v>8</v>
      </c>
      <c r="D1837" t="s">
        <v>3474</v>
      </c>
      <c r="E1837">
        <v>46</v>
      </c>
      <c r="F1837">
        <v>21</v>
      </c>
      <c r="G1837">
        <v>25</v>
      </c>
      <c r="H1837" t="s">
        <v>3491</v>
      </c>
      <c r="I1837" t="s">
        <v>3492</v>
      </c>
      <c r="J1837" t="s">
        <v>3001</v>
      </c>
    </row>
    <row r="1838" spans="1:10" x14ac:dyDescent="0.25">
      <c r="A1838" t="s">
        <v>2218</v>
      </c>
      <c r="B1838" t="s">
        <v>212</v>
      </c>
      <c r="C1838">
        <v>8</v>
      </c>
      <c r="D1838" t="s">
        <v>3476</v>
      </c>
      <c r="E1838">
        <v>66</v>
      </c>
      <c r="F1838">
        <v>21</v>
      </c>
      <c r="G1838">
        <v>45</v>
      </c>
      <c r="H1838" t="s">
        <v>3489</v>
      </c>
      <c r="I1838" t="s">
        <v>3490</v>
      </c>
      <c r="J1838" t="s">
        <v>3001</v>
      </c>
    </row>
    <row r="1839" spans="1:10" x14ac:dyDescent="0.25">
      <c r="A1839" t="s">
        <v>2218</v>
      </c>
      <c r="B1839" t="s">
        <v>212</v>
      </c>
      <c r="C1839">
        <v>8</v>
      </c>
      <c r="D1839" t="s">
        <v>3478</v>
      </c>
      <c r="E1839">
        <v>48</v>
      </c>
      <c r="F1839">
        <v>15</v>
      </c>
      <c r="G1839">
        <v>33</v>
      </c>
      <c r="H1839" t="s">
        <v>3491</v>
      </c>
      <c r="I1839" t="s">
        <v>3492</v>
      </c>
      <c r="J1839" t="s">
        <v>3001</v>
      </c>
    </row>
    <row r="1840" spans="1:10" x14ac:dyDescent="0.25">
      <c r="A1840" t="s">
        <v>2218</v>
      </c>
      <c r="B1840" t="s">
        <v>212</v>
      </c>
      <c r="C1840">
        <v>8</v>
      </c>
      <c r="D1840" t="s">
        <v>3480</v>
      </c>
      <c r="E1840">
        <v>59</v>
      </c>
      <c r="F1840">
        <v>28</v>
      </c>
      <c r="G1840">
        <v>31</v>
      </c>
      <c r="H1840" t="s">
        <v>3493</v>
      </c>
      <c r="I1840" t="s">
        <v>3490</v>
      </c>
      <c r="J1840" t="s">
        <v>3001</v>
      </c>
    </row>
    <row r="1841" spans="1:10" x14ac:dyDescent="0.25">
      <c r="A1841" t="s">
        <v>2218</v>
      </c>
      <c r="B1841" t="s">
        <v>212</v>
      </c>
      <c r="C1841">
        <v>8</v>
      </c>
      <c r="D1841" t="s">
        <v>3482</v>
      </c>
      <c r="E1841">
        <v>68</v>
      </c>
      <c r="F1841">
        <v>10</v>
      </c>
      <c r="G1841">
        <v>58</v>
      </c>
      <c r="H1841" t="s">
        <v>3489</v>
      </c>
      <c r="I1841" t="s">
        <v>3490</v>
      </c>
      <c r="J1841" t="s">
        <v>3001</v>
      </c>
    </row>
    <row r="1842" spans="1:10" x14ac:dyDescent="0.25">
      <c r="A1842" t="s">
        <v>2223</v>
      </c>
      <c r="B1842" t="s">
        <v>122</v>
      </c>
      <c r="C1842">
        <v>8</v>
      </c>
      <c r="D1842" t="s">
        <v>3294</v>
      </c>
      <c r="E1842">
        <v>65</v>
      </c>
      <c r="F1842">
        <v>11</v>
      </c>
      <c r="G1842">
        <v>54</v>
      </c>
      <c r="H1842" t="s">
        <v>3489</v>
      </c>
      <c r="I1842" t="s">
        <v>3490</v>
      </c>
      <c r="J1842" t="s">
        <v>2919</v>
      </c>
    </row>
    <row r="1843" spans="1:10" x14ac:dyDescent="0.25">
      <c r="A1843" t="s">
        <v>2223</v>
      </c>
      <c r="B1843" t="s">
        <v>122</v>
      </c>
      <c r="C1843">
        <v>8</v>
      </c>
      <c r="D1843" t="s">
        <v>3296</v>
      </c>
      <c r="E1843">
        <v>89</v>
      </c>
      <c r="F1843">
        <v>20</v>
      </c>
      <c r="G1843">
        <v>69</v>
      </c>
      <c r="H1843" t="s">
        <v>196</v>
      </c>
      <c r="I1843" t="s">
        <v>3490</v>
      </c>
      <c r="J1843" t="s">
        <v>2919</v>
      </c>
    </row>
    <row r="1844" spans="1:10" x14ac:dyDescent="0.25">
      <c r="A1844" t="s">
        <v>2223</v>
      </c>
      <c r="B1844" t="s">
        <v>122</v>
      </c>
      <c r="C1844">
        <v>8</v>
      </c>
      <c r="D1844" t="s">
        <v>3298</v>
      </c>
      <c r="E1844">
        <v>46</v>
      </c>
      <c r="F1844">
        <v>20</v>
      </c>
      <c r="G1844">
        <v>26</v>
      </c>
      <c r="H1844" t="s">
        <v>3491</v>
      </c>
      <c r="I1844" t="s">
        <v>3492</v>
      </c>
      <c r="J1844" t="s">
        <v>2919</v>
      </c>
    </row>
    <row r="1845" spans="1:10" x14ac:dyDescent="0.25">
      <c r="A1845" t="s">
        <v>2223</v>
      </c>
      <c r="B1845" t="s">
        <v>122</v>
      </c>
      <c r="C1845">
        <v>8</v>
      </c>
      <c r="D1845" t="s">
        <v>3300</v>
      </c>
      <c r="E1845">
        <v>62</v>
      </c>
      <c r="F1845">
        <v>11</v>
      </c>
      <c r="G1845">
        <v>51</v>
      </c>
      <c r="H1845" t="s">
        <v>3489</v>
      </c>
      <c r="I1845" t="s">
        <v>3490</v>
      </c>
      <c r="J1845" t="s">
        <v>2919</v>
      </c>
    </row>
    <row r="1846" spans="1:10" x14ac:dyDescent="0.25">
      <c r="A1846" t="s">
        <v>2223</v>
      </c>
      <c r="B1846" t="s">
        <v>122</v>
      </c>
      <c r="C1846">
        <v>8</v>
      </c>
      <c r="D1846" t="s">
        <v>3302</v>
      </c>
      <c r="E1846">
        <v>94</v>
      </c>
      <c r="F1846">
        <v>30</v>
      </c>
      <c r="G1846">
        <v>64</v>
      </c>
      <c r="H1846" t="s">
        <v>3495</v>
      </c>
      <c r="I1846" t="s">
        <v>3490</v>
      </c>
      <c r="J1846" t="s">
        <v>2919</v>
      </c>
    </row>
    <row r="1847" spans="1:10" x14ac:dyDescent="0.25">
      <c r="A1847" t="s">
        <v>2228</v>
      </c>
      <c r="B1847" t="s">
        <v>105</v>
      </c>
      <c r="C1847">
        <v>4</v>
      </c>
      <c r="D1847" t="s">
        <v>3154</v>
      </c>
      <c r="E1847">
        <v>85</v>
      </c>
      <c r="F1847">
        <v>19</v>
      </c>
      <c r="G1847">
        <v>66</v>
      </c>
      <c r="H1847" t="s">
        <v>196</v>
      </c>
      <c r="I1847" t="s">
        <v>3490</v>
      </c>
      <c r="J1847" t="s">
        <v>2908</v>
      </c>
    </row>
    <row r="1848" spans="1:10" x14ac:dyDescent="0.25">
      <c r="A1848" t="s">
        <v>2228</v>
      </c>
      <c r="B1848" t="s">
        <v>105</v>
      </c>
      <c r="C1848">
        <v>4</v>
      </c>
      <c r="D1848" t="s">
        <v>3156</v>
      </c>
      <c r="E1848">
        <v>72</v>
      </c>
      <c r="F1848">
        <v>10</v>
      </c>
      <c r="G1848">
        <v>62</v>
      </c>
      <c r="H1848" t="s">
        <v>3494</v>
      </c>
      <c r="I1848" t="s">
        <v>3490</v>
      </c>
      <c r="J1848" t="s">
        <v>2908</v>
      </c>
    </row>
    <row r="1849" spans="1:10" x14ac:dyDescent="0.25">
      <c r="A1849" t="s">
        <v>2228</v>
      </c>
      <c r="B1849" t="s">
        <v>105</v>
      </c>
      <c r="C1849">
        <v>4</v>
      </c>
      <c r="D1849" t="s">
        <v>3158</v>
      </c>
      <c r="E1849">
        <v>55</v>
      </c>
      <c r="F1849">
        <v>29</v>
      </c>
      <c r="G1849">
        <v>26</v>
      </c>
      <c r="H1849" t="s">
        <v>3493</v>
      </c>
      <c r="I1849" t="s">
        <v>3490</v>
      </c>
      <c r="J1849" t="s">
        <v>2908</v>
      </c>
    </row>
    <row r="1850" spans="1:10" x14ac:dyDescent="0.25">
      <c r="A1850" t="s">
        <v>2228</v>
      </c>
      <c r="B1850" t="s">
        <v>105</v>
      </c>
      <c r="C1850">
        <v>4</v>
      </c>
      <c r="D1850" t="s">
        <v>3160</v>
      </c>
      <c r="E1850">
        <v>43</v>
      </c>
      <c r="F1850">
        <v>17</v>
      </c>
      <c r="G1850">
        <v>26</v>
      </c>
      <c r="H1850" t="s">
        <v>3491</v>
      </c>
      <c r="I1850" t="s">
        <v>3492</v>
      </c>
      <c r="J1850" t="s">
        <v>2908</v>
      </c>
    </row>
    <row r="1851" spans="1:10" x14ac:dyDescent="0.25">
      <c r="A1851" t="s">
        <v>2228</v>
      </c>
      <c r="B1851" t="s">
        <v>105</v>
      </c>
      <c r="C1851">
        <v>4</v>
      </c>
      <c r="D1851" t="s">
        <v>3162</v>
      </c>
      <c r="E1851">
        <v>38</v>
      </c>
      <c r="F1851">
        <v>12</v>
      </c>
      <c r="G1851">
        <v>26</v>
      </c>
      <c r="H1851" t="s">
        <v>3491</v>
      </c>
      <c r="I1851" t="s">
        <v>3492</v>
      </c>
      <c r="J1851" t="s">
        <v>2908</v>
      </c>
    </row>
    <row r="1852" spans="1:10" x14ac:dyDescent="0.25">
      <c r="A1852" t="s">
        <v>2233</v>
      </c>
      <c r="B1852" t="s">
        <v>75</v>
      </c>
      <c r="C1852">
        <v>4</v>
      </c>
      <c r="D1852" t="s">
        <v>3034</v>
      </c>
      <c r="E1852">
        <v>93</v>
      </c>
      <c r="F1852">
        <v>24</v>
      </c>
      <c r="G1852">
        <v>69</v>
      </c>
      <c r="H1852" t="s">
        <v>3495</v>
      </c>
      <c r="I1852" t="s">
        <v>3490</v>
      </c>
      <c r="J1852" t="s">
        <v>2961</v>
      </c>
    </row>
    <row r="1853" spans="1:10" x14ac:dyDescent="0.25">
      <c r="A1853" t="s">
        <v>2233</v>
      </c>
      <c r="B1853" t="s">
        <v>75</v>
      </c>
      <c r="C1853">
        <v>4</v>
      </c>
      <c r="D1853" t="s">
        <v>3036</v>
      </c>
      <c r="E1853">
        <v>70</v>
      </c>
      <c r="F1853">
        <v>26</v>
      </c>
      <c r="G1853">
        <v>44</v>
      </c>
      <c r="H1853" t="s">
        <v>3494</v>
      </c>
      <c r="I1853" t="s">
        <v>3490</v>
      </c>
      <c r="J1853" t="s">
        <v>2961</v>
      </c>
    </row>
    <row r="1854" spans="1:10" x14ac:dyDescent="0.25">
      <c r="A1854" t="s">
        <v>2233</v>
      </c>
      <c r="B1854" t="s">
        <v>75</v>
      </c>
      <c r="C1854">
        <v>4</v>
      </c>
      <c r="D1854" t="s">
        <v>3038</v>
      </c>
      <c r="E1854">
        <v>71</v>
      </c>
      <c r="F1854">
        <v>13</v>
      </c>
      <c r="G1854">
        <v>58</v>
      </c>
      <c r="H1854" t="s">
        <v>3494</v>
      </c>
      <c r="I1854" t="s">
        <v>3490</v>
      </c>
      <c r="J1854" t="s">
        <v>2961</v>
      </c>
    </row>
    <row r="1855" spans="1:10" x14ac:dyDescent="0.25">
      <c r="A1855" t="s">
        <v>2233</v>
      </c>
      <c r="B1855" t="s">
        <v>75</v>
      </c>
      <c r="C1855">
        <v>4</v>
      </c>
      <c r="D1855" t="s">
        <v>3040</v>
      </c>
      <c r="E1855">
        <v>39</v>
      </c>
      <c r="F1855">
        <v>10</v>
      </c>
      <c r="G1855">
        <v>29</v>
      </c>
      <c r="H1855" t="s">
        <v>3491</v>
      </c>
      <c r="I1855" t="s">
        <v>3492</v>
      </c>
      <c r="J1855" t="s">
        <v>2961</v>
      </c>
    </row>
    <row r="1856" spans="1:10" x14ac:dyDescent="0.25">
      <c r="A1856" t="s">
        <v>2233</v>
      </c>
      <c r="B1856" t="s">
        <v>75</v>
      </c>
      <c r="C1856">
        <v>4</v>
      </c>
      <c r="D1856" t="s">
        <v>3042</v>
      </c>
      <c r="E1856">
        <v>58</v>
      </c>
      <c r="F1856">
        <v>20</v>
      </c>
      <c r="G1856">
        <v>38</v>
      </c>
      <c r="H1856" t="s">
        <v>3493</v>
      </c>
      <c r="I1856" t="s">
        <v>3490</v>
      </c>
      <c r="J1856" t="s">
        <v>2961</v>
      </c>
    </row>
    <row r="1857" spans="1:10" x14ac:dyDescent="0.25">
      <c r="A1857" t="s">
        <v>2238</v>
      </c>
      <c r="B1857" t="s">
        <v>159</v>
      </c>
      <c r="C1857">
        <v>8</v>
      </c>
      <c r="D1857" t="s">
        <v>3114</v>
      </c>
      <c r="E1857">
        <v>87</v>
      </c>
      <c r="F1857">
        <v>24</v>
      </c>
      <c r="G1857">
        <v>63</v>
      </c>
      <c r="H1857" t="s">
        <v>196</v>
      </c>
      <c r="I1857" t="s">
        <v>3490</v>
      </c>
      <c r="J1857" t="s">
        <v>2902</v>
      </c>
    </row>
    <row r="1858" spans="1:10" x14ac:dyDescent="0.25">
      <c r="A1858" t="s">
        <v>2238</v>
      </c>
      <c r="B1858" t="s">
        <v>159</v>
      </c>
      <c r="C1858">
        <v>8</v>
      </c>
      <c r="D1858" t="s">
        <v>3116</v>
      </c>
      <c r="E1858">
        <v>45</v>
      </c>
      <c r="F1858">
        <v>22</v>
      </c>
      <c r="G1858">
        <v>23</v>
      </c>
      <c r="H1858" t="s">
        <v>3491</v>
      </c>
      <c r="I1858" t="s">
        <v>3492</v>
      </c>
      <c r="J1858" t="s">
        <v>2902</v>
      </c>
    </row>
    <row r="1859" spans="1:10" x14ac:dyDescent="0.25">
      <c r="A1859" t="s">
        <v>2238</v>
      </c>
      <c r="B1859" t="s">
        <v>159</v>
      </c>
      <c r="C1859">
        <v>8</v>
      </c>
      <c r="D1859" t="s">
        <v>3118</v>
      </c>
      <c r="E1859">
        <v>45</v>
      </c>
      <c r="F1859">
        <v>15</v>
      </c>
      <c r="G1859">
        <v>30</v>
      </c>
      <c r="H1859" t="s">
        <v>3491</v>
      </c>
      <c r="I1859" t="s">
        <v>3492</v>
      </c>
      <c r="J1859" t="s">
        <v>2902</v>
      </c>
    </row>
    <row r="1860" spans="1:10" x14ac:dyDescent="0.25">
      <c r="A1860" t="s">
        <v>2238</v>
      </c>
      <c r="B1860" t="s">
        <v>159</v>
      </c>
      <c r="C1860">
        <v>8</v>
      </c>
      <c r="D1860" t="s">
        <v>3120</v>
      </c>
      <c r="E1860">
        <v>51</v>
      </c>
      <c r="F1860">
        <v>30</v>
      </c>
      <c r="G1860">
        <v>21</v>
      </c>
      <c r="H1860" t="s">
        <v>3493</v>
      </c>
      <c r="I1860" t="s">
        <v>3490</v>
      </c>
      <c r="J1860" t="s">
        <v>2902</v>
      </c>
    </row>
    <row r="1861" spans="1:10" x14ac:dyDescent="0.25">
      <c r="A1861" t="s">
        <v>2238</v>
      </c>
      <c r="B1861" t="s">
        <v>159</v>
      </c>
      <c r="C1861">
        <v>8</v>
      </c>
      <c r="D1861" t="s">
        <v>3122</v>
      </c>
      <c r="E1861">
        <v>87</v>
      </c>
      <c r="F1861">
        <v>22</v>
      </c>
      <c r="G1861">
        <v>65</v>
      </c>
      <c r="H1861" t="s">
        <v>196</v>
      </c>
      <c r="I1861" t="s">
        <v>3490</v>
      </c>
      <c r="J1861" t="s">
        <v>2902</v>
      </c>
    </row>
    <row r="1862" spans="1:10" x14ac:dyDescent="0.25">
      <c r="A1862" t="s">
        <v>2243</v>
      </c>
      <c r="B1862" t="s">
        <v>75</v>
      </c>
      <c r="C1862">
        <v>8</v>
      </c>
      <c r="D1862" t="s">
        <v>3054</v>
      </c>
      <c r="E1862">
        <v>72</v>
      </c>
      <c r="F1862">
        <v>29</v>
      </c>
      <c r="G1862">
        <v>43</v>
      </c>
      <c r="H1862" t="s">
        <v>3494</v>
      </c>
      <c r="I1862" t="s">
        <v>3490</v>
      </c>
      <c r="J1862" t="s">
        <v>2961</v>
      </c>
    </row>
    <row r="1863" spans="1:10" x14ac:dyDescent="0.25">
      <c r="A1863" t="s">
        <v>2243</v>
      </c>
      <c r="B1863" t="s">
        <v>75</v>
      </c>
      <c r="C1863">
        <v>8</v>
      </c>
      <c r="D1863" t="s">
        <v>3056</v>
      </c>
      <c r="E1863">
        <v>57</v>
      </c>
      <c r="F1863">
        <v>17</v>
      </c>
      <c r="G1863">
        <v>40</v>
      </c>
      <c r="H1863" t="s">
        <v>3493</v>
      </c>
      <c r="I1863" t="s">
        <v>3490</v>
      </c>
      <c r="J1863" t="s">
        <v>2961</v>
      </c>
    </row>
    <row r="1864" spans="1:10" x14ac:dyDescent="0.25">
      <c r="A1864" t="s">
        <v>2243</v>
      </c>
      <c r="B1864" t="s">
        <v>75</v>
      </c>
      <c r="C1864">
        <v>8</v>
      </c>
      <c r="D1864" t="s">
        <v>3058</v>
      </c>
      <c r="E1864">
        <v>82</v>
      </c>
      <c r="F1864">
        <v>18</v>
      </c>
      <c r="G1864">
        <v>64</v>
      </c>
      <c r="H1864" t="s">
        <v>196</v>
      </c>
      <c r="I1864" t="s">
        <v>3490</v>
      </c>
      <c r="J1864" t="s">
        <v>2961</v>
      </c>
    </row>
    <row r="1865" spans="1:10" x14ac:dyDescent="0.25">
      <c r="A1865" t="s">
        <v>2243</v>
      </c>
      <c r="B1865" t="s">
        <v>75</v>
      </c>
      <c r="C1865">
        <v>8</v>
      </c>
      <c r="D1865" t="s">
        <v>3060</v>
      </c>
      <c r="E1865">
        <v>75</v>
      </c>
      <c r="F1865">
        <v>12</v>
      </c>
      <c r="G1865">
        <v>63</v>
      </c>
      <c r="H1865" t="s">
        <v>3494</v>
      </c>
      <c r="I1865" t="s">
        <v>3490</v>
      </c>
      <c r="J1865" t="s">
        <v>2961</v>
      </c>
    </row>
    <row r="1866" spans="1:10" x14ac:dyDescent="0.25">
      <c r="A1866" t="s">
        <v>2243</v>
      </c>
      <c r="B1866" t="s">
        <v>75</v>
      </c>
      <c r="C1866">
        <v>8</v>
      </c>
      <c r="D1866" t="s">
        <v>3062</v>
      </c>
      <c r="E1866">
        <v>35</v>
      </c>
      <c r="F1866">
        <v>15</v>
      </c>
      <c r="G1866">
        <v>20</v>
      </c>
      <c r="H1866" t="s">
        <v>3491</v>
      </c>
      <c r="I1866" t="s">
        <v>3492</v>
      </c>
      <c r="J1866" t="s">
        <v>2961</v>
      </c>
    </row>
    <row r="1867" spans="1:10" x14ac:dyDescent="0.25">
      <c r="A1867" t="s">
        <v>2249</v>
      </c>
      <c r="B1867" t="s">
        <v>63</v>
      </c>
      <c r="C1867">
        <v>8</v>
      </c>
      <c r="D1867" t="s">
        <v>3414</v>
      </c>
      <c r="E1867">
        <v>74</v>
      </c>
      <c r="F1867">
        <v>12</v>
      </c>
      <c r="G1867">
        <v>62</v>
      </c>
      <c r="H1867" t="s">
        <v>3494</v>
      </c>
      <c r="I1867" t="s">
        <v>3490</v>
      </c>
      <c r="J1867" t="s">
        <v>2932</v>
      </c>
    </row>
    <row r="1868" spans="1:10" x14ac:dyDescent="0.25">
      <c r="A1868" t="s">
        <v>2249</v>
      </c>
      <c r="B1868" t="s">
        <v>63</v>
      </c>
      <c r="C1868">
        <v>8</v>
      </c>
      <c r="D1868" t="s">
        <v>3416</v>
      </c>
      <c r="E1868">
        <v>45</v>
      </c>
      <c r="F1868">
        <v>14</v>
      </c>
      <c r="G1868">
        <v>31</v>
      </c>
      <c r="H1868" t="s">
        <v>3491</v>
      </c>
      <c r="I1868" t="s">
        <v>3492</v>
      </c>
      <c r="J1868" t="s">
        <v>2932</v>
      </c>
    </row>
    <row r="1869" spans="1:10" x14ac:dyDescent="0.25">
      <c r="A1869" t="s">
        <v>2249</v>
      </c>
      <c r="B1869" t="s">
        <v>63</v>
      </c>
      <c r="C1869">
        <v>8</v>
      </c>
      <c r="D1869" t="s">
        <v>3418</v>
      </c>
      <c r="E1869">
        <v>64</v>
      </c>
      <c r="F1869">
        <v>24</v>
      </c>
      <c r="G1869">
        <v>40</v>
      </c>
      <c r="H1869" t="s">
        <v>3489</v>
      </c>
      <c r="I1869" t="s">
        <v>3490</v>
      </c>
      <c r="J1869" t="s">
        <v>2932</v>
      </c>
    </row>
    <row r="1870" spans="1:10" x14ac:dyDescent="0.25">
      <c r="A1870" t="s">
        <v>2249</v>
      </c>
      <c r="B1870" t="s">
        <v>63</v>
      </c>
      <c r="C1870">
        <v>8</v>
      </c>
      <c r="D1870" t="s">
        <v>3420</v>
      </c>
      <c r="E1870">
        <v>70</v>
      </c>
      <c r="F1870">
        <v>28</v>
      </c>
      <c r="G1870">
        <v>42</v>
      </c>
      <c r="H1870" t="s">
        <v>3494</v>
      </c>
      <c r="I1870" t="s">
        <v>3490</v>
      </c>
      <c r="J1870" t="s">
        <v>2932</v>
      </c>
    </row>
    <row r="1871" spans="1:10" x14ac:dyDescent="0.25">
      <c r="A1871" t="s">
        <v>2249</v>
      </c>
      <c r="B1871" t="s">
        <v>63</v>
      </c>
      <c r="C1871">
        <v>8</v>
      </c>
      <c r="D1871" t="s">
        <v>3422</v>
      </c>
      <c r="E1871">
        <v>31</v>
      </c>
      <c r="F1871">
        <v>11</v>
      </c>
      <c r="G1871">
        <v>20</v>
      </c>
      <c r="H1871" t="s">
        <v>3491</v>
      </c>
      <c r="I1871" t="s">
        <v>3492</v>
      </c>
      <c r="J1871" t="s">
        <v>2932</v>
      </c>
    </row>
    <row r="1872" spans="1:10" x14ac:dyDescent="0.25">
      <c r="A1872" t="s">
        <v>2254</v>
      </c>
      <c r="B1872" t="s">
        <v>212</v>
      </c>
      <c r="C1872">
        <v>6</v>
      </c>
      <c r="D1872" t="s">
        <v>3474</v>
      </c>
      <c r="E1872">
        <v>61</v>
      </c>
      <c r="F1872">
        <v>15</v>
      </c>
      <c r="G1872">
        <v>46</v>
      </c>
      <c r="H1872" t="s">
        <v>3489</v>
      </c>
      <c r="I1872" t="s">
        <v>3490</v>
      </c>
      <c r="J1872" t="s">
        <v>3001</v>
      </c>
    </row>
    <row r="1873" spans="1:10" x14ac:dyDescent="0.25">
      <c r="A1873" t="s">
        <v>2254</v>
      </c>
      <c r="B1873" t="s">
        <v>212</v>
      </c>
      <c r="C1873">
        <v>6</v>
      </c>
      <c r="D1873" t="s">
        <v>3476</v>
      </c>
      <c r="E1873">
        <v>36</v>
      </c>
      <c r="F1873">
        <v>11</v>
      </c>
      <c r="G1873">
        <v>25</v>
      </c>
      <c r="H1873" t="s">
        <v>3491</v>
      </c>
      <c r="I1873" t="s">
        <v>3492</v>
      </c>
      <c r="J1873" t="s">
        <v>3001</v>
      </c>
    </row>
    <row r="1874" spans="1:10" x14ac:dyDescent="0.25">
      <c r="A1874" t="s">
        <v>2254</v>
      </c>
      <c r="B1874" t="s">
        <v>212</v>
      </c>
      <c r="C1874">
        <v>6</v>
      </c>
      <c r="D1874" t="s">
        <v>3478</v>
      </c>
      <c r="E1874">
        <v>47</v>
      </c>
      <c r="F1874">
        <v>20</v>
      </c>
      <c r="G1874">
        <v>27</v>
      </c>
      <c r="H1874" t="s">
        <v>3491</v>
      </c>
      <c r="I1874" t="s">
        <v>3492</v>
      </c>
      <c r="J1874" t="s">
        <v>3001</v>
      </c>
    </row>
    <row r="1875" spans="1:10" x14ac:dyDescent="0.25">
      <c r="A1875" t="s">
        <v>2254</v>
      </c>
      <c r="B1875" t="s">
        <v>212</v>
      </c>
      <c r="C1875">
        <v>6</v>
      </c>
      <c r="D1875" t="s">
        <v>3480</v>
      </c>
      <c r="E1875">
        <v>53</v>
      </c>
      <c r="F1875">
        <v>20</v>
      </c>
      <c r="G1875">
        <v>33</v>
      </c>
      <c r="H1875" t="s">
        <v>3493</v>
      </c>
      <c r="I1875" t="s">
        <v>3490</v>
      </c>
      <c r="J1875" t="s">
        <v>3001</v>
      </c>
    </row>
    <row r="1876" spans="1:10" x14ac:dyDescent="0.25">
      <c r="A1876" t="s">
        <v>2254</v>
      </c>
      <c r="B1876" t="s">
        <v>212</v>
      </c>
      <c r="C1876">
        <v>6</v>
      </c>
      <c r="D1876" t="s">
        <v>3482</v>
      </c>
      <c r="E1876">
        <v>57</v>
      </c>
      <c r="F1876">
        <v>15</v>
      </c>
      <c r="G1876">
        <v>42</v>
      </c>
      <c r="H1876" t="s">
        <v>3493</v>
      </c>
      <c r="I1876" t="s">
        <v>3490</v>
      </c>
      <c r="J1876" t="s">
        <v>3001</v>
      </c>
    </row>
    <row r="1877" spans="1:10" x14ac:dyDescent="0.25">
      <c r="A1877" t="s">
        <v>2259</v>
      </c>
      <c r="B1877" t="s">
        <v>122</v>
      </c>
      <c r="C1877">
        <v>8</v>
      </c>
      <c r="D1877" t="s">
        <v>3294</v>
      </c>
      <c r="E1877">
        <v>93</v>
      </c>
      <c r="F1877">
        <v>30</v>
      </c>
      <c r="G1877">
        <v>63</v>
      </c>
      <c r="H1877" t="s">
        <v>3495</v>
      </c>
      <c r="I1877" t="s">
        <v>3490</v>
      </c>
      <c r="J1877" t="s">
        <v>2919</v>
      </c>
    </row>
    <row r="1878" spans="1:10" x14ac:dyDescent="0.25">
      <c r="A1878" t="s">
        <v>2259</v>
      </c>
      <c r="B1878" t="s">
        <v>122</v>
      </c>
      <c r="C1878">
        <v>8</v>
      </c>
      <c r="D1878" t="s">
        <v>3296</v>
      </c>
      <c r="E1878">
        <v>64</v>
      </c>
      <c r="F1878">
        <v>28</v>
      </c>
      <c r="G1878">
        <v>36</v>
      </c>
      <c r="H1878" t="s">
        <v>3489</v>
      </c>
      <c r="I1878" t="s">
        <v>3490</v>
      </c>
      <c r="J1878" t="s">
        <v>2919</v>
      </c>
    </row>
    <row r="1879" spans="1:10" x14ac:dyDescent="0.25">
      <c r="A1879" t="s">
        <v>2259</v>
      </c>
      <c r="B1879" t="s">
        <v>122</v>
      </c>
      <c r="C1879">
        <v>8</v>
      </c>
      <c r="D1879" t="s">
        <v>3298</v>
      </c>
      <c r="E1879">
        <v>84</v>
      </c>
      <c r="F1879">
        <v>24</v>
      </c>
      <c r="G1879">
        <v>60</v>
      </c>
      <c r="H1879" t="s">
        <v>196</v>
      </c>
      <c r="I1879" t="s">
        <v>3490</v>
      </c>
      <c r="J1879" t="s">
        <v>2919</v>
      </c>
    </row>
    <row r="1880" spans="1:10" x14ac:dyDescent="0.25">
      <c r="A1880" t="s">
        <v>2259</v>
      </c>
      <c r="B1880" t="s">
        <v>122</v>
      </c>
      <c r="C1880">
        <v>8</v>
      </c>
      <c r="D1880" t="s">
        <v>3300</v>
      </c>
      <c r="E1880">
        <v>70</v>
      </c>
      <c r="F1880">
        <v>29</v>
      </c>
      <c r="G1880">
        <v>41</v>
      </c>
      <c r="H1880" t="s">
        <v>3494</v>
      </c>
      <c r="I1880" t="s">
        <v>3490</v>
      </c>
      <c r="J1880" t="s">
        <v>2919</v>
      </c>
    </row>
    <row r="1881" spans="1:10" x14ac:dyDescent="0.25">
      <c r="A1881" t="s">
        <v>2259</v>
      </c>
      <c r="B1881" t="s">
        <v>122</v>
      </c>
      <c r="C1881">
        <v>8</v>
      </c>
      <c r="D1881" t="s">
        <v>3302</v>
      </c>
      <c r="E1881">
        <v>59</v>
      </c>
      <c r="F1881">
        <v>11</v>
      </c>
      <c r="G1881">
        <v>48</v>
      </c>
      <c r="H1881" t="s">
        <v>3493</v>
      </c>
      <c r="I1881" t="s">
        <v>3490</v>
      </c>
      <c r="J1881" t="s">
        <v>2919</v>
      </c>
    </row>
    <row r="1882" spans="1:10" x14ac:dyDescent="0.25">
      <c r="A1882" t="s">
        <v>2263</v>
      </c>
      <c r="B1882" t="s">
        <v>30</v>
      </c>
      <c r="C1882">
        <v>6</v>
      </c>
      <c r="D1882" t="s">
        <v>3354</v>
      </c>
      <c r="E1882">
        <v>41</v>
      </c>
      <c r="F1882">
        <v>19</v>
      </c>
      <c r="G1882">
        <v>22</v>
      </c>
      <c r="H1882" t="s">
        <v>3491</v>
      </c>
      <c r="I1882" t="s">
        <v>3492</v>
      </c>
      <c r="J1882" t="s">
        <v>2895</v>
      </c>
    </row>
    <row r="1883" spans="1:10" x14ac:dyDescent="0.25">
      <c r="A1883" t="s">
        <v>2263</v>
      </c>
      <c r="B1883" t="s">
        <v>30</v>
      </c>
      <c r="C1883">
        <v>6</v>
      </c>
      <c r="D1883" t="s">
        <v>3356</v>
      </c>
      <c r="E1883">
        <v>51</v>
      </c>
      <c r="F1883">
        <v>25</v>
      </c>
      <c r="G1883">
        <v>26</v>
      </c>
      <c r="H1883" t="s">
        <v>3493</v>
      </c>
      <c r="I1883" t="s">
        <v>3490</v>
      </c>
      <c r="J1883" t="s">
        <v>2895</v>
      </c>
    </row>
    <row r="1884" spans="1:10" x14ac:dyDescent="0.25">
      <c r="A1884" t="s">
        <v>2263</v>
      </c>
      <c r="B1884" t="s">
        <v>30</v>
      </c>
      <c r="C1884">
        <v>6</v>
      </c>
      <c r="D1884" t="s">
        <v>3358</v>
      </c>
      <c r="E1884">
        <v>89</v>
      </c>
      <c r="F1884">
        <v>24</v>
      </c>
      <c r="G1884">
        <v>65</v>
      </c>
      <c r="H1884" t="s">
        <v>196</v>
      </c>
      <c r="I1884" t="s">
        <v>3490</v>
      </c>
      <c r="J1884" t="s">
        <v>2895</v>
      </c>
    </row>
    <row r="1885" spans="1:10" x14ac:dyDescent="0.25">
      <c r="A1885" t="s">
        <v>2263</v>
      </c>
      <c r="B1885" t="s">
        <v>30</v>
      </c>
      <c r="C1885">
        <v>6</v>
      </c>
      <c r="D1885" t="s">
        <v>3360</v>
      </c>
      <c r="E1885">
        <v>44</v>
      </c>
      <c r="F1885">
        <v>16</v>
      </c>
      <c r="G1885">
        <v>28</v>
      </c>
      <c r="H1885" t="s">
        <v>3491</v>
      </c>
      <c r="I1885" t="s">
        <v>3492</v>
      </c>
      <c r="J1885" t="s">
        <v>2895</v>
      </c>
    </row>
    <row r="1886" spans="1:10" x14ac:dyDescent="0.25">
      <c r="A1886" t="s">
        <v>2263</v>
      </c>
      <c r="B1886" t="s">
        <v>30</v>
      </c>
      <c r="C1886">
        <v>6</v>
      </c>
      <c r="D1886" t="s">
        <v>3362</v>
      </c>
      <c r="E1886">
        <v>82</v>
      </c>
      <c r="F1886">
        <v>24</v>
      </c>
      <c r="G1886">
        <v>58</v>
      </c>
      <c r="H1886" t="s">
        <v>196</v>
      </c>
      <c r="I1886" t="s">
        <v>3490</v>
      </c>
      <c r="J1886" t="s">
        <v>2895</v>
      </c>
    </row>
    <row r="1887" spans="1:10" x14ac:dyDescent="0.25">
      <c r="A1887" t="s">
        <v>2267</v>
      </c>
      <c r="B1887" t="s">
        <v>122</v>
      </c>
      <c r="C1887">
        <v>8</v>
      </c>
      <c r="D1887" t="s">
        <v>3294</v>
      </c>
      <c r="E1887">
        <v>50</v>
      </c>
      <c r="F1887">
        <v>27</v>
      </c>
      <c r="G1887">
        <v>23</v>
      </c>
      <c r="H1887" t="s">
        <v>3493</v>
      </c>
      <c r="I1887" t="s">
        <v>3490</v>
      </c>
      <c r="J1887" t="s">
        <v>2919</v>
      </c>
    </row>
    <row r="1888" spans="1:10" x14ac:dyDescent="0.25">
      <c r="A1888" t="s">
        <v>2267</v>
      </c>
      <c r="B1888" t="s">
        <v>122</v>
      </c>
      <c r="C1888">
        <v>8</v>
      </c>
      <c r="D1888" t="s">
        <v>3296</v>
      </c>
      <c r="E1888">
        <v>86</v>
      </c>
      <c r="F1888">
        <v>21</v>
      </c>
      <c r="G1888">
        <v>65</v>
      </c>
      <c r="H1888" t="s">
        <v>196</v>
      </c>
      <c r="I1888" t="s">
        <v>3490</v>
      </c>
      <c r="J1888" t="s">
        <v>2919</v>
      </c>
    </row>
    <row r="1889" spans="1:10" x14ac:dyDescent="0.25">
      <c r="A1889" t="s">
        <v>2267</v>
      </c>
      <c r="B1889" t="s">
        <v>122</v>
      </c>
      <c r="C1889">
        <v>8</v>
      </c>
      <c r="D1889" t="s">
        <v>3298</v>
      </c>
      <c r="E1889">
        <v>91</v>
      </c>
      <c r="F1889">
        <v>28</v>
      </c>
      <c r="G1889">
        <v>63</v>
      </c>
      <c r="H1889" t="s">
        <v>3495</v>
      </c>
      <c r="I1889" t="s">
        <v>3490</v>
      </c>
      <c r="J1889" t="s">
        <v>2919</v>
      </c>
    </row>
    <row r="1890" spans="1:10" x14ac:dyDescent="0.25">
      <c r="A1890" t="s">
        <v>2267</v>
      </c>
      <c r="B1890" t="s">
        <v>122</v>
      </c>
      <c r="C1890">
        <v>8</v>
      </c>
      <c r="D1890" t="s">
        <v>3300</v>
      </c>
      <c r="E1890">
        <v>82</v>
      </c>
      <c r="F1890">
        <v>21</v>
      </c>
      <c r="G1890">
        <v>61</v>
      </c>
      <c r="H1890" t="s">
        <v>196</v>
      </c>
      <c r="I1890" t="s">
        <v>3490</v>
      </c>
      <c r="J1890" t="s">
        <v>2919</v>
      </c>
    </row>
    <row r="1891" spans="1:10" x14ac:dyDescent="0.25">
      <c r="A1891" t="s">
        <v>2267</v>
      </c>
      <c r="B1891" t="s">
        <v>122</v>
      </c>
      <c r="C1891">
        <v>8</v>
      </c>
      <c r="D1891" t="s">
        <v>3302</v>
      </c>
      <c r="E1891">
        <v>44</v>
      </c>
      <c r="F1891">
        <v>10</v>
      </c>
      <c r="G1891">
        <v>34</v>
      </c>
      <c r="H1891" t="s">
        <v>3491</v>
      </c>
      <c r="I1891" t="s">
        <v>3492</v>
      </c>
      <c r="J1891" t="s">
        <v>2919</v>
      </c>
    </row>
    <row r="1892" spans="1:10" x14ac:dyDescent="0.25">
      <c r="A1892" t="s">
        <v>2272</v>
      </c>
      <c r="B1892" t="s">
        <v>30</v>
      </c>
      <c r="C1892">
        <v>4</v>
      </c>
      <c r="D1892" t="s">
        <v>3334</v>
      </c>
      <c r="E1892">
        <v>35</v>
      </c>
      <c r="F1892">
        <v>12</v>
      </c>
      <c r="G1892">
        <v>23</v>
      </c>
      <c r="H1892" t="s">
        <v>3491</v>
      </c>
      <c r="I1892" t="s">
        <v>3492</v>
      </c>
      <c r="J1892" t="s">
        <v>2895</v>
      </c>
    </row>
    <row r="1893" spans="1:10" x14ac:dyDescent="0.25">
      <c r="A1893" t="s">
        <v>2272</v>
      </c>
      <c r="B1893" t="s">
        <v>30</v>
      </c>
      <c r="C1893">
        <v>4</v>
      </c>
      <c r="D1893" t="s">
        <v>3336</v>
      </c>
      <c r="E1893">
        <v>55</v>
      </c>
      <c r="F1893">
        <v>10</v>
      </c>
      <c r="G1893">
        <v>45</v>
      </c>
      <c r="H1893" t="s">
        <v>3493</v>
      </c>
      <c r="I1893" t="s">
        <v>3490</v>
      </c>
      <c r="J1893" t="s">
        <v>2895</v>
      </c>
    </row>
    <row r="1894" spans="1:10" x14ac:dyDescent="0.25">
      <c r="A1894" t="s">
        <v>2272</v>
      </c>
      <c r="B1894" t="s">
        <v>30</v>
      </c>
      <c r="C1894">
        <v>4</v>
      </c>
      <c r="D1894" t="s">
        <v>3338</v>
      </c>
      <c r="E1894">
        <v>82</v>
      </c>
      <c r="F1894">
        <v>19</v>
      </c>
      <c r="G1894">
        <v>63</v>
      </c>
      <c r="H1894" t="s">
        <v>196</v>
      </c>
      <c r="I1894" t="s">
        <v>3490</v>
      </c>
      <c r="J1894" t="s">
        <v>2895</v>
      </c>
    </row>
    <row r="1895" spans="1:10" x14ac:dyDescent="0.25">
      <c r="A1895" t="s">
        <v>2272</v>
      </c>
      <c r="B1895" t="s">
        <v>30</v>
      </c>
      <c r="C1895">
        <v>4</v>
      </c>
      <c r="D1895" t="s">
        <v>3340</v>
      </c>
      <c r="E1895">
        <v>62</v>
      </c>
      <c r="F1895">
        <v>29</v>
      </c>
      <c r="G1895">
        <v>33</v>
      </c>
      <c r="H1895" t="s">
        <v>3489</v>
      </c>
      <c r="I1895" t="s">
        <v>3490</v>
      </c>
      <c r="J1895" t="s">
        <v>2895</v>
      </c>
    </row>
    <row r="1896" spans="1:10" x14ac:dyDescent="0.25">
      <c r="A1896" t="s">
        <v>2272</v>
      </c>
      <c r="B1896" t="s">
        <v>30</v>
      </c>
      <c r="C1896">
        <v>4</v>
      </c>
      <c r="D1896" t="s">
        <v>3342</v>
      </c>
      <c r="E1896">
        <v>88</v>
      </c>
      <c r="F1896">
        <v>19</v>
      </c>
      <c r="G1896">
        <v>69</v>
      </c>
      <c r="H1896" t="s">
        <v>196</v>
      </c>
      <c r="I1896" t="s">
        <v>3490</v>
      </c>
      <c r="J1896" t="s">
        <v>2895</v>
      </c>
    </row>
    <row r="1897" spans="1:10" x14ac:dyDescent="0.25">
      <c r="A1897" t="s">
        <v>2277</v>
      </c>
      <c r="B1897" t="s">
        <v>30</v>
      </c>
      <c r="C1897">
        <v>4</v>
      </c>
      <c r="D1897" t="s">
        <v>3334</v>
      </c>
      <c r="E1897">
        <v>43</v>
      </c>
      <c r="F1897">
        <v>10</v>
      </c>
      <c r="G1897">
        <v>33</v>
      </c>
      <c r="H1897" t="s">
        <v>3491</v>
      </c>
      <c r="I1897" t="s">
        <v>3492</v>
      </c>
      <c r="J1897" t="s">
        <v>2895</v>
      </c>
    </row>
    <row r="1898" spans="1:10" x14ac:dyDescent="0.25">
      <c r="A1898" t="s">
        <v>2277</v>
      </c>
      <c r="B1898" t="s">
        <v>30</v>
      </c>
      <c r="C1898">
        <v>4</v>
      </c>
      <c r="D1898" t="s">
        <v>3336</v>
      </c>
      <c r="E1898">
        <v>55</v>
      </c>
      <c r="F1898">
        <v>28</v>
      </c>
      <c r="G1898">
        <v>27</v>
      </c>
      <c r="H1898" t="s">
        <v>3493</v>
      </c>
      <c r="I1898" t="s">
        <v>3490</v>
      </c>
      <c r="J1898" t="s">
        <v>2895</v>
      </c>
    </row>
    <row r="1899" spans="1:10" x14ac:dyDescent="0.25">
      <c r="A1899" t="s">
        <v>2277</v>
      </c>
      <c r="B1899" t="s">
        <v>30</v>
      </c>
      <c r="C1899">
        <v>4</v>
      </c>
      <c r="D1899" t="s">
        <v>3338</v>
      </c>
      <c r="E1899">
        <v>47</v>
      </c>
      <c r="F1899">
        <v>10</v>
      </c>
      <c r="G1899">
        <v>37</v>
      </c>
      <c r="H1899" t="s">
        <v>3491</v>
      </c>
      <c r="I1899" t="s">
        <v>3492</v>
      </c>
      <c r="J1899" t="s">
        <v>2895</v>
      </c>
    </row>
    <row r="1900" spans="1:10" x14ac:dyDescent="0.25">
      <c r="A1900" t="s">
        <v>2277</v>
      </c>
      <c r="B1900" t="s">
        <v>30</v>
      </c>
      <c r="C1900">
        <v>4</v>
      </c>
      <c r="D1900" t="s">
        <v>3340</v>
      </c>
      <c r="E1900">
        <v>49</v>
      </c>
      <c r="F1900">
        <v>21</v>
      </c>
      <c r="G1900">
        <v>28</v>
      </c>
      <c r="H1900" t="s">
        <v>3491</v>
      </c>
      <c r="I1900" t="s">
        <v>3492</v>
      </c>
      <c r="J1900" t="s">
        <v>2895</v>
      </c>
    </row>
    <row r="1901" spans="1:10" x14ac:dyDescent="0.25">
      <c r="A1901" t="s">
        <v>2277</v>
      </c>
      <c r="B1901" t="s">
        <v>30</v>
      </c>
      <c r="C1901">
        <v>4</v>
      </c>
      <c r="D1901" t="s">
        <v>3342</v>
      </c>
      <c r="E1901">
        <v>44</v>
      </c>
      <c r="F1901">
        <v>11</v>
      </c>
      <c r="G1901">
        <v>33</v>
      </c>
      <c r="H1901" t="s">
        <v>3491</v>
      </c>
      <c r="I1901" t="s">
        <v>3492</v>
      </c>
      <c r="J1901" t="s">
        <v>2895</v>
      </c>
    </row>
    <row r="1902" spans="1:10" x14ac:dyDescent="0.25">
      <c r="A1902" t="s">
        <v>2281</v>
      </c>
      <c r="B1902" t="s">
        <v>122</v>
      </c>
      <c r="C1902">
        <v>4</v>
      </c>
      <c r="D1902" t="s">
        <v>3274</v>
      </c>
      <c r="E1902">
        <v>45</v>
      </c>
      <c r="F1902">
        <v>23</v>
      </c>
      <c r="G1902">
        <v>22</v>
      </c>
      <c r="H1902" t="s">
        <v>3491</v>
      </c>
      <c r="I1902" t="s">
        <v>3492</v>
      </c>
      <c r="J1902" t="s">
        <v>2919</v>
      </c>
    </row>
    <row r="1903" spans="1:10" x14ac:dyDescent="0.25">
      <c r="A1903" t="s">
        <v>2281</v>
      </c>
      <c r="B1903" t="s">
        <v>122</v>
      </c>
      <c r="C1903">
        <v>4</v>
      </c>
      <c r="D1903" t="s">
        <v>3276</v>
      </c>
      <c r="E1903">
        <v>85</v>
      </c>
      <c r="F1903">
        <v>26</v>
      </c>
      <c r="G1903">
        <v>59</v>
      </c>
      <c r="H1903" t="s">
        <v>196</v>
      </c>
      <c r="I1903" t="s">
        <v>3490</v>
      </c>
      <c r="J1903" t="s">
        <v>2919</v>
      </c>
    </row>
    <row r="1904" spans="1:10" x14ac:dyDescent="0.25">
      <c r="A1904" t="s">
        <v>2281</v>
      </c>
      <c r="B1904" t="s">
        <v>122</v>
      </c>
      <c r="C1904">
        <v>4</v>
      </c>
      <c r="D1904" t="s">
        <v>3278</v>
      </c>
      <c r="E1904">
        <v>43</v>
      </c>
      <c r="F1904">
        <v>19</v>
      </c>
      <c r="G1904">
        <v>24</v>
      </c>
      <c r="H1904" t="s">
        <v>3491</v>
      </c>
      <c r="I1904" t="s">
        <v>3492</v>
      </c>
      <c r="J1904" t="s">
        <v>2919</v>
      </c>
    </row>
    <row r="1905" spans="1:10" x14ac:dyDescent="0.25">
      <c r="A1905" t="s">
        <v>2281</v>
      </c>
      <c r="B1905" t="s">
        <v>122</v>
      </c>
      <c r="C1905">
        <v>4</v>
      </c>
      <c r="D1905" t="s">
        <v>3280</v>
      </c>
      <c r="E1905">
        <v>66</v>
      </c>
      <c r="F1905">
        <v>12</v>
      </c>
      <c r="G1905">
        <v>54</v>
      </c>
      <c r="H1905" t="s">
        <v>3489</v>
      </c>
      <c r="I1905" t="s">
        <v>3490</v>
      </c>
      <c r="J1905" t="s">
        <v>2919</v>
      </c>
    </row>
    <row r="1906" spans="1:10" x14ac:dyDescent="0.25">
      <c r="A1906" t="s">
        <v>2281</v>
      </c>
      <c r="B1906" t="s">
        <v>122</v>
      </c>
      <c r="C1906">
        <v>4</v>
      </c>
      <c r="D1906" t="s">
        <v>3282</v>
      </c>
      <c r="E1906">
        <v>79</v>
      </c>
      <c r="F1906">
        <v>19</v>
      </c>
      <c r="G1906">
        <v>60</v>
      </c>
      <c r="H1906" t="s">
        <v>3494</v>
      </c>
      <c r="I1906" t="s">
        <v>3490</v>
      </c>
      <c r="J1906" t="s">
        <v>2919</v>
      </c>
    </row>
    <row r="1907" spans="1:10" x14ac:dyDescent="0.25">
      <c r="A1907" t="s">
        <v>2286</v>
      </c>
      <c r="B1907" t="s">
        <v>105</v>
      </c>
      <c r="C1907">
        <v>8</v>
      </c>
      <c r="D1907" t="s">
        <v>3174</v>
      </c>
      <c r="E1907">
        <v>55</v>
      </c>
      <c r="F1907">
        <v>29</v>
      </c>
      <c r="G1907">
        <v>26</v>
      </c>
      <c r="H1907" t="s">
        <v>3493</v>
      </c>
      <c r="I1907" t="s">
        <v>3490</v>
      </c>
      <c r="J1907" t="s">
        <v>2908</v>
      </c>
    </row>
    <row r="1908" spans="1:10" x14ac:dyDescent="0.25">
      <c r="A1908" t="s">
        <v>2286</v>
      </c>
      <c r="B1908" t="s">
        <v>105</v>
      </c>
      <c r="C1908">
        <v>8</v>
      </c>
      <c r="D1908" t="s">
        <v>3176</v>
      </c>
      <c r="E1908">
        <v>78</v>
      </c>
      <c r="F1908">
        <v>17</v>
      </c>
      <c r="G1908">
        <v>61</v>
      </c>
      <c r="H1908" t="s">
        <v>3494</v>
      </c>
      <c r="I1908" t="s">
        <v>3490</v>
      </c>
      <c r="J1908" t="s">
        <v>2908</v>
      </c>
    </row>
    <row r="1909" spans="1:10" x14ac:dyDescent="0.25">
      <c r="A1909" t="s">
        <v>2286</v>
      </c>
      <c r="B1909" t="s">
        <v>105</v>
      </c>
      <c r="C1909">
        <v>8</v>
      </c>
      <c r="D1909" t="s">
        <v>3178</v>
      </c>
      <c r="E1909">
        <v>79</v>
      </c>
      <c r="F1909">
        <v>20</v>
      </c>
      <c r="G1909">
        <v>59</v>
      </c>
      <c r="H1909" t="s">
        <v>3494</v>
      </c>
      <c r="I1909" t="s">
        <v>3490</v>
      </c>
      <c r="J1909" t="s">
        <v>2908</v>
      </c>
    </row>
    <row r="1910" spans="1:10" x14ac:dyDescent="0.25">
      <c r="A1910" t="s">
        <v>2286</v>
      </c>
      <c r="B1910" t="s">
        <v>105</v>
      </c>
      <c r="C1910">
        <v>8</v>
      </c>
      <c r="D1910" t="s">
        <v>3180</v>
      </c>
      <c r="E1910">
        <v>60</v>
      </c>
      <c r="F1910">
        <v>29</v>
      </c>
      <c r="G1910">
        <v>31</v>
      </c>
      <c r="H1910" t="s">
        <v>3489</v>
      </c>
      <c r="I1910" t="s">
        <v>3490</v>
      </c>
      <c r="J1910" t="s">
        <v>2908</v>
      </c>
    </row>
    <row r="1911" spans="1:10" x14ac:dyDescent="0.25">
      <c r="A1911" t="s">
        <v>2286</v>
      </c>
      <c r="B1911" t="s">
        <v>105</v>
      </c>
      <c r="C1911">
        <v>8</v>
      </c>
      <c r="D1911" t="s">
        <v>3182</v>
      </c>
      <c r="E1911">
        <v>69</v>
      </c>
      <c r="F1911">
        <v>27</v>
      </c>
      <c r="G1911">
        <v>42</v>
      </c>
      <c r="H1911" t="s">
        <v>3489</v>
      </c>
      <c r="I1911" t="s">
        <v>3490</v>
      </c>
      <c r="J1911" t="s">
        <v>2908</v>
      </c>
    </row>
    <row r="1912" spans="1:10" x14ac:dyDescent="0.25">
      <c r="A1912" t="s">
        <v>2291</v>
      </c>
      <c r="B1912" t="s">
        <v>95</v>
      </c>
      <c r="C1912">
        <v>8</v>
      </c>
      <c r="D1912" t="s">
        <v>3234</v>
      </c>
      <c r="E1912">
        <v>89</v>
      </c>
      <c r="F1912">
        <v>21</v>
      </c>
      <c r="G1912">
        <v>68</v>
      </c>
      <c r="H1912" t="s">
        <v>196</v>
      </c>
      <c r="I1912" t="s">
        <v>3490</v>
      </c>
      <c r="J1912" t="s">
        <v>2889</v>
      </c>
    </row>
    <row r="1913" spans="1:10" x14ac:dyDescent="0.25">
      <c r="A1913" t="s">
        <v>2291</v>
      </c>
      <c r="B1913" t="s">
        <v>95</v>
      </c>
      <c r="C1913">
        <v>8</v>
      </c>
      <c r="D1913" t="s">
        <v>3236</v>
      </c>
      <c r="E1913">
        <v>60</v>
      </c>
      <c r="F1913">
        <v>17</v>
      </c>
      <c r="G1913">
        <v>43</v>
      </c>
      <c r="H1913" t="s">
        <v>3489</v>
      </c>
      <c r="I1913" t="s">
        <v>3490</v>
      </c>
      <c r="J1913" t="s">
        <v>2889</v>
      </c>
    </row>
    <row r="1914" spans="1:10" x14ac:dyDescent="0.25">
      <c r="A1914" t="s">
        <v>2291</v>
      </c>
      <c r="B1914" t="s">
        <v>95</v>
      </c>
      <c r="C1914">
        <v>8</v>
      </c>
      <c r="D1914" t="s">
        <v>3238</v>
      </c>
      <c r="E1914">
        <v>69</v>
      </c>
      <c r="F1914">
        <v>28</v>
      </c>
      <c r="G1914">
        <v>41</v>
      </c>
      <c r="H1914" t="s">
        <v>3489</v>
      </c>
      <c r="I1914" t="s">
        <v>3490</v>
      </c>
      <c r="J1914" t="s">
        <v>2889</v>
      </c>
    </row>
    <row r="1915" spans="1:10" x14ac:dyDescent="0.25">
      <c r="A1915" t="s">
        <v>2291</v>
      </c>
      <c r="B1915" t="s">
        <v>95</v>
      </c>
      <c r="C1915">
        <v>8</v>
      </c>
      <c r="D1915" t="s">
        <v>3240</v>
      </c>
      <c r="E1915">
        <v>36</v>
      </c>
      <c r="F1915">
        <v>14</v>
      </c>
      <c r="G1915">
        <v>22</v>
      </c>
      <c r="H1915" t="s">
        <v>3491</v>
      </c>
      <c r="I1915" t="s">
        <v>3492</v>
      </c>
      <c r="J1915" t="s">
        <v>2889</v>
      </c>
    </row>
    <row r="1916" spans="1:10" x14ac:dyDescent="0.25">
      <c r="A1916" t="s">
        <v>2291</v>
      </c>
      <c r="B1916" t="s">
        <v>95</v>
      </c>
      <c r="C1916">
        <v>8</v>
      </c>
      <c r="D1916" t="s">
        <v>3242</v>
      </c>
      <c r="E1916">
        <v>65</v>
      </c>
      <c r="F1916">
        <v>21</v>
      </c>
      <c r="G1916">
        <v>44</v>
      </c>
      <c r="H1916" t="s">
        <v>3489</v>
      </c>
      <c r="I1916" t="s">
        <v>3490</v>
      </c>
      <c r="J1916" t="s">
        <v>2889</v>
      </c>
    </row>
    <row r="1917" spans="1:10" x14ac:dyDescent="0.25">
      <c r="A1917" t="s">
        <v>2296</v>
      </c>
      <c r="B1917" t="s">
        <v>30</v>
      </c>
      <c r="C1917">
        <v>8</v>
      </c>
      <c r="D1917" t="s">
        <v>3354</v>
      </c>
      <c r="E1917">
        <v>34</v>
      </c>
      <c r="F1917">
        <v>12</v>
      </c>
      <c r="G1917">
        <v>22</v>
      </c>
      <c r="H1917" t="s">
        <v>3491</v>
      </c>
      <c r="I1917" t="s">
        <v>3492</v>
      </c>
      <c r="J1917" t="s">
        <v>2895</v>
      </c>
    </row>
    <row r="1918" spans="1:10" x14ac:dyDescent="0.25">
      <c r="A1918" t="s">
        <v>2296</v>
      </c>
      <c r="B1918" t="s">
        <v>30</v>
      </c>
      <c r="C1918">
        <v>8</v>
      </c>
      <c r="D1918" t="s">
        <v>3356</v>
      </c>
      <c r="E1918">
        <v>57</v>
      </c>
      <c r="F1918">
        <v>11</v>
      </c>
      <c r="G1918">
        <v>46</v>
      </c>
      <c r="H1918" t="s">
        <v>3493</v>
      </c>
      <c r="I1918" t="s">
        <v>3490</v>
      </c>
      <c r="J1918" t="s">
        <v>2895</v>
      </c>
    </row>
    <row r="1919" spans="1:10" x14ac:dyDescent="0.25">
      <c r="A1919" t="s">
        <v>2296</v>
      </c>
      <c r="B1919" t="s">
        <v>30</v>
      </c>
      <c r="C1919">
        <v>8</v>
      </c>
      <c r="D1919" t="s">
        <v>3358</v>
      </c>
      <c r="E1919">
        <v>81</v>
      </c>
      <c r="F1919">
        <v>25</v>
      </c>
      <c r="G1919">
        <v>56</v>
      </c>
      <c r="H1919" t="s">
        <v>196</v>
      </c>
      <c r="I1919" t="s">
        <v>3490</v>
      </c>
      <c r="J1919" t="s">
        <v>2895</v>
      </c>
    </row>
    <row r="1920" spans="1:10" x14ac:dyDescent="0.25">
      <c r="A1920" t="s">
        <v>2296</v>
      </c>
      <c r="B1920" t="s">
        <v>30</v>
      </c>
      <c r="C1920">
        <v>8</v>
      </c>
      <c r="D1920" t="s">
        <v>3360</v>
      </c>
      <c r="E1920">
        <v>48</v>
      </c>
      <c r="F1920">
        <v>28</v>
      </c>
      <c r="G1920">
        <v>20</v>
      </c>
      <c r="H1920" t="s">
        <v>3491</v>
      </c>
      <c r="I1920" t="s">
        <v>3492</v>
      </c>
      <c r="J1920" t="s">
        <v>2895</v>
      </c>
    </row>
    <row r="1921" spans="1:10" x14ac:dyDescent="0.25">
      <c r="A1921" t="s">
        <v>2296</v>
      </c>
      <c r="B1921" t="s">
        <v>30</v>
      </c>
      <c r="C1921">
        <v>8</v>
      </c>
      <c r="D1921" t="s">
        <v>3362</v>
      </c>
      <c r="E1921">
        <v>51</v>
      </c>
      <c r="F1921">
        <v>30</v>
      </c>
      <c r="G1921">
        <v>21</v>
      </c>
      <c r="H1921" t="s">
        <v>3493</v>
      </c>
      <c r="I1921" t="s">
        <v>3490</v>
      </c>
      <c r="J1921" t="s">
        <v>2895</v>
      </c>
    </row>
    <row r="1922" spans="1:10" x14ac:dyDescent="0.25">
      <c r="A1922" t="s">
        <v>2301</v>
      </c>
      <c r="B1922" t="s">
        <v>63</v>
      </c>
      <c r="C1922">
        <v>8</v>
      </c>
      <c r="D1922" t="s">
        <v>3414</v>
      </c>
      <c r="E1922">
        <v>78</v>
      </c>
      <c r="F1922">
        <v>22</v>
      </c>
      <c r="G1922">
        <v>56</v>
      </c>
      <c r="H1922" t="s">
        <v>3494</v>
      </c>
      <c r="I1922" t="s">
        <v>3490</v>
      </c>
      <c r="J1922" t="s">
        <v>2932</v>
      </c>
    </row>
    <row r="1923" spans="1:10" x14ac:dyDescent="0.25">
      <c r="A1923" t="s">
        <v>2301</v>
      </c>
      <c r="B1923" t="s">
        <v>63</v>
      </c>
      <c r="C1923">
        <v>8</v>
      </c>
      <c r="D1923" t="s">
        <v>3416</v>
      </c>
      <c r="E1923">
        <v>78</v>
      </c>
      <c r="F1923">
        <v>23</v>
      </c>
      <c r="G1923">
        <v>55</v>
      </c>
      <c r="H1923" t="s">
        <v>3494</v>
      </c>
      <c r="I1923" t="s">
        <v>3490</v>
      </c>
      <c r="J1923" t="s">
        <v>2932</v>
      </c>
    </row>
    <row r="1924" spans="1:10" x14ac:dyDescent="0.25">
      <c r="A1924" t="s">
        <v>2301</v>
      </c>
      <c r="B1924" t="s">
        <v>63</v>
      </c>
      <c r="C1924">
        <v>8</v>
      </c>
      <c r="D1924" t="s">
        <v>3418</v>
      </c>
      <c r="E1924">
        <v>35</v>
      </c>
      <c r="F1924">
        <v>11</v>
      </c>
      <c r="G1924">
        <v>24</v>
      </c>
      <c r="H1924" t="s">
        <v>3491</v>
      </c>
      <c r="I1924" t="s">
        <v>3492</v>
      </c>
      <c r="J1924" t="s">
        <v>2932</v>
      </c>
    </row>
    <row r="1925" spans="1:10" x14ac:dyDescent="0.25">
      <c r="A1925" t="s">
        <v>2301</v>
      </c>
      <c r="B1925" t="s">
        <v>63</v>
      </c>
      <c r="C1925">
        <v>8</v>
      </c>
      <c r="D1925" t="s">
        <v>3420</v>
      </c>
      <c r="E1925">
        <v>71</v>
      </c>
      <c r="F1925">
        <v>27</v>
      </c>
      <c r="G1925">
        <v>44</v>
      </c>
      <c r="H1925" t="s">
        <v>3494</v>
      </c>
      <c r="I1925" t="s">
        <v>3490</v>
      </c>
      <c r="J1925" t="s">
        <v>2932</v>
      </c>
    </row>
    <row r="1926" spans="1:10" x14ac:dyDescent="0.25">
      <c r="A1926" t="s">
        <v>2301</v>
      </c>
      <c r="B1926" t="s">
        <v>63</v>
      </c>
      <c r="C1926">
        <v>8</v>
      </c>
      <c r="D1926" t="s">
        <v>3422</v>
      </c>
      <c r="E1926">
        <v>74</v>
      </c>
      <c r="F1926">
        <v>24</v>
      </c>
      <c r="G1926">
        <v>50</v>
      </c>
      <c r="H1926" t="s">
        <v>3494</v>
      </c>
      <c r="I1926" t="s">
        <v>3490</v>
      </c>
      <c r="J1926" t="s">
        <v>2932</v>
      </c>
    </row>
    <row r="1927" spans="1:10" x14ac:dyDescent="0.25">
      <c r="A1927" t="s">
        <v>2306</v>
      </c>
      <c r="B1927" t="s">
        <v>159</v>
      </c>
      <c r="C1927">
        <v>8</v>
      </c>
      <c r="D1927" t="s">
        <v>3114</v>
      </c>
      <c r="E1927">
        <v>40</v>
      </c>
      <c r="F1927">
        <v>18</v>
      </c>
      <c r="G1927">
        <v>22</v>
      </c>
      <c r="H1927" t="s">
        <v>3491</v>
      </c>
      <c r="I1927" t="s">
        <v>3492</v>
      </c>
      <c r="J1927" t="s">
        <v>2902</v>
      </c>
    </row>
    <row r="1928" spans="1:10" x14ac:dyDescent="0.25">
      <c r="A1928" t="s">
        <v>2306</v>
      </c>
      <c r="B1928" t="s">
        <v>159</v>
      </c>
      <c r="C1928">
        <v>8</v>
      </c>
      <c r="D1928" t="s">
        <v>3116</v>
      </c>
      <c r="E1928">
        <v>67</v>
      </c>
      <c r="F1928">
        <v>17</v>
      </c>
      <c r="G1928">
        <v>50</v>
      </c>
      <c r="H1928" t="s">
        <v>3489</v>
      </c>
      <c r="I1928" t="s">
        <v>3490</v>
      </c>
      <c r="J1928" t="s">
        <v>2902</v>
      </c>
    </row>
    <row r="1929" spans="1:10" x14ac:dyDescent="0.25">
      <c r="A1929" t="s">
        <v>2306</v>
      </c>
      <c r="B1929" t="s">
        <v>159</v>
      </c>
      <c r="C1929">
        <v>8</v>
      </c>
      <c r="D1929" t="s">
        <v>3118</v>
      </c>
      <c r="E1929">
        <v>63</v>
      </c>
      <c r="F1929">
        <v>26</v>
      </c>
      <c r="G1929">
        <v>37</v>
      </c>
      <c r="H1929" t="s">
        <v>3489</v>
      </c>
      <c r="I1929" t="s">
        <v>3490</v>
      </c>
      <c r="J1929" t="s">
        <v>2902</v>
      </c>
    </row>
    <row r="1930" spans="1:10" x14ac:dyDescent="0.25">
      <c r="A1930" t="s">
        <v>2306</v>
      </c>
      <c r="B1930" t="s">
        <v>159</v>
      </c>
      <c r="C1930">
        <v>8</v>
      </c>
      <c r="D1930" t="s">
        <v>3120</v>
      </c>
      <c r="E1930">
        <v>79</v>
      </c>
      <c r="F1930">
        <v>14</v>
      </c>
      <c r="G1930">
        <v>65</v>
      </c>
      <c r="H1930" t="s">
        <v>3494</v>
      </c>
      <c r="I1930" t="s">
        <v>3490</v>
      </c>
      <c r="J1930" t="s">
        <v>2902</v>
      </c>
    </row>
    <row r="1931" spans="1:10" x14ac:dyDescent="0.25">
      <c r="A1931" t="s">
        <v>2306</v>
      </c>
      <c r="B1931" t="s">
        <v>159</v>
      </c>
      <c r="C1931">
        <v>8</v>
      </c>
      <c r="D1931" t="s">
        <v>3122</v>
      </c>
      <c r="E1931">
        <v>78</v>
      </c>
      <c r="F1931">
        <v>16</v>
      </c>
      <c r="G1931">
        <v>62</v>
      </c>
      <c r="H1931" t="s">
        <v>3494</v>
      </c>
      <c r="I1931" t="s">
        <v>3490</v>
      </c>
      <c r="J1931" t="s">
        <v>2902</v>
      </c>
    </row>
    <row r="1932" spans="1:10" x14ac:dyDescent="0.25">
      <c r="A1932" t="s">
        <v>2311</v>
      </c>
      <c r="B1932" t="s">
        <v>30</v>
      </c>
      <c r="C1932">
        <v>8</v>
      </c>
      <c r="D1932" t="s">
        <v>3354</v>
      </c>
      <c r="E1932">
        <v>72</v>
      </c>
      <c r="F1932">
        <v>16</v>
      </c>
      <c r="G1932">
        <v>56</v>
      </c>
      <c r="H1932" t="s">
        <v>3494</v>
      </c>
      <c r="I1932" t="s">
        <v>3490</v>
      </c>
      <c r="J1932" t="s">
        <v>2895</v>
      </c>
    </row>
    <row r="1933" spans="1:10" x14ac:dyDescent="0.25">
      <c r="A1933" t="s">
        <v>2311</v>
      </c>
      <c r="B1933" t="s">
        <v>30</v>
      </c>
      <c r="C1933">
        <v>8</v>
      </c>
      <c r="D1933" t="s">
        <v>3356</v>
      </c>
      <c r="E1933">
        <v>58</v>
      </c>
      <c r="F1933">
        <v>19</v>
      </c>
      <c r="G1933">
        <v>39</v>
      </c>
      <c r="H1933" t="s">
        <v>3493</v>
      </c>
      <c r="I1933" t="s">
        <v>3490</v>
      </c>
      <c r="J1933" t="s">
        <v>2895</v>
      </c>
    </row>
    <row r="1934" spans="1:10" x14ac:dyDescent="0.25">
      <c r="A1934" t="s">
        <v>2311</v>
      </c>
      <c r="B1934" t="s">
        <v>30</v>
      </c>
      <c r="C1934">
        <v>8</v>
      </c>
      <c r="D1934" t="s">
        <v>3358</v>
      </c>
      <c r="E1934">
        <v>92</v>
      </c>
      <c r="F1934">
        <v>28</v>
      </c>
      <c r="G1934">
        <v>64</v>
      </c>
      <c r="H1934" t="s">
        <v>3495</v>
      </c>
      <c r="I1934" t="s">
        <v>3490</v>
      </c>
      <c r="J1934" t="s">
        <v>2895</v>
      </c>
    </row>
    <row r="1935" spans="1:10" x14ac:dyDescent="0.25">
      <c r="A1935" t="s">
        <v>2311</v>
      </c>
      <c r="B1935" t="s">
        <v>30</v>
      </c>
      <c r="C1935">
        <v>8</v>
      </c>
      <c r="D1935" t="s">
        <v>3360</v>
      </c>
      <c r="E1935">
        <v>55</v>
      </c>
      <c r="F1935">
        <v>21</v>
      </c>
      <c r="G1935">
        <v>34</v>
      </c>
      <c r="H1935" t="s">
        <v>3493</v>
      </c>
      <c r="I1935" t="s">
        <v>3490</v>
      </c>
      <c r="J1935" t="s">
        <v>2895</v>
      </c>
    </row>
    <row r="1936" spans="1:10" x14ac:dyDescent="0.25">
      <c r="A1936" t="s">
        <v>2311</v>
      </c>
      <c r="B1936" t="s">
        <v>30</v>
      </c>
      <c r="C1936">
        <v>8</v>
      </c>
      <c r="D1936" t="s">
        <v>3362</v>
      </c>
      <c r="E1936">
        <v>30</v>
      </c>
      <c r="F1936">
        <v>10</v>
      </c>
      <c r="G1936">
        <v>20</v>
      </c>
      <c r="H1936" t="s">
        <v>3491</v>
      </c>
      <c r="I1936" t="s">
        <v>3492</v>
      </c>
      <c r="J1936" t="s">
        <v>2895</v>
      </c>
    </row>
    <row r="1937" spans="1:10" x14ac:dyDescent="0.25">
      <c r="A1937" t="s">
        <v>2315</v>
      </c>
      <c r="B1937" t="s">
        <v>105</v>
      </c>
      <c r="C1937">
        <v>4</v>
      </c>
      <c r="D1937" t="s">
        <v>3154</v>
      </c>
      <c r="E1937">
        <v>73</v>
      </c>
      <c r="F1937">
        <v>22</v>
      </c>
      <c r="G1937">
        <v>51</v>
      </c>
      <c r="H1937" t="s">
        <v>3494</v>
      </c>
      <c r="I1937" t="s">
        <v>3490</v>
      </c>
      <c r="J1937" t="s">
        <v>2908</v>
      </c>
    </row>
    <row r="1938" spans="1:10" x14ac:dyDescent="0.25">
      <c r="A1938" t="s">
        <v>2315</v>
      </c>
      <c r="B1938" t="s">
        <v>105</v>
      </c>
      <c r="C1938">
        <v>4</v>
      </c>
      <c r="D1938" t="s">
        <v>3156</v>
      </c>
      <c r="E1938">
        <v>68</v>
      </c>
      <c r="F1938">
        <v>24</v>
      </c>
      <c r="G1938">
        <v>44</v>
      </c>
      <c r="H1938" t="s">
        <v>3489</v>
      </c>
      <c r="I1938" t="s">
        <v>3490</v>
      </c>
      <c r="J1938" t="s">
        <v>2908</v>
      </c>
    </row>
    <row r="1939" spans="1:10" x14ac:dyDescent="0.25">
      <c r="A1939" t="s">
        <v>2315</v>
      </c>
      <c r="B1939" t="s">
        <v>105</v>
      </c>
      <c r="C1939">
        <v>4</v>
      </c>
      <c r="D1939" t="s">
        <v>3158</v>
      </c>
      <c r="E1939">
        <v>56</v>
      </c>
      <c r="F1939">
        <v>15</v>
      </c>
      <c r="G1939">
        <v>41</v>
      </c>
      <c r="H1939" t="s">
        <v>3493</v>
      </c>
      <c r="I1939" t="s">
        <v>3490</v>
      </c>
      <c r="J1939" t="s">
        <v>2908</v>
      </c>
    </row>
    <row r="1940" spans="1:10" x14ac:dyDescent="0.25">
      <c r="A1940" t="s">
        <v>2315</v>
      </c>
      <c r="B1940" t="s">
        <v>105</v>
      </c>
      <c r="C1940">
        <v>4</v>
      </c>
      <c r="D1940" t="s">
        <v>3160</v>
      </c>
      <c r="E1940">
        <v>40</v>
      </c>
      <c r="F1940">
        <v>20</v>
      </c>
      <c r="G1940">
        <v>20</v>
      </c>
      <c r="H1940" t="s">
        <v>3491</v>
      </c>
      <c r="I1940" t="s">
        <v>3492</v>
      </c>
      <c r="J1940" t="s">
        <v>2908</v>
      </c>
    </row>
    <row r="1941" spans="1:10" x14ac:dyDescent="0.25">
      <c r="A1941" t="s">
        <v>2315</v>
      </c>
      <c r="B1941" t="s">
        <v>105</v>
      </c>
      <c r="C1941">
        <v>4</v>
      </c>
      <c r="D1941" t="s">
        <v>3162</v>
      </c>
      <c r="E1941">
        <v>46</v>
      </c>
      <c r="F1941">
        <v>16</v>
      </c>
      <c r="G1941">
        <v>30</v>
      </c>
      <c r="H1941" t="s">
        <v>3491</v>
      </c>
      <c r="I1941" t="s">
        <v>3492</v>
      </c>
      <c r="J1941" t="s">
        <v>2908</v>
      </c>
    </row>
    <row r="1942" spans="1:10" x14ac:dyDescent="0.25">
      <c r="A1942" t="s">
        <v>2320</v>
      </c>
      <c r="B1942" t="s">
        <v>30</v>
      </c>
      <c r="C1942">
        <v>6</v>
      </c>
      <c r="D1942" t="s">
        <v>3354</v>
      </c>
      <c r="E1942">
        <v>72</v>
      </c>
      <c r="F1942">
        <v>30</v>
      </c>
      <c r="G1942">
        <v>42</v>
      </c>
      <c r="H1942" t="s">
        <v>3494</v>
      </c>
      <c r="I1942" t="s">
        <v>3490</v>
      </c>
      <c r="J1942" t="s">
        <v>2895</v>
      </c>
    </row>
    <row r="1943" spans="1:10" x14ac:dyDescent="0.25">
      <c r="A1943" t="s">
        <v>2320</v>
      </c>
      <c r="B1943" t="s">
        <v>30</v>
      </c>
      <c r="C1943">
        <v>6</v>
      </c>
      <c r="D1943" t="s">
        <v>3356</v>
      </c>
      <c r="E1943">
        <v>34</v>
      </c>
      <c r="F1943">
        <v>10</v>
      </c>
      <c r="G1943">
        <v>24</v>
      </c>
      <c r="H1943" t="s">
        <v>3491</v>
      </c>
      <c r="I1943" t="s">
        <v>3492</v>
      </c>
      <c r="J1943" t="s">
        <v>2895</v>
      </c>
    </row>
    <row r="1944" spans="1:10" x14ac:dyDescent="0.25">
      <c r="A1944" t="s">
        <v>2320</v>
      </c>
      <c r="B1944" t="s">
        <v>30</v>
      </c>
      <c r="C1944">
        <v>6</v>
      </c>
      <c r="D1944" t="s">
        <v>3358</v>
      </c>
      <c r="E1944">
        <v>58</v>
      </c>
      <c r="F1944">
        <v>25</v>
      </c>
      <c r="G1944">
        <v>33</v>
      </c>
      <c r="H1944" t="s">
        <v>3493</v>
      </c>
      <c r="I1944" t="s">
        <v>3490</v>
      </c>
      <c r="J1944" t="s">
        <v>2895</v>
      </c>
    </row>
    <row r="1945" spans="1:10" x14ac:dyDescent="0.25">
      <c r="A1945" t="s">
        <v>2320</v>
      </c>
      <c r="B1945" t="s">
        <v>30</v>
      </c>
      <c r="C1945">
        <v>6</v>
      </c>
      <c r="D1945" t="s">
        <v>3360</v>
      </c>
      <c r="E1945">
        <v>62</v>
      </c>
      <c r="F1945">
        <v>22</v>
      </c>
      <c r="G1945">
        <v>40</v>
      </c>
      <c r="H1945" t="s">
        <v>3489</v>
      </c>
      <c r="I1945" t="s">
        <v>3490</v>
      </c>
      <c r="J1945" t="s">
        <v>2895</v>
      </c>
    </row>
    <row r="1946" spans="1:10" x14ac:dyDescent="0.25">
      <c r="A1946" t="s">
        <v>2320</v>
      </c>
      <c r="B1946" t="s">
        <v>30</v>
      </c>
      <c r="C1946">
        <v>6</v>
      </c>
      <c r="D1946" t="s">
        <v>3362</v>
      </c>
      <c r="E1946">
        <v>46</v>
      </c>
      <c r="F1946">
        <v>18</v>
      </c>
      <c r="G1946">
        <v>28</v>
      </c>
      <c r="H1946" t="s">
        <v>3491</v>
      </c>
      <c r="I1946" t="s">
        <v>3492</v>
      </c>
      <c r="J1946" t="s">
        <v>2895</v>
      </c>
    </row>
    <row r="1947" spans="1:10" x14ac:dyDescent="0.25">
      <c r="A1947" t="s">
        <v>2325</v>
      </c>
      <c r="B1947" t="s">
        <v>63</v>
      </c>
      <c r="C1947">
        <v>4</v>
      </c>
      <c r="D1947" t="s">
        <v>3394</v>
      </c>
      <c r="E1947">
        <v>53</v>
      </c>
      <c r="F1947">
        <v>22</v>
      </c>
      <c r="G1947">
        <v>31</v>
      </c>
      <c r="H1947" t="s">
        <v>3493</v>
      </c>
      <c r="I1947" t="s">
        <v>3490</v>
      </c>
      <c r="J1947" t="s">
        <v>2932</v>
      </c>
    </row>
    <row r="1948" spans="1:10" x14ac:dyDescent="0.25">
      <c r="A1948" t="s">
        <v>2325</v>
      </c>
      <c r="B1948" t="s">
        <v>63</v>
      </c>
      <c r="C1948">
        <v>4</v>
      </c>
      <c r="D1948" t="s">
        <v>3396</v>
      </c>
      <c r="E1948">
        <v>45</v>
      </c>
      <c r="F1948">
        <v>19</v>
      </c>
      <c r="G1948">
        <v>26</v>
      </c>
      <c r="H1948" t="s">
        <v>3491</v>
      </c>
      <c r="I1948" t="s">
        <v>3492</v>
      </c>
      <c r="J1948" t="s">
        <v>2932</v>
      </c>
    </row>
    <row r="1949" spans="1:10" x14ac:dyDescent="0.25">
      <c r="A1949" t="s">
        <v>2325</v>
      </c>
      <c r="B1949" t="s">
        <v>63</v>
      </c>
      <c r="C1949">
        <v>4</v>
      </c>
      <c r="D1949" t="s">
        <v>3398</v>
      </c>
      <c r="E1949">
        <v>78</v>
      </c>
      <c r="F1949">
        <v>24</v>
      </c>
      <c r="G1949">
        <v>54</v>
      </c>
      <c r="H1949" t="s">
        <v>3494</v>
      </c>
      <c r="I1949" t="s">
        <v>3490</v>
      </c>
      <c r="J1949" t="s">
        <v>2932</v>
      </c>
    </row>
    <row r="1950" spans="1:10" x14ac:dyDescent="0.25">
      <c r="A1950" t="s">
        <v>2325</v>
      </c>
      <c r="B1950" t="s">
        <v>63</v>
      </c>
      <c r="C1950">
        <v>4</v>
      </c>
      <c r="D1950" t="s">
        <v>3400</v>
      </c>
      <c r="E1950">
        <v>49</v>
      </c>
      <c r="F1950">
        <v>18</v>
      </c>
      <c r="G1950">
        <v>31</v>
      </c>
      <c r="H1950" t="s">
        <v>3491</v>
      </c>
      <c r="I1950" t="s">
        <v>3492</v>
      </c>
      <c r="J1950" t="s">
        <v>2932</v>
      </c>
    </row>
    <row r="1951" spans="1:10" x14ac:dyDescent="0.25">
      <c r="A1951" t="s">
        <v>2325</v>
      </c>
      <c r="B1951" t="s">
        <v>63</v>
      </c>
      <c r="C1951">
        <v>4</v>
      </c>
      <c r="D1951" t="s">
        <v>3402</v>
      </c>
      <c r="E1951">
        <v>51</v>
      </c>
      <c r="F1951">
        <v>28</v>
      </c>
      <c r="G1951">
        <v>23</v>
      </c>
      <c r="H1951" t="s">
        <v>3493</v>
      </c>
      <c r="I1951" t="s">
        <v>3490</v>
      </c>
      <c r="J1951" t="s">
        <v>2932</v>
      </c>
    </row>
    <row r="1952" spans="1:10" x14ac:dyDescent="0.25">
      <c r="A1952" t="s">
        <v>2330</v>
      </c>
      <c r="B1952" t="s">
        <v>95</v>
      </c>
      <c r="C1952">
        <v>4</v>
      </c>
      <c r="D1952" t="s">
        <v>3214</v>
      </c>
      <c r="E1952">
        <v>61</v>
      </c>
      <c r="F1952">
        <v>30</v>
      </c>
      <c r="G1952">
        <v>31</v>
      </c>
      <c r="H1952" t="s">
        <v>3489</v>
      </c>
      <c r="I1952" t="s">
        <v>3490</v>
      </c>
      <c r="J1952" t="s">
        <v>2889</v>
      </c>
    </row>
    <row r="1953" spans="1:10" x14ac:dyDescent="0.25">
      <c r="A1953" t="s">
        <v>2330</v>
      </c>
      <c r="B1953" t="s">
        <v>95</v>
      </c>
      <c r="C1953">
        <v>4</v>
      </c>
      <c r="D1953" t="s">
        <v>3216</v>
      </c>
      <c r="E1953">
        <v>92</v>
      </c>
      <c r="F1953">
        <v>28</v>
      </c>
      <c r="G1953">
        <v>64</v>
      </c>
      <c r="H1953" t="s">
        <v>3495</v>
      </c>
      <c r="I1953" t="s">
        <v>3490</v>
      </c>
      <c r="J1953" t="s">
        <v>2889</v>
      </c>
    </row>
    <row r="1954" spans="1:10" x14ac:dyDescent="0.25">
      <c r="A1954" t="s">
        <v>2330</v>
      </c>
      <c r="B1954" t="s">
        <v>95</v>
      </c>
      <c r="C1954">
        <v>4</v>
      </c>
      <c r="D1954" t="s">
        <v>3218</v>
      </c>
      <c r="E1954">
        <v>48</v>
      </c>
      <c r="F1954">
        <v>14</v>
      </c>
      <c r="G1954">
        <v>34</v>
      </c>
      <c r="H1954" t="s">
        <v>3491</v>
      </c>
      <c r="I1954" t="s">
        <v>3492</v>
      </c>
      <c r="J1954" t="s">
        <v>2889</v>
      </c>
    </row>
    <row r="1955" spans="1:10" x14ac:dyDescent="0.25">
      <c r="A1955" t="s">
        <v>2330</v>
      </c>
      <c r="B1955" t="s">
        <v>95</v>
      </c>
      <c r="C1955">
        <v>4</v>
      </c>
      <c r="D1955" t="s">
        <v>3220</v>
      </c>
      <c r="E1955">
        <v>56</v>
      </c>
      <c r="F1955">
        <v>17</v>
      </c>
      <c r="G1955">
        <v>39</v>
      </c>
      <c r="H1955" t="s">
        <v>3493</v>
      </c>
      <c r="I1955" t="s">
        <v>3490</v>
      </c>
      <c r="J1955" t="s">
        <v>2889</v>
      </c>
    </row>
    <row r="1956" spans="1:10" x14ac:dyDescent="0.25">
      <c r="A1956" t="s">
        <v>2330</v>
      </c>
      <c r="B1956" t="s">
        <v>95</v>
      </c>
      <c r="C1956">
        <v>4</v>
      </c>
      <c r="D1956" t="s">
        <v>3222</v>
      </c>
      <c r="E1956">
        <v>46</v>
      </c>
      <c r="F1956">
        <v>20</v>
      </c>
      <c r="G1956">
        <v>26</v>
      </c>
      <c r="H1956" t="s">
        <v>3491</v>
      </c>
      <c r="I1956" t="s">
        <v>3492</v>
      </c>
      <c r="J1956" t="s">
        <v>2889</v>
      </c>
    </row>
    <row r="1957" spans="1:10" x14ac:dyDescent="0.25">
      <c r="A1957" t="s">
        <v>2335</v>
      </c>
      <c r="B1957" t="s">
        <v>95</v>
      </c>
      <c r="C1957">
        <v>6</v>
      </c>
      <c r="D1957" t="s">
        <v>3234</v>
      </c>
      <c r="E1957">
        <v>32</v>
      </c>
      <c r="F1957">
        <v>12</v>
      </c>
      <c r="G1957">
        <v>20</v>
      </c>
      <c r="H1957" t="s">
        <v>3491</v>
      </c>
      <c r="I1957" t="s">
        <v>3492</v>
      </c>
      <c r="J1957" t="s">
        <v>2889</v>
      </c>
    </row>
    <row r="1958" spans="1:10" x14ac:dyDescent="0.25">
      <c r="A1958" t="s">
        <v>2335</v>
      </c>
      <c r="B1958" t="s">
        <v>95</v>
      </c>
      <c r="C1958">
        <v>6</v>
      </c>
      <c r="D1958" t="s">
        <v>3236</v>
      </c>
      <c r="E1958">
        <v>67</v>
      </c>
      <c r="F1958">
        <v>11</v>
      </c>
      <c r="G1958">
        <v>56</v>
      </c>
      <c r="H1958" t="s">
        <v>3489</v>
      </c>
      <c r="I1958" t="s">
        <v>3490</v>
      </c>
      <c r="J1958" t="s">
        <v>2889</v>
      </c>
    </row>
    <row r="1959" spans="1:10" x14ac:dyDescent="0.25">
      <c r="A1959" t="s">
        <v>2335</v>
      </c>
      <c r="B1959" t="s">
        <v>95</v>
      </c>
      <c r="C1959">
        <v>6</v>
      </c>
      <c r="D1959" t="s">
        <v>3238</v>
      </c>
      <c r="E1959">
        <v>72</v>
      </c>
      <c r="F1959">
        <v>11</v>
      </c>
      <c r="G1959">
        <v>61</v>
      </c>
      <c r="H1959" t="s">
        <v>3494</v>
      </c>
      <c r="I1959" t="s">
        <v>3490</v>
      </c>
      <c r="J1959" t="s">
        <v>2889</v>
      </c>
    </row>
    <row r="1960" spans="1:10" x14ac:dyDescent="0.25">
      <c r="A1960" t="s">
        <v>2335</v>
      </c>
      <c r="B1960" t="s">
        <v>95</v>
      </c>
      <c r="C1960">
        <v>6</v>
      </c>
      <c r="D1960" t="s">
        <v>3240</v>
      </c>
      <c r="E1960">
        <v>86</v>
      </c>
      <c r="F1960">
        <v>23</v>
      </c>
      <c r="G1960">
        <v>63</v>
      </c>
      <c r="H1960" t="s">
        <v>196</v>
      </c>
      <c r="I1960" t="s">
        <v>3490</v>
      </c>
      <c r="J1960" t="s">
        <v>2889</v>
      </c>
    </row>
    <row r="1961" spans="1:10" x14ac:dyDescent="0.25">
      <c r="A1961" t="s">
        <v>2335</v>
      </c>
      <c r="B1961" t="s">
        <v>95</v>
      </c>
      <c r="C1961">
        <v>6</v>
      </c>
      <c r="D1961" t="s">
        <v>3242</v>
      </c>
      <c r="E1961">
        <v>53</v>
      </c>
      <c r="F1961">
        <v>11</v>
      </c>
      <c r="G1961">
        <v>42</v>
      </c>
      <c r="H1961" t="s">
        <v>3493</v>
      </c>
      <c r="I1961" t="s">
        <v>3490</v>
      </c>
      <c r="J1961" t="s">
        <v>2889</v>
      </c>
    </row>
    <row r="1962" spans="1:10" x14ac:dyDescent="0.25">
      <c r="A1962" t="s">
        <v>2340</v>
      </c>
      <c r="B1962" t="s">
        <v>30</v>
      </c>
      <c r="C1962">
        <v>8</v>
      </c>
      <c r="D1962" t="s">
        <v>3354</v>
      </c>
      <c r="E1962">
        <v>37</v>
      </c>
      <c r="F1962">
        <v>17</v>
      </c>
      <c r="G1962">
        <v>20</v>
      </c>
      <c r="H1962" t="s">
        <v>3491</v>
      </c>
      <c r="I1962" t="s">
        <v>3492</v>
      </c>
      <c r="J1962" t="s">
        <v>2895</v>
      </c>
    </row>
    <row r="1963" spans="1:10" x14ac:dyDescent="0.25">
      <c r="A1963" t="s">
        <v>2340</v>
      </c>
      <c r="B1963" t="s">
        <v>30</v>
      </c>
      <c r="C1963">
        <v>8</v>
      </c>
      <c r="D1963" t="s">
        <v>3356</v>
      </c>
      <c r="E1963">
        <v>98</v>
      </c>
      <c r="F1963">
        <v>30</v>
      </c>
      <c r="G1963">
        <v>68</v>
      </c>
      <c r="H1963" t="s">
        <v>3495</v>
      </c>
      <c r="I1963" t="s">
        <v>3490</v>
      </c>
      <c r="J1963" t="s">
        <v>2895</v>
      </c>
    </row>
    <row r="1964" spans="1:10" x14ac:dyDescent="0.25">
      <c r="A1964" t="s">
        <v>2340</v>
      </c>
      <c r="B1964" t="s">
        <v>30</v>
      </c>
      <c r="C1964">
        <v>8</v>
      </c>
      <c r="D1964" t="s">
        <v>3358</v>
      </c>
      <c r="E1964">
        <v>82</v>
      </c>
      <c r="F1964">
        <v>27</v>
      </c>
      <c r="G1964">
        <v>55</v>
      </c>
      <c r="H1964" t="s">
        <v>196</v>
      </c>
      <c r="I1964" t="s">
        <v>3490</v>
      </c>
      <c r="J1964" t="s">
        <v>2895</v>
      </c>
    </row>
    <row r="1965" spans="1:10" x14ac:dyDescent="0.25">
      <c r="A1965" t="s">
        <v>2340</v>
      </c>
      <c r="B1965" t="s">
        <v>30</v>
      </c>
      <c r="C1965">
        <v>8</v>
      </c>
      <c r="D1965" t="s">
        <v>3360</v>
      </c>
      <c r="E1965">
        <v>75</v>
      </c>
      <c r="F1965">
        <v>23</v>
      </c>
      <c r="G1965">
        <v>52</v>
      </c>
      <c r="H1965" t="s">
        <v>3494</v>
      </c>
      <c r="I1965" t="s">
        <v>3490</v>
      </c>
      <c r="J1965" t="s">
        <v>2895</v>
      </c>
    </row>
    <row r="1966" spans="1:10" x14ac:dyDescent="0.25">
      <c r="A1966" t="s">
        <v>2340</v>
      </c>
      <c r="B1966" t="s">
        <v>30</v>
      </c>
      <c r="C1966">
        <v>8</v>
      </c>
      <c r="D1966" t="s">
        <v>3362</v>
      </c>
      <c r="E1966">
        <v>53</v>
      </c>
      <c r="F1966">
        <v>18</v>
      </c>
      <c r="G1966">
        <v>35</v>
      </c>
      <c r="H1966" t="s">
        <v>3493</v>
      </c>
      <c r="I1966" t="s">
        <v>3490</v>
      </c>
      <c r="J1966" t="s">
        <v>2895</v>
      </c>
    </row>
    <row r="1967" spans="1:10" x14ac:dyDescent="0.25">
      <c r="A1967" t="s">
        <v>2345</v>
      </c>
      <c r="B1967" t="s">
        <v>212</v>
      </c>
      <c r="C1967">
        <v>4</v>
      </c>
      <c r="D1967" t="s">
        <v>3454</v>
      </c>
      <c r="E1967">
        <v>39</v>
      </c>
      <c r="F1967">
        <v>10</v>
      </c>
      <c r="G1967">
        <v>29</v>
      </c>
      <c r="H1967" t="s">
        <v>3491</v>
      </c>
      <c r="I1967" t="s">
        <v>3492</v>
      </c>
      <c r="J1967" t="s">
        <v>3001</v>
      </c>
    </row>
    <row r="1968" spans="1:10" x14ac:dyDescent="0.25">
      <c r="A1968" t="s">
        <v>2345</v>
      </c>
      <c r="B1968" t="s">
        <v>212</v>
      </c>
      <c r="C1968">
        <v>4</v>
      </c>
      <c r="D1968" t="s">
        <v>3456</v>
      </c>
      <c r="E1968">
        <v>38</v>
      </c>
      <c r="F1968">
        <v>13</v>
      </c>
      <c r="G1968">
        <v>25</v>
      </c>
      <c r="H1968" t="s">
        <v>3491</v>
      </c>
      <c r="I1968" t="s">
        <v>3492</v>
      </c>
      <c r="J1968" t="s">
        <v>3001</v>
      </c>
    </row>
    <row r="1969" spans="1:10" x14ac:dyDescent="0.25">
      <c r="A1969" t="s">
        <v>2345</v>
      </c>
      <c r="B1969" t="s">
        <v>212</v>
      </c>
      <c r="C1969">
        <v>4</v>
      </c>
      <c r="D1969" t="s">
        <v>3458</v>
      </c>
      <c r="E1969">
        <v>67</v>
      </c>
      <c r="F1969">
        <v>22</v>
      </c>
      <c r="G1969">
        <v>45</v>
      </c>
      <c r="H1969" t="s">
        <v>3489</v>
      </c>
      <c r="I1969" t="s">
        <v>3490</v>
      </c>
      <c r="J1969" t="s">
        <v>3001</v>
      </c>
    </row>
    <row r="1970" spans="1:10" x14ac:dyDescent="0.25">
      <c r="A1970" t="s">
        <v>2345</v>
      </c>
      <c r="B1970" t="s">
        <v>212</v>
      </c>
      <c r="C1970">
        <v>4</v>
      </c>
      <c r="D1970" t="s">
        <v>3460</v>
      </c>
      <c r="E1970">
        <v>58</v>
      </c>
      <c r="F1970">
        <v>24</v>
      </c>
      <c r="G1970">
        <v>34</v>
      </c>
      <c r="H1970" t="s">
        <v>3493</v>
      </c>
      <c r="I1970" t="s">
        <v>3490</v>
      </c>
      <c r="J1970" t="s">
        <v>3001</v>
      </c>
    </row>
    <row r="1971" spans="1:10" x14ac:dyDescent="0.25">
      <c r="A1971" t="s">
        <v>2345</v>
      </c>
      <c r="B1971" t="s">
        <v>212</v>
      </c>
      <c r="C1971">
        <v>4</v>
      </c>
      <c r="D1971" t="s">
        <v>3462</v>
      </c>
      <c r="E1971">
        <v>73</v>
      </c>
      <c r="F1971">
        <v>14</v>
      </c>
      <c r="G1971">
        <v>59</v>
      </c>
      <c r="H1971" t="s">
        <v>3494</v>
      </c>
      <c r="I1971" t="s">
        <v>3490</v>
      </c>
      <c r="J1971" t="s">
        <v>3001</v>
      </c>
    </row>
    <row r="1972" spans="1:10" x14ac:dyDescent="0.25">
      <c r="A1972" t="s">
        <v>2350</v>
      </c>
      <c r="B1972" t="s">
        <v>75</v>
      </c>
      <c r="C1972">
        <v>6</v>
      </c>
      <c r="D1972" t="s">
        <v>3054</v>
      </c>
      <c r="E1972">
        <v>48</v>
      </c>
      <c r="F1972">
        <v>10</v>
      </c>
      <c r="G1972">
        <v>38</v>
      </c>
      <c r="H1972" t="s">
        <v>3491</v>
      </c>
      <c r="I1972" t="s">
        <v>3492</v>
      </c>
      <c r="J1972" t="s">
        <v>2961</v>
      </c>
    </row>
    <row r="1973" spans="1:10" x14ac:dyDescent="0.25">
      <c r="A1973" t="s">
        <v>2350</v>
      </c>
      <c r="B1973" t="s">
        <v>75</v>
      </c>
      <c r="C1973">
        <v>6</v>
      </c>
      <c r="D1973" t="s">
        <v>3056</v>
      </c>
      <c r="E1973">
        <v>69</v>
      </c>
      <c r="F1973">
        <v>20</v>
      </c>
      <c r="G1973">
        <v>49</v>
      </c>
      <c r="H1973" t="s">
        <v>3489</v>
      </c>
      <c r="I1973" t="s">
        <v>3490</v>
      </c>
      <c r="J1973" t="s">
        <v>2961</v>
      </c>
    </row>
    <row r="1974" spans="1:10" x14ac:dyDescent="0.25">
      <c r="A1974" t="s">
        <v>2350</v>
      </c>
      <c r="B1974" t="s">
        <v>75</v>
      </c>
      <c r="C1974">
        <v>6</v>
      </c>
      <c r="D1974" t="s">
        <v>3058</v>
      </c>
      <c r="E1974">
        <v>88</v>
      </c>
      <c r="F1974">
        <v>20</v>
      </c>
      <c r="G1974">
        <v>68</v>
      </c>
      <c r="H1974" t="s">
        <v>196</v>
      </c>
      <c r="I1974" t="s">
        <v>3490</v>
      </c>
      <c r="J1974" t="s">
        <v>2961</v>
      </c>
    </row>
    <row r="1975" spans="1:10" x14ac:dyDescent="0.25">
      <c r="A1975" t="s">
        <v>2350</v>
      </c>
      <c r="B1975" t="s">
        <v>75</v>
      </c>
      <c r="C1975">
        <v>6</v>
      </c>
      <c r="D1975" t="s">
        <v>3060</v>
      </c>
      <c r="E1975">
        <v>83</v>
      </c>
      <c r="F1975">
        <v>28</v>
      </c>
      <c r="G1975">
        <v>55</v>
      </c>
      <c r="H1975" t="s">
        <v>196</v>
      </c>
      <c r="I1975" t="s">
        <v>3490</v>
      </c>
      <c r="J1975" t="s">
        <v>2961</v>
      </c>
    </row>
    <row r="1976" spans="1:10" x14ac:dyDescent="0.25">
      <c r="A1976" t="s">
        <v>2350</v>
      </c>
      <c r="B1976" t="s">
        <v>75</v>
      </c>
      <c r="C1976">
        <v>6</v>
      </c>
      <c r="D1976" t="s">
        <v>3062</v>
      </c>
      <c r="E1976">
        <v>75</v>
      </c>
      <c r="F1976">
        <v>27</v>
      </c>
      <c r="G1976">
        <v>48</v>
      </c>
      <c r="H1976" t="s">
        <v>3494</v>
      </c>
      <c r="I1976" t="s">
        <v>3490</v>
      </c>
      <c r="J1976" t="s">
        <v>2961</v>
      </c>
    </row>
    <row r="1977" spans="1:10" x14ac:dyDescent="0.25">
      <c r="A1977" t="s">
        <v>2356</v>
      </c>
      <c r="B1977" t="s">
        <v>63</v>
      </c>
      <c r="C1977">
        <v>6</v>
      </c>
      <c r="D1977" t="s">
        <v>3414</v>
      </c>
      <c r="E1977">
        <v>76</v>
      </c>
      <c r="F1977">
        <v>20</v>
      </c>
      <c r="G1977">
        <v>56</v>
      </c>
      <c r="H1977" t="s">
        <v>3494</v>
      </c>
      <c r="I1977" t="s">
        <v>3490</v>
      </c>
      <c r="J1977" t="s">
        <v>2932</v>
      </c>
    </row>
    <row r="1978" spans="1:10" x14ac:dyDescent="0.25">
      <c r="A1978" t="s">
        <v>2356</v>
      </c>
      <c r="B1978" t="s">
        <v>63</v>
      </c>
      <c r="C1978">
        <v>6</v>
      </c>
      <c r="D1978" t="s">
        <v>3416</v>
      </c>
      <c r="E1978">
        <v>40</v>
      </c>
      <c r="F1978">
        <v>15</v>
      </c>
      <c r="G1978">
        <v>25</v>
      </c>
      <c r="H1978" t="s">
        <v>3491</v>
      </c>
      <c r="I1978" t="s">
        <v>3492</v>
      </c>
      <c r="J1978" t="s">
        <v>2932</v>
      </c>
    </row>
    <row r="1979" spans="1:10" x14ac:dyDescent="0.25">
      <c r="A1979" t="s">
        <v>2356</v>
      </c>
      <c r="B1979" t="s">
        <v>63</v>
      </c>
      <c r="C1979">
        <v>6</v>
      </c>
      <c r="D1979" t="s">
        <v>3418</v>
      </c>
      <c r="E1979">
        <v>72</v>
      </c>
      <c r="F1979">
        <v>15</v>
      </c>
      <c r="G1979">
        <v>57</v>
      </c>
      <c r="H1979" t="s">
        <v>3494</v>
      </c>
      <c r="I1979" t="s">
        <v>3490</v>
      </c>
      <c r="J1979" t="s">
        <v>2932</v>
      </c>
    </row>
    <row r="1980" spans="1:10" x14ac:dyDescent="0.25">
      <c r="A1980" t="s">
        <v>2356</v>
      </c>
      <c r="B1980" t="s">
        <v>63</v>
      </c>
      <c r="C1980">
        <v>6</v>
      </c>
      <c r="D1980" t="s">
        <v>3420</v>
      </c>
      <c r="E1980">
        <v>97</v>
      </c>
      <c r="F1980">
        <v>28</v>
      </c>
      <c r="G1980">
        <v>69</v>
      </c>
      <c r="H1980" t="s">
        <v>3495</v>
      </c>
      <c r="I1980" t="s">
        <v>3490</v>
      </c>
      <c r="J1980" t="s">
        <v>2932</v>
      </c>
    </row>
    <row r="1981" spans="1:10" x14ac:dyDescent="0.25">
      <c r="A1981" t="s">
        <v>2356</v>
      </c>
      <c r="B1981" t="s">
        <v>63</v>
      </c>
      <c r="C1981">
        <v>6</v>
      </c>
      <c r="D1981" t="s">
        <v>3422</v>
      </c>
      <c r="E1981">
        <v>62</v>
      </c>
      <c r="F1981">
        <v>23</v>
      </c>
      <c r="G1981">
        <v>39</v>
      </c>
      <c r="H1981" t="s">
        <v>3489</v>
      </c>
      <c r="I1981" t="s">
        <v>3490</v>
      </c>
      <c r="J1981" t="s">
        <v>2932</v>
      </c>
    </row>
    <row r="1982" spans="1:10" x14ac:dyDescent="0.25">
      <c r="A1982" t="s">
        <v>2361</v>
      </c>
      <c r="B1982" t="s">
        <v>95</v>
      </c>
      <c r="C1982">
        <v>8</v>
      </c>
      <c r="D1982" t="s">
        <v>3234</v>
      </c>
      <c r="E1982">
        <v>60</v>
      </c>
      <c r="F1982">
        <v>15</v>
      </c>
      <c r="G1982">
        <v>45</v>
      </c>
      <c r="H1982" t="s">
        <v>3489</v>
      </c>
      <c r="I1982" t="s">
        <v>3490</v>
      </c>
      <c r="J1982" t="s">
        <v>2889</v>
      </c>
    </row>
    <row r="1983" spans="1:10" x14ac:dyDescent="0.25">
      <c r="A1983" t="s">
        <v>2361</v>
      </c>
      <c r="B1983" t="s">
        <v>95</v>
      </c>
      <c r="C1983">
        <v>8</v>
      </c>
      <c r="D1983" t="s">
        <v>3236</v>
      </c>
      <c r="E1983">
        <v>45</v>
      </c>
      <c r="F1983">
        <v>11</v>
      </c>
      <c r="G1983">
        <v>34</v>
      </c>
      <c r="H1983" t="s">
        <v>3491</v>
      </c>
      <c r="I1983" t="s">
        <v>3492</v>
      </c>
      <c r="J1983" t="s">
        <v>2889</v>
      </c>
    </row>
    <row r="1984" spans="1:10" x14ac:dyDescent="0.25">
      <c r="A1984" t="s">
        <v>2361</v>
      </c>
      <c r="B1984" t="s">
        <v>95</v>
      </c>
      <c r="C1984">
        <v>8</v>
      </c>
      <c r="D1984" t="s">
        <v>3238</v>
      </c>
      <c r="E1984">
        <v>63</v>
      </c>
      <c r="F1984">
        <v>17</v>
      </c>
      <c r="G1984">
        <v>46</v>
      </c>
      <c r="H1984" t="s">
        <v>3489</v>
      </c>
      <c r="I1984" t="s">
        <v>3490</v>
      </c>
      <c r="J1984" t="s">
        <v>2889</v>
      </c>
    </row>
    <row r="1985" spans="1:10" x14ac:dyDescent="0.25">
      <c r="A1985" t="s">
        <v>2361</v>
      </c>
      <c r="B1985" t="s">
        <v>95</v>
      </c>
      <c r="C1985">
        <v>8</v>
      </c>
      <c r="D1985" t="s">
        <v>3240</v>
      </c>
      <c r="E1985">
        <v>35</v>
      </c>
      <c r="F1985">
        <v>15</v>
      </c>
      <c r="G1985">
        <v>20</v>
      </c>
      <c r="H1985" t="s">
        <v>3491</v>
      </c>
      <c r="I1985" t="s">
        <v>3492</v>
      </c>
      <c r="J1985" t="s">
        <v>2889</v>
      </c>
    </row>
    <row r="1986" spans="1:10" x14ac:dyDescent="0.25">
      <c r="A1986" t="s">
        <v>2361</v>
      </c>
      <c r="B1986" t="s">
        <v>95</v>
      </c>
      <c r="C1986">
        <v>8</v>
      </c>
      <c r="D1986" t="s">
        <v>3242</v>
      </c>
      <c r="E1986">
        <v>63</v>
      </c>
      <c r="F1986">
        <v>14</v>
      </c>
      <c r="G1986">
        <v>49</v>
      </c>
      <c r="H1986" t="s">
        <v>3489</v>
      </c>
      <c r="I1986" t="s">
        <v>3490</v>
      </c>
      <c r="J1986" t="s">
        <v>2889</v>
      </c>
    </row>
    <row r="1987" spans="1:10" x14ac:dyDescent="0.25">
      <c r="A1987" t="s">
        <v>2366</v>
      </c>
      <c r="B1987" t="s">
        <v>75</v>
      </c>
      <c r="C1987">
        <v>6</v>
      </c>
      <c r="D1987" t="s">
        <v>3054</v>
      </c>
      <c r="E1987">
        <v>63</v>
      </c>
      <c r="F1987">
        <v>21</v>
      </c>
      <c r="G1987">
        <v>42</v>
      </c>
      <c r="H1987" t="s">
        <v>3489</v>
      </c>
      <c r="I1987" t="s">
        <v>3490</v>
      </c>
      <c r="J1987" t="s">
        <v>2961</v>
      </c>
    </row>
    <row r="1988" spans="1:10" x14ac:dyDescent="0.25">
      <c r="A1988" t="s">
        <v>2366</v>
      </c>
      <c r="B1988" t="s">
        <v>75</v>
      </c>
      <c r="C1988">
        <v>6</v>
      </c>
      <c r="D1988" t="s">
        <v>3056</v>
      </c>
      <c r="E1988">
        <v>57</v>
      </c>
      <c r="F1988">
        <v>26</v>
      </c>
      <c r="G1988">
        <v>31</v>
      </c>
      <c r="H1988" t="s">
        <v>3493</v>
      </c>
      <c r="I1988" t="s">
        <v>3490</v>
      </c>
      <c r="J1988" t="s">
        <v>2961</v>
      </c>
    </row>
    <row r="1989" spans="1:10" x14ac:dyDescent="0.25">
      <c r="A1989" t="s">
        <v>2366</v>
      </c>
      <c r="B1989" t="s">
        <v>75</v>
      </c>
      <c r="C1989">
        <v>6</v>
      </c>
      <c r="D1989" t="s">
        <v>3058</v>
      </c>
      <c r="E1989">
        <v>48</v>
      </c>
      <c r="F1989">
        <v>12</v>
      </c>
      <c r="G1989">
        <v>36</v>
      </c>
      <c r="H1989" t="s">
        <v>3491</v>
      </c>
      <c r="I1989" t="s">
        <v>3492</v>
      </c>
      <c r="J1989" t="s">
        <v>2961</v>
      </c>
    </row>
    <row r="1990" spans="1:10" x14ac:dyDescent="0.25">
      <c r="A1990" t="s">
        <v>2366</v>
      </c>
      <c r="B1990" t="s">
        <v>75</v>
      </c>
      <c r="C1990">
        <v>6</v>
      </c>
      <c r="D1990" t="s">
        <v>3060</v>
      </c>
      <c r="E1990">
        <v>73</v>
      </c>
      <c r="F1990">
        <v>24</v>
      </c>
      <c r="G1990">
        <v>49</v>
      </c>
      <c r="H1990" t="s">
        <v>3494</v>
      </c>
      <c r="I1990" t="s">
        <v>3490</v>
      </c>
      <c r="J1990" t="s">
        <v>2961</v>
      </c>
    </row>
    <row r="1991" spans="1:10" x14ac:dyDescent="0.25">
      <c r="A1991" t="s">
        <v>2366</v>
      </c>
      <c r="B1991" t="s">
        <v>75</v>
      </c>
      <c r="C1991">
        <v>6</v>
      </c>
      <c r="D1991" t="s">
        <v>3062</v>
      </c>
      <c r="E1991">
        <v>74</v>
      </c>
      <c r="F1991">
        <v>10</v>
      </c>
      <c r="G1991">
        <v>64</v>
      </c>
      <c r="H1991" t="s">
        <v>3494</v>
      </c>
      <c r="I1991" t="s">
        <v>3490</v>
      </c>
      <c r="J1991" t="s">
        <v>2961</v>
      </c>
    </row>
    <row r="1992" spans="1:10" x14ac:dyDescent="0.25">
      <c r="A1992" t="s">
        <v>2371</v>
      </c>
      <c r="B1992" t="s">
        <v>63</v>
      </c>
      <c r="C1992">
        <v>6</v>
      </c>
      <c r="D1992" t="s">
        <v>3414</v>
      </c>
      <c r="E1992">
        <v>57</v>
      </c>
      <c r="F1992">
        <v>29</v>
      </c>
      <c r="G1992">
        <v>28</v>
      </c>
      <c r="H1992" t="s">
        <v>3493</v>
      </c>
      <c r="I1992" t="s">
        <v>3490</v>
      </c>
      <c r="J1992" t="s">
        <v>2932</v>
      </c>
    </row>
    <row r="1993" spans="1:10" x14ac:dyDescent="0.25">
      <c r="A1993" t="s">
        <v>2371</v>
      </c>
      <c r="B1993" t="s">
        <v>63</v>
      </c>
      <c r="C1993">
        <v>6</v>
      </c>
      <c r="D1993" t="s">
        <v>3416</v>
      </c>
      <c r="E1993">
        <v>58</v>
      </c>
      <c r="F1993">
        <v>10</v>
      </c>
      <c r="G1993">
        <v>48</v>
      </c>
      <c r="H1993" t="s">
        <v>3493</v>
      </c>
      <c r="I1993" t="s">
        <v>3490</v>
      </c>
      <c r="J1993" t="s">
        <v>2932</v>
      </c>
    </row>
    <row r="1994" spans="1:10" x14ac:dyDescent="0.25">
      <c r="A1994" t="s">
        <v>2371</v>
      </c>
      <c r="B1994" t="s">
        <v>63</v>
      </c>
      <c r="C1994">
        <v>6</v>
      </c>
      <c r="D1994" t="s">
        <v>3418</v>
      </c>
      <c r="E1994">
        <v>38</v>
      </c>
      <c r="F1994">
        <v>13</v>
      </c>
      <c r="G1994">
        <v>25</v>
      </c>
      <c r="H1994" t="s">
        <v>3491</v>
      </c>
      <c r="I1994" t="s">
        <v>3492</v>
      </c>
      <c r="J1994" t="s">
        <v>2932</v>
      </c>
    </row>
    <row r="1995" spans="1:10" x14ac:dyDescent="0.25">
      <c r="A1995" t="s">
        <v>2371</v>
      </c>
      <c r="B1995" t="s">
        <v>63</v>
      </c>
      <c r="C1995">
        <v>6</v>
      </c>
      <c r="D1995" t="s">
        <v>3420</v>
      </c>
      <c r="E1995">
        <v>51</v>
      </c>
      <c r="F1995">
        <v>21</v>
      </c>
      <c r="G1995">
        <v>30</v>
      </c>
      <c r="H1995" t="s">
        <v>3493</v>
      </c>
      <c r="I1995" t="s">
        <v>3490</v>
      </c>
      <c r="J1995" t="s">
        <v>2932</v>
      </c>
    </row>
    <row r="1996" spans="1:10" x14ac:dyDescent="0.25">
      <c r="A1996" t="s">
        <v>2371</v>
      </c>
      <c r="B1996" t="s">
        <v>63</v>
      </c>
      <c r="C1996">
        <v>6</v>
      </c>
      <c r="D1996" t="s">
        <v>3422</v>
      </c>
      <c r="E1996">
        <v>82</v>
      </c>
      <c r="F1996">
        <v>17</v>
      </c>
      <c r="G1996">
        <v>65</v>
      </c>
      <c r="H1996" t="s">
        <v>196</v>
      </c>
      <c r="I1996" t="s">
        <v>3490</v>
      </c>
      <c r="J1996" t="s">
        <v>2932</v>
      </c>
    </row>
    <row r="1997" spans="1:10" x14ac:dyDescent="0.25">
      <c r="A1997" t="s">
        <v>2376</v>
      </c>
      <c r="B1997" t="s">
        <v>30</v>
      </c>
      <c r="C1997">
        <v>4</v>
      </c>
      <c r="D1997" t="s">
        <v>3334</v>
      </c>
      <c r="E1997">
        <v>47</v>
      </c>
      <c r="F1997">
        <v>27</v>
      </c>
      <c r="G1997">
        <v>20</v>
      </c>
      <c r="H1997" t="s">
        <v>3491</v>
      </c>
      <c r="I1997" t="s">
        <v>3492</v>
      </c>
      <c r="J1997" t="s">
        <v>2895</v>
      </c>
    </row>
    <row r="1998" spans="1:10" x14ac:dyDescent="0.25">
      <c r="A1998" t="s">
        <v>2376</v>
      </c>
      <c r="B1998" t="s">
        <v>30</v>
      </c>
      <c r="C1998">
        <v>4</v>
      </c>
      <c r="D1998" t="s">
        <v>3336</v>
      </c>
      <c r="E1998">
        <v>47</v>
      </c>
      <c r="F1998">
        <v>15</v>
      </c>
      <c r="G1998">
        <v>32</v>
      </c>
      <c r="H1998" t="s">
        <v>3491</v>
      </c>
      <c r="I1998" t="s">
        <v>3492</v>
      </c>
      <c r="J1998" t="s">
        <v>2895</v>
      </c>
    </row>
    <row r="1999" spans="1:10" x14ac:dyDescent="0.25">
      <c r="A1999" t="s">
        <v>2376</v>
      </c>
      <c r="B1999" t="s">
        <v>30</v>
      </c>
      <c r="C1999">
        <v>4</v>
      </c>
      <c r="D1999" t="s">
        <v>3338</v>
      </c>
      <c r="E1999">
        <v>87</v>
      </c>
      <c r="F1999">
        <v>23</v>
      </c>
      <c r="G1999">
        <v>64</v>
      </c>
      <c r="H1999" t="s">
        <v>196</v>
      </c>
      <c r="I1999" t="s">
        <v>3490</v>
      </c>
      <c r="J1999" t="s">
        <v>2895</v>
      </c>
    </row>
    <row r="2000" spans="1:10" x14ac:dyDescent="0.25">
      <c r="A2000" t="s">
        <v>2376</v>
      </c>
      <c r="B2000" t="s">
        <v>30</v>
      </c>
      <c r="C2000">
        <v>4</v>
      </c>
      <c r="D2000" t="s">
        <v>3340</v>
      </c>
      <c r="E2000">
        <v>41</v>
      </c>
      <c r="F2000">
        <v>15</v>
      </c>
      <c r="G2000">
        <v>26</v>
      </c>
      <c r="H2000" t="s">
        <v>3491</v>
      </c>
      <c r="I2000" t="s">
        <v>3492</v>
      </c>
      <c r="J2000" t="s">
        <v>2895</v>
      </c>
    </row>
    <row r="2001" spans="1:10" x14ac:dyDescent="0.25">
      <c r="A2001" t="s">
        <v>2376</v>
      </c>
      <c r="B2001" t="s">
        <v>30</v>
      </c>
      <c r="C2001">
        <v>4</v>
      </c>
      <c r="D2001" t="s">
        <v>3342</v>
      </c>
      <c r="E2001">
        <v>100</v>
      </c>
      <c r="F2001">
        <v>30</v>
      </c>
      <c r="G2001">
        <v>70</v>
      </c>
      <c r="H2001" t="s">
        <v>3495</v>
      </c>
      <c r="I2001" t="s">
        <v>3490</v>
      </c>
      <c r="J2001" t="s">
        <v>2895</v>
      </c>
    </row>
    <row r="2002" spans="1:10" x14ac:dyDescent="0.25">
      <c r="A2002" t="s">
        <v>2381</v>
      </c>
      <c r="B2002" t="s">
        <v>95</v>
      </c>
      <c r="C2002">
        <v>6</v>
      </c>
      <c r="D2002" t="s">
        <v>3234</v>
      </c>
      <c r="E2002">
        <v>95</v>
      </c>
      <c r="F2002">
        <v>29</v>
      </c>
      <c r="G2002">
        <v>66</v>
      </c>
      <c r="H2002" t="s">
        <v>3495</v>
      </c>
      <c r="I2002" t="s">
        <v>3490</v>
      </c>
      <c r="J2002" t="s">
        <v>2889</v>
      </c>
    </row>
    <row r="2003" spans="1:10" x14ac:dyDescent="0.25">
      <c r="A2003" t="s">
        <v>2381</v>
      </c>
      <c r="B2003" t="s">
        <v>95</v>
      </c>
      <c r="C2003">
        <v>6</v>
      </c>
      <c r="D2003" t="s">
        <v>3236</v>
      </c>
      <c r="E2003">
        <v>39</v>
      </c>
      <c r="F2003">
        <v>15</v>
      </c>
      <c r="G2003">
        <v>24</v>
      </c>
      <c r="H2003" t="s">
        <v>3491</v>
      </c>
      <c r="I2003" t="s">
        <v>3492</v>
      </c>
      <c r="J2003" t="s">
        <v>2889</v>
      </c>
    </row>
    <row r="2004" spans="1:10" x14ac:dyDescent="0.25">
      <c r="A2004" t="s">
        <v>2381</v>
      </c>
      <c r="B2004" t="s">
        <v>95</v>
      </c>
      <c r="C2004">
        <v>6</v>
      </c>
      <c r="D2004" t="s">
        <v>3238</v>
      </c>
      <c r="E2004">
        <v>74</v>
      </c>
      <c r="F2004">
        <v>21</v>
      </c>
      <c r="G2004">
        <v>53</v>
      </c>
      <c r="H2004" t="s">
        <v>3494</v>
      </c>
      <c r="I2004" t="s">
        <v>3490</v>
      </c>
      <c r="J2004" t="s">
        <v>2889</v>
      </c>
    </row>
    <row r="2005" spans="1:10" x14ac:dyDescent="0.25">
      <c r="A2005" t="s">
        <v>2381</v>
      </c>
      <c r="B2005" t="s">
        <v>95</v>
      </c>
      <c r="C2005">
        <v>6</v>
      </c>
      <c r="D2005" t="s">
        <v>3240</v>
      </c>
      <c r="E2005">
        <v>66</v>
      </c>
      <c r="F2005">
        <v>13</v>
      </c>
      <c r="G2005">
        <v>53</v>
      </c>
      <c r="H2005" t="s">
        <v>3489</v>
      </c>
      <c r="I2005" t="s">
        <v>3490</v>
      </c>
      <c r="J2005" t="s">
        <v>2889</v>
      </c>
    </row>
    <row r="2006" spans="1:10" x14ac:dyDescent="0.25">
      <c r="A2006" t="s">
        <v>2381</v>
      </c>
      <c r="B2006" t="s">
        <v>95</v>
      </c>
      <c r="C2006">
        <v>6</v>
      </c>
      <c r="D2006" t="s">
        <v>3242</v>
      </c>
      <c r="E2006">
        <v>79</v>
      </c>
      <c r="F2006">
        <v>28</v>
      </c>
      <c r="G2006">
        <v>51</v>
      </c>
      <c r="H2006" t="s">
        <v>3494</v>
      </c>
      <c r="I2006" t="s">
        <v>3490</v>
      </c>
      <c r="J2006" t="s">
        <v>2889</v>
      </c>
    </row>
    <row r="2007" spans="1:10" x14ac:dyDescent="0.25">
      <c r="A2007" t="s">
        <v>2385</v>
      </c>
      <c r="B2007" t="s">
        <v>63</v>
      </c>
      <c r="C2007">
        <v>6</v>
      </c>
      <c r="D2007" t="s">
        <v>3414</v>
      </c>
      <c r="E2007">
        <v>73</v>
      </c>
      <c r="F2007">
        <v>10</v>
      </c>
      <c r="G2007">
        <v>63</v>
      </c>
      <c r="H2007" t="s">
        <v>3494</v>
      </c>
      <c r="I2007" t="s">
        <v>3490</v>
      </c>
      <c r="J2007" t="s">
        <v>2932</v>
      </c>
    </row>
    <row r="2008" spans="1:10" x14ac:dyDescent="0.25">
      <c r="A2008" t="s">
        <v>2385</v>
      </c>
      <c r="B2008" t="s">
        <v>63</v>
      </c>
      <c r="C2008">
        <v>6</v>
      </c>
      <c r="D2008" t="s">
        <v>3416</v>
      </c>
      <c r="E2008">
        <v>77</v>
      </c>
      <c r="F2008">
        <v>21</v>
      </c>
      <c r="G2008">
        <v>56</v>
      </c>
      <c r="H2008" t="s">
        <v>3494</v>
      </c>
      <c r="I2008" t="s">
        <v>3490</v>
      </c>
      <c r="J2008" t="s">
        <v>2932</v>
      </c>
    </row>
    <row r="2009" spans="1:10" x14ac:dyDescent="0.25">
      <c r="A2009" t="s">
        <v>2385</v>
      </c>
      <c r="B2009" t="s">
        <v>63</v>
      </c>
      <c r="C2009">
        <v>6</v>
      </c>
      <c r="D2009" t="s">
        <v>3418</v>
      </c>
      <c r="E2009">
        <v>60</v>
      </c>
      <c r="F2009">
        <v>13</v>
      </c>
      <c r="G2009">
        <v>47</v>
      </c>
      <c r="H2009" t="s">
        <v>3489</v>
      </c>
      <c r="I2009" t="s">
        <v>3490</v>
      </c>
      <c r="J2009" t="s">
        <v>2932</v>
      </c>
    </row>
    <row r="2010" spans="1:10" x14ac:dyDescent="0.25">
      <c r="A2010" t="s">
        <v>2385</v>
      </c>
      <c r="B2010" t="s">
        <v>63</v>
      </c>
      <c r="C2010">
        <v>6</v>
      </c>
      <c r="D2010" t="s">
        <v>3420</v>
      </c>
      <c r="E2010">
        <v>82</v>
      </c>
      <c r="F2010">
        <v>13</v>
      </c>
      <c r="G2010">
        <v>69</v>
      </c>
      <c r="H2010" t="s">
        <v>196</v>
      </c>
      <c r="I2010" t="s">
        <v>3490</v>
      </c>
      <c r="J2010" t="s">
        <v>2932</v>
      </c>
    </row>
    <row r="2011" spans="1:10" x14ac:dyDescent="0.25">
      <c r="A2011" t="s">
        <v>2385</v>
      </c>
      <c r="B2011" t="s">
        <v>63</v>
      </c>
      <c r="C2011">
        <v>6</v>
      </c>
      <c r="D2011" t="s">
        <v>3422</v>
      </c>
      <c r="E2011">
        <v>65</v>
      </c>
      <c r="F2011">
        <v>13</v>
      </c>
      <c r="G2011">
        <v>52</v>
      </c>
      <c r="H2011" t="s">
        <v>3489</v>
      </c>
      <c r="I2011" t="s">
        <v>3490</v>
      </c>
      <c r="J2011" t="s">
        <v>2932</v>
      </c>
    </row>
    <row r="2012" spans="1:10" x14ac:dyDescent="0.25">
      <c r="A2012" t="s">
        <v>2390</v>
      </c>
      <c r="B2012" t="s">
        <v>212</v>
      </c>
      <c r="C2012">
        <v>6</v>
      </c>
      <c r="D2012" t="s">
        <v>3474</v>
      </c>
      <c r="E2012">
        <v>56</v>
      </c>
      <c r="F2012">
        <v>23</v>
      </c>
      <c r="G2012">
        <v>33</v>
      </c>
      <c r="H2012" t="s">
        <v>3493</v>
      </c>
      <c r="I2012" t="s">
        <v>3490</v>
      </c>
      <c r="J2012" t="s">
        <v>3001</v>
      </c>
    </row>
    <row r="2013" spans="1:10" x14ac:dyDescent="0.25">
      <c r="A2013" t="s">
        <v>2390</v>
      </c>
      <c r="B2013" t="s">
        <v>212</v>
      </c>
      <c r="C2013">
        <v>6</v>
      </c>
      <c r="D2013" t="s">
        <v>3476</v>
      </c>
      <c r="E2013">
        <v>70</v>
      </c>
      <c r="F2013">
        <v>27</v>
      </c>
      <c r="G2013">
        <v>43</v>
      </c>
      <c r="H2013" t="s">
        <v>3494</v>
      </c>
      <c r="I2013" t="s">
        <v>3490</v>
      </c>
      <c r="J2013" t="s">
        <v>3001</v>
      </c>
    </row>
    <row r="2014" spans="1:10" x14ac:dyDescent="0.25">
      <c r="A2014" t="s">
        <v>2390</v>
      </c>
      <c r="B2014" t="s">
        <v>212</v>
      </c>
      <c r="C2014">
        <v>6</v>
      </c>
      <c r="D2014" t="s">
        <v>3478</v>
      </c>
      <c r="E2014">
        <v>75</v>
      </c>
      <c r="F2014">
        <v>20</v>
      </c>
      <c r="G2014">
        <v>55</v>
      </c>
      <c r="H2014" t="s">
        <v>3494</v>
      </c>
      <c r="I2014" t="s">
        <v>3490</v>
      </c>
      <c r="J2014" t="s">
        <v>3001</v>
      </c>
    </row>
    <row r="2015" spans="1:10" x14ac:dyDescent="0.25">
      <c r="A2015" t="s">
        <v>2390</v>
      </c>
      <c r="B2015" t="s">
        <v>212</v>
      </c>
      <c r="C2015">
        <v>6</v>
      </c>
      <c r="D2015" t="s">
        <v>3480</v>
      </c>
      <c r="E2015">
        <v>52</v>
      </c>
      <c r="F2015">
        <v>27</v>
      </c>
      <c r="G2015">
        <v>25</v>
      </c>
      <c r="H2015" t="s">
        <v>3493</v>
      </c>
      <c r="I2015" t="s">
        <v>3490</v>
      </c>
      <c r="J2015" t="s">
        <v>3001</v>
      </c>
    </row>
    <row r="2016" spans="1:10" x14ac:dyDescent="0.25">
      <c r="A2016" t="s">
        <v>2390</v>
      </c>
      <c r="B2016" t="s">
        <v>212</v>
      </c>
      <c r="C2016">
        <v>6</v>
      </c>
      <c r="D2016" t="s">
        <v>3482</v>
      </c>
      <c r="E2016">
        <v>68</v>
      </c>
      <c r="F2016">
        <v>28</v>
      </c>
      <c r="G2016">
        <v>40</v>
      </c>
      <c r="H2016" t="s">
        <v>3489</v>
      </c>
      <c r="I2016" t="s">
        <v>3490</v>
      </c>
      <c r="J2016" t="s">
        <v>3001</v>
      </c>
    </row>
    <row r="2017" spans="1:10" x14ac:dyDescent="0.25">
      <c r="A2017" t="s">
        <v>2394</v>
      </c>
      <c r="B2017" t="s">
        <v>95</v>
      </c>
      <c r="C2017">
        <v>4</v>
      </c>
      <c r="D2017" t="s">
        <v>3214</v>
      </c>
      <c r="E2017">
        <v>95</v>
      </c>
      <c r="F2017">
        <v>28</v>
      </c>
      <c r="G2017">
        <v>67</v>
      </c>
      <c r="H2017" t="s">
        <v>3495</v>
      </c>
      <c r="I2017" t="s">
        <v>3490</v>
      </c>
      <c r="J2017" t="s">
        <v>2889</v>
      </c>
    </row>
    <row r="2018" spans="1:10" x14ac:dyDescent="0.25">
      <c r="A2018" t="s">
        <v>2394</v>
      </c>
      <c r="B2018" t="s">
        <v>95</v>
      </c>
      <c r="C2018">
        <v>4</v>
      </c>
      <c r="D2018" t="s">
        <v>3216</v>
      </c>
      <c r="E2018">
        <v>88</v>
      </c>
      <c r="F2018">
        <v>24</v>
      </c>
      <c r="G2018">
        <v>64</v>
      </c>
      <c r="H2018" t="s">
        <v>196</v>
      </c>
      <c r="I2018" t="s">
        <v>3490</v>
      </c>
      <c r="J2018" t="s">
        <v>2889</v>
      </c>
    </row>
    <row r="2019" spans="1:10" x14ac:dyDescent="0.25">
      <c r="A2019" t="s">
        <v>2394</v>
      </c>
      <c r="B2019" t="s">
        <v>95</v>
      </c>
      <c r="C2019">
        <v>4</v>
      </c>
      <c r="D2019" t="s">
        <v>3218</v>
      </c>
      <c r="E2019">
        <v>55</v>
      </c>
      <c r="F2019">
        <v>25</v>
      </c>
      <c r="G2019">
        <v>30</v>
      </c>
      <c r="H2019" t="s">
        <v>3493</v>
      </c>
      <c r="I2019" t="s">
        <v>3490</v>
      </c>
      <c r="J2019" t="s">
        <v>2889</v>
      </c>
    </row>
    <row r="2020" spans="1:10" x14ac:dyDescent="0.25">
      <c r="A2020" t="s">
        <v>2394</v>
      </c>
      <c r="B2020" t="s">
        <v>95</v>
      </c>
      <c r="C2020">
        <v>4</v>
      </c>
      <c r="D2020" t="s">
        <v>3220</v>
      </c>
      <c r="E2020">
        <v>57</v>
      </c>
      <c r="F2020">
        <v>13</v>
      </c>
      <c r="G2020">
        <v>44</v>
      </c>
      <c r="H2020" t="s">
        <v>3493</v>
      </c>
      <c r="I2020" t="s">
        <v>3490</v>
      </c>
      <c r="J2020" t="s">
        <v>2889</v>
      </c>
    </row>
    <row r="2021" spans="1:10" x14ac:dyDescent="0.25">
      <c r="A2021" t="s">
        <v>2394</v>
      </c>
      <c r="B2021" t="s">
        <v>95</v>
      </c>
      <c r="C2021">
        <v>4</v>
      </c>
      <c r="D2021" t="s">
        <v>3222</v>
      </c>
      <c r="E2021">
        <v>80</v>
      </c>
      <c r="F2021">
        <v>27</v>
      </c>
      <c r="G2021">
        <v>53</v>
      </c>
      <c r="H2021" t="s">
        <v>196</v>
      </c>
      <c r="I2021" t="s">
        <v>3490</v>
      </c>
      <c r="J2021" t="s">
        <v>2889</v>
      </c>
    </row>
    <row r="2022" spans="1:10" x14ac:dyDescent="0.25">
      <c r="A2022" t="s">
        <v>2399</v>
      </c>
      <c r="B2022" t="s">
        <v>159</v>
      </c>
      <c r="C2022">
        <v>8</v>
      </c>
      <c r="D2022" t="s">
        <v>3114</v>
      </c>
      <c r="E2022">
        <v>76</v>
      </c>
      <c r="F2022">
        <v>11</v>
      </c>
      <c r="G2022">
        <v>65</v>
      </c>
      <c r="H2022" t="s">
        <v>3494</v>
      </c>
      <c r="I2022" t="s">
        <v>3490</v>
      </c>
      <c r="J2022" t="s">
        <v>2902</v>
      </c>
    </row>
    <row r="2023" spans="1:10" x14ac:dyDescent="0.25">
      <c r="A2023" t="s">
        <v>2399</v>
      </c>
      <c r="B2023" t="s">
        <v>159</v>
      </c>
      <c r="C2023">
        <v>8</v>
      </c>
      <c r="D2023" t="s">
        <v>3116</v>
      </c>
      <c r="E2023">
        <v>79</v>
      </c>
      <c r="F2023">
        <v>11</v>
      </c>
      <c r="G2023">
        <v>68</v>
      </c>
      <c r="H2023" t="s">
        <v>3494</v>
      </c>
      <c r="I2023" t="s">
        <v>3490</v>
      </c>
      <c r="J2023" t="s">
        <v>2902</v>
      </c>
    </row>
    <row r="2024" spans="1:10" x14ac:dyDescent="0.25">
      <c r="A2024" t="s">
        <v>2399</v>
      </c>
      <c r="B2024" t="s">
        <v>159</v>
      </c>
      <c r="C2024">
        <v>8</v>
      </c>
      <c r="D2024" t="s">
        <v>3118</v>
      </c>
      <c r="E2024">
        <v>55</v>
      </c>
      <c r="F2024">
        <v>20</v>
      </c>
      <c r="G2024">
        <v>35</v>
      </c>
      <c r="H2024" t="s">
        <v>3493</v>
      </c>
      <c r="I2024" t="s">
        <v>3490</v>
      </c>
      <c r="J2024" t="s">
        <v>2902</v>
      </c>
    </row>
    <row r="2025" spans="1:10" x14ac:dyDescent="0.25">
      <c r="A2025" t="s">
        <v>2399</v>
      </c>
      <c r="B2025" t="s">
        <v>159</v>
      </c>
      <c r="C2025">
        <v>8</v>
      </c>
      <c r="D2025" t="s">
        <v>3120</v>
      </c>
      <c r="E2025">
        <v>79</v>
      </c>
      <c r="F2025">
        <v>25</v>
      </c>
      <c r="G2025">
        <v>54</v>
      </c>
      <c r="H2025" t="s">
        <v>3494</v>
      </c>
      <c r="I2025" t="s">
        <v>3490</v>
      </c>
      <c r="J2025" t="s">
        <v>2902</v>
      </c>
    </row>
    <row r="2026" spans="1:10" x14ac:dyDescent="0.25">
      <c r="A2026" t="s">
        <v>2399</v>
      </c>
      <c r="B2026" t="s">
        <v>159</v>
      </c>
      <c r="C2026">
        <v>8</v>
      </c>
      <c r="D2026" t="s">
        <v>3122</v>
      </c>
      <c r="E2026">
        <v>62</v>
      </c>
      <c r="F2026">
        <v>29</v>
      </c>
      <c r="G2026">
        <v>33</v>
      </c>
      <c r="H2026" t="s">
        <v>3489</v>
      </c>
      <c r="I2026" t="s">
        <v>3490</v>
      </c>
      <c r="J2026" t="s">
        <v>2902</v>
      </c>
    </row>
    <row r="2027" spans="1:10" x14ac:dyDescent="0.25">
      <c r="A2027" t="s">
        <v>2404</v>
      </c>
      <c r="B2027" t="s">
        <v>122</v>
      </c>
      <c r="C2027">
        <v>4</v>
      </c>
      <c r="D2027" t="s">
        <v>3274</v>
      </c>
      <c r="E2027">
        <v>67</v>
      </c>
      <c r="F2027">
        <v>12</v>
      </c>
      <c r="G2027">
        <v>55</v>
      </c>
      <c r="H2027" t="s">
        <v>3489</v>
      </c>
      <c r="I2027" t="s">
        <v>3490</v>
      </c>
      <c r="J2027" t="s">
        <v>2919</v>
      </c>
    </row>
    <row r="2028" spans="1:10" x14ac:dyDescent="0.25">
      <c r="A2028" t="s">
        <v>2404</v>
      </c>
      <c r="B2028" t="s">
        <v>122</v>
      </c>
      <c r="C2028">
        <v>4</v>
      </c>
      <c r="D2028" t="s">
        <v>3276</v>
      </c>
      <c r="E2028">
        <v>80</v>
      </c>
      <c r="F2028">
        <v>22</v>
      </c>
      <c r="G2028">
        <v>58</v>
      </c>
      <c r="H2028" t="s">
        <v>196</v>
      </c>
      <c r="I2028" t="s">
        <v>3490</v>
      </c>
      <c r="J2028" t="s">
        <v>2919</v>
      </c>
    </row>
    <row r="2029" spans="1:10" x14ac:dyDescent="0.25">
      <c r="A2029" t="s">
        <v>2404</v>
      </c>
      <c r="B2029" t="s">
        <v>122</v>
      </c>
      <c r="C2029">
        <v>4</v>
      </c>
      <c r="D2029" t="s">
        <v>3278</v>
      </c>
      <c r="E2029">
        <v>66</v>
      </c>
      <c r="F2029">
        <v>14</v>
      </c>
      <c r="G2029">
        <v>52</v>
      </c>
      <c r="H2029" t="s">
        <v>3489</v>
      </c>
      <c r="I2029" t="s">
        <v>3490</v>
      </c>
      <c r="J2029" t="s">
        <v>2919</v>
      </c>
    </row>
    <row r="2030" spans="1:10" x14ac:dyDescent="0.25">
      <c r="A2030" t="s">
        <v>2404</v>
      </c>
      <c r="B2030" t="s">
        <v>122</v>
      </c>
      <c r="C2030">
        <v>4</v>
      </c>
      <c r="D2030" t="s">
        <v>3280</v>
      </c>
      <c r="E2030">
        <v>78</v>
      </c>
      <c r="F2030">
        <v>28</v>
      </c>
      <c r="G2030">
        <v>50</v>
      </c>
      <c r="H2030" t="s">
        <v>3494</v>
      </c>
      <c r="I2030" t="s">
        <v>3490</v>
      </c>
      <c r="J2030" t="s">
        <v>2919</v>
      </c>
    </row>
    <row r="2031" spans="1:10" x14ac:dyDescent="0.25">
      <c r="A2031" t="s">
        <v>2404</v>
      </c>
      <c r="B2031" t="s">
        <v>122</v>
      </c>
      <c r="C2031">
        <v>4</v>
      </c>
      <c r="D2031" t="s">
        <v>3282</v>
      </c>
      <c r="E2031">
        <v>67</v>
      </c>
      <c r="F2031">
        <v>15</v>
      </c>
      <c r="G2031">
        <v>52</v>
      </c>
      <c r="H2031" t="s">
        <v>3489</v>
      </c>
      <c r="I2031" t="s">
        <v>3490</v>
      </c>
      <c r="J2031" t="s">
        <v>2919</v>
      </c>
    </row>
    <row r="2032" spans="1:10" x14ac:dyDescent="0.25">
      <c r="A2032" t="s">
        <v>2409</v>
      </c>
      <c r="B2032" t="s">
        <v>30</v>
      </c>
      <c r="C2032">
        <v>6</v>
      </c>
      <c r="D2032" t="s">
        <v>3354</v>
      </c>
      <c r="E2032">
        <v>59</v>
      </c>
      <c r="F2032">
        <v>18</v>
      </c>
      <c r="G2032">
        <v>41</v>
      </c>
      <c r="H2032" t="s">
        <v>3493</v>
      </c>
      <c r="I2032" t="s">
        <v>3490</v>
      </c>
      <c r="J2032" t="s">
        <v>2895</v>
      </c>
    </row>
    <row r="2033" spans="1:10" x14ac:dyDescent="0.25">
      <c r="A2033" t="s">
        <v>2409</v>
      </c>
      <c r="B2033" t="s">
        <v>30</v>
      </c>
      <c r="C2033">
        <v>6</v>
      </c>
      <c r="D2033" t="s">
        <v>3356</v>
      </c>
      <c r="E2033">
        <v>42</v>
      </c>
      <c r="F2033">
        <v>19</v>
      </c>
      <c r="G2033">
        <v>23</v>
      </c>
      <c r="H2033" t="s">
        <v>3491</v>
      </c>
      <c r="I2033" t="s">
        <v>3492</v>
      </c>
      <c r="J2033" t="s">
        <v>2895</v>
      </c>
    </row>
    <row r="2034" spans="1:10" x14ac:dyDescent="0.25">
      <c r="A2034" t="s">
        <v>2409</v>
      </c>
      <c r="B2034" t="s">
        <v>30</v>
      </c>
      <c r="C2034">
        <v>6</v>
      </c>
      <c r="D2034" t="s">
        <v>3358</v>
      </c>
      <c r="E2034">
        <v>65</v>
      </c>
      <c r="F2034">
        <v>13</v>
      </c>
      <c r="G2034">
        <v>52</v>
      </c>
      <c r="H2034" t="s">
        <v>3489</v>
      </c>
      <c r="I2034" t="s">
        <v>3490</v>
      </c>
      <c r="J2034" t="s">
        <v>2895</v>
      </c>
    </row>
    <row r="2035" spans="1:10" x14ac:dyDescent="0.25">
      <c r="A2035" t="s">
        <v>2409</v>
      </c>
      <c r="B2035" t="s">
        <v>30</v>
      </c>
      <c r="C2035">
        <v>6</v>
      </c>
      <c r="D2035" t="s">
        <v>3360</v>
      </c>
      <c r="E2035">
        <v>44</v>
      </c>
      <c r="F2035">
        <v>14</v>
      </c>
      <c r="G2035">
        <v>30</v>
      </c>
      <c r="H2035" t="s">
        <v>3491</v>
      </c>
      <c r="I2035" t="s">
        <v>3492</v>
      </c>
      <c r="J2035" t="s">
        <v>2895</v>
      </c>
    </row>
    <row r="2036" spans="1:10" x14ac:dyDescent="0.25">
      <c r="A2036" t="s">
        <v>2409</v>
      </c>
      <c r="B2036" t="s">
        <v>30</v>
      </c>
      <c r="C2036">
        <v>6</v>
      </c>
      <c r="D2036" t="s">
        <v>3362</v>
      </c>
      <c r="E2036">
        <v>55</v>
      </c>
      <c r="F2036">
        <v>25</v>
      </c>
      <c r="G2036">
        <v>30</v>
      </c>
      <c r="H2036" t="s">
        <v>3493</v>
      </c>
      <c r="I2036" t="s">
        <v>3490</v>
      </c>
      <c r="J2036" t="s">
        <v>2895</v>
      </c>
    </row>
    <row r="2037" spans="1:10" x14ac:dyDescent="0.25">
      <c r="A2037" t="s">
        <v>2414</v>
      </c>
      <c r="B2037" t="s">
        <v>105</v>
      </c>
      <c r="C2037">
        <v>8</v>
      </c>
      <c r="D2037" t="s">
        <v>3174</v>
      </c>
      <c r="E2037">
        <v>33</v>
      </c>
      <c r="F2037">
        <v>10</v>
      </c>
      <c r="G2037">
        <v>23</v>
      </c>
      <c r="H2037" t="s">
        <v>3491</v>
      </c>
      <c r="I2037" t="s">
        <v>3492</v>
      </c>
      <c r="J2037" t="s">
        <v>2908</v>
      </c>
    </row>
    <row r="2038" spans="1:10" x14ac:dyDescent="0.25">
      <c r="A2038" t="s">
        <v>2414</v>
      </c>
      <c r="B2038" t="s">
        <v>105</v>
      </c>
      <c r="C2038">
        <v>8</v>
      </c>
      <c r="D2038" t="s">
        <v>3176</v>
      </c>
      <c r="E2038">
        <v>70</v>
      </c>
      <c r="F2038">
        <v>15</v>
      </c>
      <c r="G2038">
        <v>55</v>
      </c>
      <c r="H2038" t="s">
        <v>3494</v>
      </c>
      <c r="I2038" t="s">
        <v>3490</v>
      </c>
      <c r="J2038" t="s">
        <v>2908</v>
      </c>
    </row>
    <row r="2039" spans="1:10" x14ac:dyDescent="0.25">
      <c r="A2039" t="s">
        <v>2414</v>
      </c>
      <c r="B2039" t="s">
        <v>105</v>
      </c>
      <c r="C2039">
        <v>8</v>
      </c>
      <c r="D2039" t="s">
        <v>3178</v>
      </c>
      <c r="E2039">
        <v>75</v>
      </c>
      <c r="F2039">
        <v>16</v>
      </c>
      <c r="G2039">
        <v>59</v>
      </c>
      <c r="H2039" t="s">
        <v>3494</v>
      </c>
      <c r="I2039" t="s">
        <v>3490</v>
      </c>
      <c r="J2039" t="s">
        <v>2908</v>
      </c>
    </row>
    <row r="2040" spans="1:10" x14ac:dyDescent="0.25">
      <c r="A2040" t="s">
        <v>2414</v>
      </c>
      <c r="B2040" t="s">
        <v>105</v>
      </c>
      <c r="C2040">
        <v>8</v>
      </c>
      <c r="D2040" t="s">
        <v>3180</v>
      </c>
      <c r="E2040">
        <v>73</v>
      </c>
      <c r="F2040">
        <v>19</v>
      </c>
      <c r="G2040">
        <v>54</v>
      </c>
      <c r="H2040" t="s">
        <v>3494</v>
      </c>
      <c r="I2040" t="s">
        <v>3490</v>
      </c>
      <c r="J2040" t="s">
        <v>2908</v>
      </c>
    </row>
    <row r="2041" spans="1:10" x14ac:dyDescent="0.25">
      <c r="A2041" t="s">
        <v>2414</v>
      </c>
      <c r="B2041" t="s">
        <v>105</v>
      </c>
      <c r="C2041">
        <v>8</v>
      </c>
      <c r="D2041" t="s">
        <v>3182</v>
      </c>
      <c r="E2041">
        <v>74</v>
      </c>
      <c r="F2041">
        <v>14</v>
      </c>
      <c r="G2041">
        <v>60</v>
      </c>
      <c r="H2041" t="s">
        <v>3494</v>
      </c>
      <c r="I2041" t="s">
        <v>3490</v>
      </c>
      <c r="J2041" t="s">
        <v>2908</v>
      </c>
    </row>
    <row r="2042" spans="1:10" x14ac:dyDescent="0.25">
      <c r="A2042" t="s">
        <v>2419</v>
      </c>
      <c r="B2042" t="s">
        <v>63</v>
      </c>
      <c r="C2042">
        <v>8</v>
      </c>
      <c r="D2042" t="s">
        <v>3414</v>
      </c>
      <c r="E2042">
        <v>45</v>
      </c>
      <c r="F2042">
        <v>17</v>
      </c>
      <c r="G2042">
        <v>28</v>
      </c>
      <c r="H2042" t="s">
        <v>3491</v>
      </c>
      <c r="I2042" t="s">
        <v>3492</v>
      </c>
      <c r="J2042" t="s">
        <v>2932</v>
      </c>
    </row>
    <row r="2043" spans="1:10" x14ac:dyDescent="0.25">
      <c r="A2043" t="s">
        <v>2419</v>
      </c>
      <c r="B2043" t="s">
        <v>63</v>
      </c>
      <c r="C2043">
        <v>8</v>
      </c>
      <c r="D2043" t="s">
        <v>3416</v>
      </c>
      <c r="E2043">
        <v>37</v>
      </c>
      <c r="F2043">
        <v>14</v>
      </c>
      <c r="G2043">
        <v>23</v>
      </c>
      <c r="H2043" t="s">
        <v>3491</v>
      </c>
      <c r="I2043" t="s">
        <v>3492</v>
      </c>
      <c r="J2043" t="s">
        <v>2932</v>
      </c>
    </row>
    <row r="2044" spans="1:10" x14ac:dyDescent="0.25">
      <c r="A2044" t="s">
        <v>2419</v>
      </c>
      <c r="B2044" t="s">
        <v>63</v>
      </c>
      <c r="C2044">
        <v>8</v>
      </c>
      <c r="D2044" t="s">
        <v>3418</v>
      </c>
      <c r="E2044">
        <v>43</v>
      </c>
      <c r="F2044">
        <v>18</v>
      </c>
      <c r="G2044">
        <v>25</v>
      </c>
      <c r="H2044" t="s">
        <v>3491</v>
      </c>
      <c r="I2044" t="s">
        <v>3492</v>
      </c>
      <c r="J2044" t="s">
        <v>2932</v>
      </c>
    </row>
    <row r="2045" spans="1:10" x14ac:dyDescent="0.25">
      <c r="A2045" t="s">
        <v>2419</v>
      </c>
      <c r="B2045" t="s">
        <v>63</v>
      </c>
      <c r="C2045">
        <v>8</v>
      </c>
      <c r="D2045" t="s">
        <v>3420</v>
      </c>
      <c r="E2045">
        <v>55</v>
      </c>
      <c r="F2045">
        <v>18</v>
      </c>
      <c r="G2045">
        <v>37</v>
      </c>
      <c r="H2045" t="s">
        <v>3493</v>
      </c>
      <c r="I2045" t="s">
        <v>3490</v>
      </c>
      <c r="J2045" t="s">
        <v>2932</v>
      </c>
    </row>
    <row r="2046" spans="1:10" x14ac:dyDescent="0.25">
      <c r="A2046" t="s">
        <v>2419</v>
      </c>
      <c r="B2046" t="s">
        <v>63</v>
      </c>
      <c r="C2046">
        <v>8</v>
      </c>
      <c r="D2046" t="s">
        <v>3422</v>
      </c>
      <c r="E2046">
        <v>62</v>
      </c>
      <c r="F2046">
        <v>25</v>
      </c>
      <c r="G2046">
        <v>37</v>
      </c>
      <c r="H2046" t="s">
        <v>3489</v>
      </c>
      <c r="I2046" t="s">
        <v>3490</v>
      </c>
      <c r="J2046" t="s">
        <v>2932</v>
      </c>
    </row>
    <row r="2047" spans="1:10" x14ac:dyDescent="0.25">
      <c r="A2047" t="s">
        <v>2423</v>
      </c>
      <c r="B2047" t="s">
        <v>105</v>
      </c>
      <c r="C2047">
        <v>8</v>
      </c>
      <c r="D2047" t="s">
        <v>3174</v>
      </c>
      <c r="E2047">
        <v>63</v>
      </c>
      <c r="F2047">
        <v>30</v>
      </c>
      <c r="G2047">
        <v>33</v>
      </c>
      <c r="H2047" t="s">
        <v>3489</v>
      </c>
      <c r="I2047" t="s">
        <v>3490</v>
      </c>
      <c r="J2047" t="s">
        <v>2908</v>
      </c>
    </row>
    <row r="2048" spans="1:10" x14ac:dyDescent="0.25">
      <c r="A2048" t="s">
        <v>2423</v>
      </c>
      <c r="B2048" t="s">
        <v>105</v>
      </c>
      <c r="C2048">
        <v>8</v>
      </c>
      <c r="D2048" t="s">
        <v>3176</v>
      </c>
      <c r="E2048">
        <v>81</v>
      </c>
      <c r="F2048">
        <v>14</v>
      </c>
      <c r="G2048">
        <v>67</v>
      </c>
      <c r="H2048" t="s">
        <v>196</v>
      </c>
      <c r="I2048" t="s">
        <v>3490</v>
      </c>
      <c r="J2048" t="s">
        <v>2908</v>
      </c>
    </row>
    <row r="2049" spans="1:10" x14ac:dyDescent="0.25">
      <c r="A2049" t="s">
        <v>2423</v>
      </c>
      <c r="B2049" t="s">
        <v>105</v>
      </c>
      <c r="C2049">
        <v>8</v>
      </c>
      <c r="D2049" t="s">
        <v>3178</v>
      </c>
      <c r="E2049">
        <v>93</v>
      </c>
      <c r="F2049">
        <v>26</v>
      </c>
      <c r="G2049">
        <v>67</v>
      </c>
      <c r="H2049" t="s">
        <v>3495</v>
      </c>
      <c r="I2049" t="s">
        <v>3490</v>
      </c>
      <c r="J2049" t="s">
        <v>2908</v>
      </c>
    </row>
    <row r="2050" spans="1:10" x14ac:dyDescent="0.25">
      <c r="A2050" t="s">
        <v>2423</v>
      </c>
      <c r="B2050" t="s">
        <v>105</v>
      </c>
      <c r="C2050">
        <v>8</v>
      </c>
      <c r="D2050" t="s">
        <v>3180</v>
      </c>
      <c r="E2050">
        <v>37</v>
      </c>
      <c r="F2050">
        <v>13</v>
      </c>
      <c r="G2050">
        <v>24</v>
      </c>
      <c r="H2050" t="s">
        <v>3491</v>
      </c>
      <c r="I2050" t="s">
        <v>3492</v>
      </c>
      <c r="J2050" t="s">
        <v>2908</v>
      </c>
    </row>
    <row r="2051" spans="1:10" x14ac:dyDescent="0.25">
      <c r="A2051" t="s">
        <v>2423</v>
      </c>
      <c r="B2051" t="s">
        <v>105</v>
      </c>
      <c r="C2051">
        <v>8</v>
      </c>
      <c r="D2051" t="s">
        <v>3182</v>
      </c>
      <c r="E2051">
        <v>66</v>
      </c>
      <c r="F2051">
        <v>23</v>
      </c>
      <c r="G2051">
        <v>43</v>
      </c>
      <c r="H2051" t="s">
        <v>3489</v>
      </c>
      <c r="I2051" t="s">
        <v>3490</v>
      </c>
      <c r="J2051" t="s">
        <v>2908</v>
      </c>
    </row>
    <row r="2052" spans="1:10" x14ac:dyDescent="0.25">
      <c r="A2052" t="s">
        <v>2428</v>
      </c>
      <c r="B2052" t="s">
        <v>105</v>
      </c>
      <c r="C2052">
        <v>4</v>
      </c>
      <c r="D2052" t="s">
        <v>3154</v>
      </c>
      <c r="E2052">
        <v>86</v>
      </c>
      <c r="F2052">
        <v>28</v>
      </c>
      <c r="G2052">
        <v>58</v>
      </c>
      <c r="H2052" t="s">
        <v>196</v>
      </c>
      <c r="I2052" t="s">
        <v>3490</v>
      </c>
      <c r="J2052" t="s">
        <v>2908</v>
      </c>
    </row>
    <row r="2053" spans="1:10" x14ac:dyDescent="0.25">
      <c r="A2053" t="s">
        <v>2428</v>
      </c>
      <c r="B2053" t="s">
        <v>105</v>
      </c>
      <c r="C2053">
        <v>4</v>
      </c>
      <c r="D2053" t="s">
        <v>3156</v>
      </c>
      <c r="E2053">
        <v>80</v>
      </c>
      <c r="F2053">
        <v>16</v>
      </c>
      <c r="G2053">
        <v>64</v>
      </c>
      <c r="H2053" t="s">
        <v>196</v>
      </c>
      <c r="I2053" t="s">
        <v>3490</v>
      </c>
      <c r="J2053" t="s">
        <v>2908</v>
      </c>
    </row>
    <row r="2054" spans="1:10" x14ac:dyDescent="0.25">
      <c r="A2054" t="s">
        <v>2428</v>
      </c>
      <c r="B2054" t="s">
        <v>105</v>
      </c>
      <c r="C2054">
        <v>4</v>
      </c>
      <c r="D2054" t="s">
        <v>3158</v>
      </c>
      <c r="E2054">
        <v>73</v>
      </c>
      <c r="F2054">
        <v>10</v>
      </c>
      <c r="G2054">
        <v>63</v>
      </c>
      <c r="H2054" t="s">
        <v>3494</v>
      </c>
      <c r="I2054" t="s">
        <v>3490</v>
      </c>
      <c r="J2054" t="s">
        <v>2908</v>
      </c>
    </row>
    <row r="2055" spans="1:10" x14ac:dyDescent="0.25">
      <c r="A2055" t="s">
        <v>2428</v>
      </c>
      <c r="B2055" t="s">
        <v>105</v>
      </c>
      <c r="C2055">
        <v>4</v>
      </c>
      <c r="D2055" t="s">
        <v>3160</v>
      </c>
      <c r="E2055">
        <v>81</v>
      </c>
      <c r="F2055">
        <v>14</v>
      </c>
      <c r="G2055">
        <v>67</v>
      </c>
      <c r="H2055" t="s">
        <v>196</v>
      </c>
      <c r="I2055" t="s">
        <v>3490</v>
      </c>
      <c r="J2055" t="s">
        <v>2908</v>
      </c>
    </row>
    <row r="2056" spans="1:10" x14ac:dyDescent="0.25">
      <c r="A2056" t="s">
        <v>2428</v>
      </c>
      <c r="B2056" t="s">
        <v>105</v>
      </c>
      <c r="C2056">
        <v>4</v>
      </c>
      <c r="D2056" t="s">
        <v>3162</v>
      </c>
      <c r="E2056">
        <v>97</v>
      </c>
      <c r="F2056">
        <v>30</v>
      </c>
      <c r="G2056">
        <v>67</v>
      </c>
      <c r="H2056" t="s">
        <v>3495</v>
      </c>
      <c r="I2056" t="s">
        <v>3490</v>
      </c>
      <c r="J2056" t="s">
        <v>2908</v>
      </c>
    </row>
    <row r="2057" spans="1:10" x14ac:dyDescent="0.25">
      <c r="A2057" t="s">
        <v>2433</v>
      </c>
      <c r="B2057" t="s">
        <v>122</v>
      </c>
      <c r="C2057">
        <v>8</v>
      </c>
      <c r="D2057" t="s">
        <v>3294</v>
      </c>
      <c r="E2057">
        <v>38</v>
      </c>
      <c r="F2057">
        <v>10</v>
      </c>
      <c r="G2057">
        <v>28</v>
      </c>
      <c r="H2057" t="s">
        <v>3491</v>
      </c>
      <c r="I2057" t="s">
        <v>3492</v>
      </c>
      <c r="J2057" t="s">
        <v>2919</v>
      </c>
    </row>
    <row r="2058" spans="1:10" x14ac:dyDescent="0.25">
      <c r="A2058" t="s">
        <v>2433</v>
      </c>
      <c r="B2058" t="s">
        <v>122</v>
      </c>
      <c r="C2058">
        <v>8</v>
      </c>
      <c r="D2058" t="s">
        <v>3296</v>
      </c>
      <c r="E2058">
        <v>71</v>
      </c>
      <c r="F2058">
        <v>11</v>
      </c>
      <c r="G2058">
        <v>60</v>
      </c>
      <c r="H2058" t="s">
        <v>3494</v>
      </c>
      <c r="I2058" t="s">
        <v>3490</v>
      </c>
      <c r="J2058" t="s">
        <v>2919</v>
      </c>
    </row>
    <row r="2059" spans="1:10" x14ac:dyDescent="0.25">
      <c r="A2059" t="s">
        <v>2433</v>
      </c>
      <c r="B2059" t="s">
        <v>122</v>
      </c>
      <c r="C2059">
        <v>8</v>
      </c>
      <c r="D2059" t="s">
        <v>3298</v>
      </c>
      <c r="E2059">
        <v>39</v>
      </c>
      <c r="F2059">
        <v>16</v>
      </c>
      <c r="G2059">
        <v>23</v>
      </c>
      <c r="H2059" t="s">
        <v>3491</v>
      </c>
      <c r="I2059" t="s">
        <v>3492</v>
      </c>
      <c r="J2059" t="s">
        <v>2919</v>
      </c>
    </row>
    <row r="2060" spans="1:10" x14ac:dyDescent="0.25">
      <c r="A2060" t="s">
        <v>2433</v>
      </c>
      <c r="B2060" t="s">
        <v>122</v>
      </c>
      <c r="C2060">
        <v>8</v>
      </c>
      <c r="D2060" t="s">
        <v>3300</v>
      </c>
      <c r="E2060">
        <v>83</v>
      </c>
      <c r="F2060">
        <v>18</v>
      </c>
      <c r="G2060">
        <v>65</v>
      </c>
      <c r="H2060" t="s">
        <v>196</v>
      </c>
      <c r="I2060" t="s">
        <v>3490</v>
      </c>
      <c r="J2060" t="s">
        <v>2919</v>
      </c>
    </row>
    <row r="2061" spans="1:10" x14ac:dyDescent="0.25">
      <c r="A2061" t="s">
        <v>2433</v>
      </c>
      <c r="B2061" t="s">
        <v>122</v>
      </c>
      <c r="C2061">
        <v>8</v>
      </c>
      <c r="D2061" t="s">
        <v>3302</v>
      </c>
      <c r="E2061">
        <v>48</v>
      </c>
      <c r="F2061">
        <v>14</v>
      </c>
      <c r="G2061">
        <v>34</v>
      </c>
      <c r="H2061" t="s">
        <v>3491</v>
      </c>
      <c r="I2061" t="s">
        <v>3492</v>
      </c>
      <c r="J2061" t="s">
        <v>2919</v>
      </c>
    </row>
    <row r="2062" spans="1:10" x14ac:dyDescent="0.25">
      <c r="A2062" t="s">
        <v>2439</v>
      </c>
      <c r="B2062" t="s">
        <v>95</v>
      </c>
      <c r="C2062">
        <v>6</v>
      </c>
      <c r="D2062" t="s">
        <v>3234</v>
      </c>
      <c r="E2062">
        <v>42</v>
      </c>
      <c r="F2062">
        <v>14</v>
      </c>
      <c r="G2062">
        <v>28</v>
      </c>
      <c r="H2062" t="s">
        <v>3491</v>
      </c>
      <c r="I2062" t="s">
        <v>3492</v>
      </c>
      <c r="J2062" t="s">
        <v>2889</v>
      </c>
    </row>
    <row r="2063" spans="1:10" x14ac:dyDescent="0.25">
      <c r="A2063" t="s">
        <v>2439</v>
      </c>
      <c r="B2063" t="s">
        <v>95</v>
      </c>
      <c r="C2063">
        <v>6</v>
      </c>
      <c r="D2063" t="s">
        <v>3236</v>
      </c>
      <c r="E2063">
        <v>75</v>
      </c>
      <c r="F2063">
        <v>24</v>
      </c>
      <c r="G2063">
        <v>51</v>
      </c>
      <c r="H2063" t="s">
        <v>3494</v>
      </c>
      <c r="I2063" t="s">
        <v>3490</v>
      </c>
      <c r="J2063" t="s">
        <v>2889</v>
      </c>
    </row>
    <row r="2064" spans="1:10" x14ac:dyDescent="0.25">
      <c r="A2064" t="s">
        <v>2439</v>
      </c>
      <c r="B2064" t="s">
        <v>95</v>
      </c>
      <c r="C2064">
        <v>6</v>
      </c>
      <c r="D2064" t="s">
        <v>3238</v>
      </c>
      <c r="E2064">
        <v>49</v>
      </c>
      <c r="F2064">
        <v>21</v>
      </c>
      <c r="G2064">
        <v>28</v>
      </c>
      <c r="H2064" t="s">
        <v>3491</v>
      </c>
      <c r="I2064" t="s">
        <v>3492</v>
      </c>
      <c r="J2064" t="s">
        <v>2889</v>
      </c>
    </row>
    <row r="2065" spans="1:10" x14ac:dyDescent="0.25">
      <c r="A2065" t="s">
        <v>2439</v>
      </c>
      <c r="B2065" t="s">
        <v>95</v>
      </c>
      <c r="C2065">
        <v>6</v>
      </c>
      <c r="D2065" t="s">
        <v>3240</v>
      </c>
      <c r="E2065">
        <v>48</v>
      </c>
      <c r="F2065">
        <v>13</v>
      </c>
      <c r="G2065">
        <v>35</v>
      </c>
      <c r="H2065" t="s">
        <v>3491</v>
      </c>
      <c r="I2065" t="s">
        <v>3492</v>
      </c>
      <c r="J2065" t="s">
        <v>2889</v>
      </c>
    </row>
    <row r="2066" spans="1:10" x14ac:dyDescent="0.25">
      <c r="A2066" t="s">
        <v>2439</v>
      </c>
      <c r="B2066" t="s">
        <v>95</v>
      </c>
      <c r="C2066">
        <v>6</v>
      </c>
      <c r="D2066" t="s">
        <v>3242</v>
      </c>
      <c r="E2066">
        <v>86</v>
      </c>
      <c r="F2066">
        <v>21</v>
      </c>
      <c r="G2066">
        <v>65</v>
      </c>
      <c r="H2066" t="s">
        <v>196</v>
      </c>
      <c r="I2066" t="s">
        <v>3490</v>
      </c>
      <c r="J2066" t="s">
        <v>2889</v>
      </c>
    </row>
    <row r="2067" spans="1:10" x14ac:dyDescent="0.25">
      <c r="A2067" t="s">
        <v>2444</v>
      </c>
      <c r="B2067" t="s">
        <v>212</v>
      </c>
      <c r="C2067">
        <v>8</v>
      </c>
      <c r="D2067" t="s">
        <v>3474</v>
      </c>
      <c r="E2067">
        <v>38</v>
      </c>
      <c r="F2067">
        <v>16</v>
      </c>
      <c r="G2067">
        <v>22</v>
      </c>
      <c r="H2067" t="s">
        <v>3491</v>
      </c>
      <c r="I2067" t="s">
        <v>3492</v>
      </c>
      <c r="J2067" t="s">
        <v>3001</v>
      </c>
    </row>
    <row r="2068" spans="1:10" x14ac:dyDescent="0.25">
      <c r="A2068" t="s">
        <v>2444</v>
      </c>
      <c r="B2068" t="s">
        <v>212</v>
      </c>
      <c r="C2068">
        <v>8</v>
      </c>
      <c r="D2068" t="s">
        <v>3476</v>
      </c>
      <c r="E2068">
        <v>66</v>
      </c>
      <c r="F2068">
        <v>14</v>
      </c>
      <c r="G2068">
        <v>52</v>
      </c>
      <c r="H2068" t="s">
        <v>3489</v>
      </c>
      <c r="I2068" t="s">
        <v>3490</v>
      </c>
      <c r="J2068" t="s">
        <v>3001</v>
      </c>
    </row>
    <row r="2069" spans="1:10" x14ac:dyDescent="0.25">
      <c r="A2069" t="s">
        <v>2444</v>
      </c>
      <c r="B2069" t="s">
        <v>212</v>
      </c>
      <c r="C2069">
        <v>8</v>
      </c>
      <c r="D2069" t="s">
        <v>3478</v>
      </c>
      <c r="E2069">
        <v>58</v>
      </c>
      <c r="F2069">
        <v>12</v>
      </c>
      <c r="G2069">
        <v>46</v>
      </c>
      <c r="H2069" t="s">
        <v>3493</v>
      </c>
      <c r="I2069" t="s">
        <v>3490</v>
      </c>
      <c r="J2069" t="s">
        <v>3001</v>
      </c>
    </row>
    <row r="2070" spans="1:10" x14ac:dyDescent="0.25">
      <c r="A2070" t="s">
        <v>2444</v>
      </c>
      <c r="B2070" t="s">
        <v>212</v>
      </c>
      <c r="C2070">
        <v>8</v>
      </c>
      <c r="D2070" t="s">
        <v>3480</v>
      </c>
      <c r="E2070">
        <v>43</v>
      </c>
      <c r="F2070">
        <v>20</v>
      </c>
      <c r="G2070">
        <v>23</v>
      </c>
      <c r="H2070" t="s">
        <v>3491</v>
      </c>
      <c r="I2070" t="s">
        <v>3492</v>
      </c>
      <c r="J2070" t="s">
        <v>3001</v>
      </c>
    </row>
    <row r="2071" spans="1:10" x14ac:dyDescent="0.25">
      <c r="A2071" t="s">
        <v>2444</v>
      </c>
      <c r="B2071" t="s">
        <v>212</v>
      </c>
      <c r="C2071">
        <v>8</v>
      </c>
      <c r="D2071" t="s">
        <v>3482</v>
      </c>
      <c r="E2071">
        <v>59</v>
      </c>
      <c r="F2071">
        <v>23</v>
      </c>
      <c r="G2071">
        <v>36</v>
      </c>
      <c r="H2071" t="s">
        <v>3493</v>
      </c>
      <c r="I2071" t="s">
        <v>3490</v>
      </c>
      <c r="J2071" t="s">
        <v>3001</v>
      </c>
    </row>
    <row r="2072" spans="1:10" x14ac:dyDescent="0.25">
      <c r="A2072" t="s">
        <v>2449</v>
      </c>
      <c r="B2072" t="s">
        <v>105</v>
      </c>
      <c r="C2072">
        <v>8</v>
      </c>
      <c r="D2072" t="s">
        <v>3174</v>
      </c>
      <c r="E2072">
        <v>54</v>
      </c>
      <c r="F2072">
        <v>22</v>
      </c>
      <c r="G2072">
        <v>32</v>
      </c>
      <c r="H2072" t="s">
        <v>3493</v>
      </c>
      <c r="I2072" t="s">
        <v>3490</v>
      </c>
      <c r="J2072" t="s">
        <v>2908</v>
      </c>
    </row>
    <row r="2073" spans="1:10" x14ac:dyDescent="0.25">
      <c r="A2073" t="s">
        <v>2449</v>
      </c>
      <c r="B2073" t="s">
        <v>105</v>
      </c>
      <c r="C2073">
        <v>8</v>
      </c>
      <c r="D2073" t="s">
        <v>3176</v>
      </c>
      <c r="E2073">
        <v>73</v>
      </c>
      <c r="F2073">
        <v>10</v>
      </c>
      <c r="G2073">
        <v>63</v>
      </c>
      <c r="H2073" t="s">
        <v>3494</v>
      </c>
      <c r="I2073" t="s">
        <v>3490</v>
      </c>
      <c r="J2073" t="s">
        <v>2908</v>
      </c>
    </row>
    <row r="2074" spans="1:10" x14ac:dyDescent="0.25">
      <c r="A2074" t="s">
        <v>2449</v>
      </c>
      <c r="B2074" t="s">
        <v>105</v>
      </c>
      <c r="C2074">
        <v>8</v>
      </c>
      <c r="D2074" t="s">
        <v>3178</v>
      </c>
      <c r="E2074">
        <v>53</v>
      </c>
      <c r="F2074">
        <v>11</v>
      </c>
      <c r="G2074">
        <v>42</v>
      </c>
      <c r="H2074" t="s">
        <v>3493</v>
      </c>
      <c r="I2074" t="s">
        <v>3490</v>
      </c>
      <c r="J2074" t="s">
        <v>2908</v>
      </c>
    </row>
    <row r="2075" spans="1:10" x14ac:dyDescent="0.25">
      <c r="A2075" t="s">
        <v>2449</v>
      </c>
      <c r="B2075" t="s">
        <v>105</v>
      </c>
      <c r="C2075">
        <v>8</v>
      </c>
      <c r="D2075" t="s">
        <v>3180</v>
      </c>
      <c r="E2075">
        <v>63</v>
      </c>
      <c r="F2075">
        <v>29</v>
      </c>
      <c r="G2075">
        <v>34</v>
      </c>
      <c r="H2075" t="s">
        <v>3489</v>
      </c>
      <c r="I2075" t="s">
        <v>3490</v>
      </c>
      <c r="J2075" t="s">
        <v>2908</v>
      </c>
    </row>
    <row r="2076" spans="1:10" x14ac:dyDescent="0.25">
      <c r="A2076" t="s">
        <v>2449</v>
      </c>
      <c r="B2076" t="s">
        <v>105</v>
      </c>
      <c r="C2076">
        <v>8</v>
      </c>
      <c r="D2076" t="s">
        <v>3182</v>
      </c>
      <c r="E2076">
        <v>73</v>
      </c>
      <c r="F2076">
        <v>24</v>
      </c>
      <c r="G2076">
        <v>49</v>
      </c>
      <c r="H2076" t="s">
        <v>3494</v>
      </c>
      <c r="I2076" t="s">
        <v>3490</v>
      </c>
      <c r="J2076" t="s">
        <v>2908</v>
      </c>
    </row>
    <row r="2077" spans="1:10" x14ac:dyDescent="0.25">
      <c r="A2077" t="s">
        <v>2454</v>
      </c>
      <c r="B2077" t="s">
        <v>105</v>
      </c>
      <c r="C2077">
        <v>4</v>
      </c>
      <c r="D2077" t="s">
        <v>3154</v>
      </c>
      <c r="E2077">
        <v>66</v>
      </c>
      <c r="F2077">
        <v>24</v>
      </c>
      <c r="G2077">
        <v>42</v>
      </c>
      <c r="H2077" t="s">
        <v>3489</v>
      </c>
      <c r="I2077" t="s">
        <v>3490</v>
      </c>
      <c r="J2077" t="s">
        <v>2908</v>
      </c>
    </row>
    <row r="2078" spans="1:10" x14ac:dyDescent="0.25">
      <c r="A2078" t="s">
        <v>2454</v>
      </c>
      <c r="B2078" t="s">
        <v>105</v>
      </c>
      <c r="C2078">
        <v>4</v>
      </c>
      <c r="D2078" t="s">
        <v>3156</v>
      </c>
      <c r="E2078">
        <v>79</v>
      </c>
      <c r="F2078">
        <v>22</v>
      </c>
      <c r="G2078">
        <v>57</v>
      </c>
      <c r="H2078" t="s">
        <v>3494</v>
      </c>
      <c r="I2078" t="s">
        <v>3490</v>
      </c>
      <c r="J2078" t="s">
        <v>2908</v>
      </c>
    </row>
    <row r="2079" spans="1:10" x14ac:dyDescent="0.25">
      <c r="A2079" t="s">
        <v>2454</v>
      </c>
      <c r="B2079" t="s">
        <v>105</v>
      </c>
      <c r="C2079">
        <v>4</v>
      </c>
      <c r="D2079" t="s">
        <v>3158</v>
      </c>
      <c r="E2079">
        <v>72</v>
      </c>
      <c r="F2079">
        <v>13</v>
      </c>
      <c r="G2079">
        <v>59</v>
      </c>
      <c r="H2079" t="s">
        <v>3494</v>
      </c>
      <c r="I2079" t="s">
        <v>3490</v>
      </c>
      <c r="J2079" t="s">
        <v>2908</v>
      </c>
    </row>
    <row r="2080" spans="1:10" x14ac:dyDescent="0.25">
      <c r="A2080" t="s">
        <v>2454</v>
      </c>
      <c r="B2080" t="s">
        <v>105</v>
      </c>
      <c r="C2080">
        <v>4</v>
      </c>
      <c r="D2080" t="s">
        <v>3160</v>
      </c>
      <c r="E2080">
        <v>61</v>
      </c>
      <c r="F2080">
        <v>27</v>
      </c>
      <c r="G2080">
        <v>34</v>
      </c>
      <c r="H2080" t="s">
        <v>3489</v>
      </c>
      <c r="I2080" t="s">
        <v>3490</v>
      </c>
      <c r="J2080" t="s">
        <v>2908</v>
      </c>
    </row>
    <row r="2081" spans="1:10" x14ac:dyDescent="0.25">
      <c r="A2081" t="s">
        <v>2454</v>
      </c>
      <c r="B2081" t="s">
        <v>105</v>
      </c>
      <c r="C2081">
        <v>4</v>
      </c>
      <c r="D2081" t="s">
        <v>3162</v>
      </c>
      <c r="E2081">
        <v>83</v>
      </c>
      <c r="F2081">
        <v>14</v>
      </c>
      <c r="G2081">
        <v>69</v>
      </c>
      <c r="H2081" t="s">
        <v>196</v>
      </c>
      <c r="I2081" t="s">
        <v>3490</v>
      </c>
      <c r="J2081" t="s">
        <v>2908</v>
      </c>
    </row>
    <row r="2082" spans="1:10" x14ac:dyDescent="0.25">
      <c r="A2082" t="s">
        <v>2459</v>
      </c>
      <c r="B2082" t="s">
        <v>95</v>
      </c>
      <c r="C2082">
        <v>4</v>
      </c>
      <c r="D2082" t="s">
        <v>3214</v>
      </c>
      <c r="E2082">
        <v>75</v>
      </c>
      <c r="F2082">
        <v>12</v>
      </c>
      <c r="G2082">
        <v>63</v>
      </c>
      <c r="H2082" t="s">
        <v>3494</v>
      </c>
      <c r="I2082" t="s">
        <v>3490</v>
      </c>
      <c r="J2082" t="s">
        <v>2889</v>
      </c>
    </row>
    <row r="2083" spans="1:10" x14ac:dyDescent="0.25">
      <c r="A2083" t="s">
        <v>2459</v>
      </c>
      <c r="B2083" t="s">
        <v>95</v>
      </c>
      <c r="C2083">
        <v>4</v>
      </c>
      <c r="D2083" t="s">
        <v>3216</v>
      </c>
      <c r="E2083">
        <v>71</v>
      </c>
      <c r="F2083">
        <v>10</v>
      </c>
      <c r="G2083">
        <v>61</v>
      </c>
      <c r="H2083" t="s">
        <v>3494</v>
      </c>
      <c r="I2083" t="s">
        <v>3490</v>
      </c>
      <c r="J2083" t="s">
        <v>2889</v>
      </c>
    </row>
    <row r="2084" spans="1:10" x14ac:dyDescent="0.25">
      <c r="A2084" t="s">
        <v>2459</v>
      </c>
      <c r="B2084" t="s">
        <v>95</v>
      </c>
      <c r="C2084">
        <v>4</v>
      </c>
      <c r="D2084" t="s">
        <v>3218</v>
      </c>
      <c r="E2084">
        <v>73</v>
      </c>
      <c r="F2084">
        <v>15</v>
      </c>
      <c r="G2084">
        <v>58</v>
      </c>
      <c r="H2084" t="s">
        <v>3494</v>
      </c>
      <c r="I2084" t="s">
        <v>3490</v>
      </c>
      <c r="J2084" t="s">
        <v>2889</v>
      </c>
    </row>
    <row r="2085" spans="1:10" x14ac:dyDescent="0.25">
      <c r="A2085" t="s">
        <v>2459</v>
      </c>
      <c r="B2085" t="s">
        <v>95</v>
      </c>
      <c r="C2085">
        <v>4</v>
      </c>
      <c r="D2085" t="s">
        <v>3220</v>
      </c>
      <c r="E2085">
        <v>58</v>
      </c>
      <c r="F2085">
        <v>12</v>
      </c>
      <c r="G2085">
        <v>46</v>
      </c>
      <c r="H2085" t="s">
        <v>3493</v>
      </c>
      <c r="I2085" t="s">
        <v>3490</v>
      </c>
      <c r="J2085" t="s">
        <v>2889</v>
      </c>
    </row>
    <row r="2086" spans="1:10" x14ac:dyDescent="0.25">
      <c r="A2086" t="s">
        <v>2459</v>
      </c>
      <c r="B2086" t="s">
        <v>95</v>
      </c>
      <c r="C2086">
        <v>4</v>
      </c>
      <c r="D2086" t="s">
        <v>3222</v>
      </c>
      <c r="E2086">
        <v>62</v>
      </c>
      <c r="F2086">
        <v>12</v>
      </c>
      <c r="G2086">
        <v>50</v>
      </c>
      <c r="H2086" t="s">
        <v>3489</v>
      </c>
      <c r="I2086" t="s">
        <v>3490</v>
      </c>
      <c r="J2086" t="s">
        <v>2889</v>
      </c>
    </row>
    <row r="2087" spans="1:10" x14ac:dyDescent="0.25">
      <c r="A2087" t="s">
        <v>2464</v>
      </c>
      <c r="B2087" t="s">
        <v>63</v>
      </c>
      <c r="C2087">
        <v>4</v>
      </c>
      <c r="D2087" t="s">
        <v>3394</v>
      </c>
      <c r="E2087">
        <v>63</v>
      </c>
      <c r="F2087">
        <v>19</v>
      </c>
      <c r="G2087">
        <v>44</v>
      </c>
      <c r="H2087" t="s">
        <v>3489</v>
      </c>
      <c r="I2087" t="s">
        <v>3490</v>
      </c>
      <c r="J2087" t="s">
        <v>2932</v>
      </c>
    </row>
    <row r="2088" spans="1:10" x14ac:dyDescent="0.25">
      <c r="A2088" t="s">
        <v>2464</v>
      </c>
      <c r="B2088" t="s">
        <v>63</v>
      </c>
      <c r="C2088">
        <v>4</v>
      </c>
      <c r="D2088" t="s">
        <v>3396</v>
      </c>
      <c r="E2088">
        <v>51</v>
      </c>
      <c r="F2088">
        <v>29</v>
      </c>
      <c r="G2088">
        <v>22</v>
      </c>
      <c r="H2088" t="s">
        <v>3493</v>
      </c>
      <c r="I2088" t="s">
        <v>3490</v>
      </c>
      <c r="J2088" t="s">
        <v>2932</v>
      </c>
    </row>
    <row r="2089" spans="1:10" x14ac:dyDescent="0.25">
      <c r="A2089" t="s">
        <v>2464</v>
      </c>
      <c r="B2089" t="s">
        <v>63</v>
      </c>
      <c r="C2089">
        <v>4</v>
      </c>
      <c r="D2089" t="s">
        <v>3398</v>
      </c>
      <c r="E2089">
        <v>72</v>
      </c>
      <c r="F2089">
        <v>15</v>
      </c>
      <c r="G2089">
        <v>57</v>
      </c>
      <c r="H2089" t="s">
        <v>3494</v>
      </c>
      <c r="I2089" t="s">
        <v>3490</v>
      </c>
      <c r="J2089" t="s">
        <v>2932</v>
      </c>
    </row>
    <row r="2090" spans="1:10" x14ac:dyDescent="0.25">
      <c r="A2090" t="s">
        <v>2464</v>
      </c>
      <c r="B2090" t="s">
        <v>63</v>
      </c>
      <c r="C2090">
        <v>4</v>
      </c>
      <c r="D2090" t="s">
        <v>3400</v>
      </c>
      <c r="E2090">
        <v>59</v>
      </c>
      <c r="F2090">
        <v>26</v>
      </c>
      <c r="G2090">
        <v>33</v>
      </c>
      <c r="H2090" t="s">
        <v>3493</v>
      </c>
      <c r="I2090" t="s">
        <v>3490</v>
      </c>
      <c r="J2090" t="s">
        <v>2932</v>
      </c>
    </row>
    <row r="2091" spans="1:10" x14ac:dyDescent="0.25">
      <c r="A2091" t="s">
        <v>2464</v>
      </c>
      <c r="B2091" t="s">
        <v>63</v>
      </c>
      <c r="C2091">
        <v>4</v>
      </c>
      <c r="D2091" t="s">
        <v>3402</v>
      </c>
      <c r="E2091">
        <v>83</v>
      </c>
      <c r="F2091">
        <v>13</v>
      </c>
      <c r="G2091">
        <v>70</v>
      </c>
      <c r="H2091" t="s">
        <v>196</v>
      </c>
      <c r="I2091" t="s">
        <v>3490</v>
      </c>
      <c r="J2091" t="s">
        <v>2932</v>
      </c>
    </row>
    <row r="2092" spans="1:10" x14ac:dyDescent="0.25">
      <c r="A2092" t="s">
        <v>2469</v>
      </c>
      <c r="B2092" t="s">
        <v>159</v>
      </c>
      <c r="C2092">
        <v>8</v>
      </c>
      <c r="D2092" t="s">
        <v>3114</v>
      </c>
      <c r="E2092">
        <v>46</v>
      </c>
      <c r="F2092">
        <v>10</v>
      </c>
      <c r="G2092">
        <v>36</v>
      </c>
      <c r="H2092" t="s">
        <v>3491</v>
      </c>
      <c r="I2092" t="s">
        <v>3492</v>
      </c>
      <c r="J2092" t="s">
        <v>2902</v>
      </c>
    </row>
    <row r="2093" spans="1:10" x14ac:dyDescent="0.25">
      <c r="A2093" t="s">
        <v>2469</v>
      </c>
      <c r="B2093" t="s">
        <v>159</v>
      </c>
      <c r="C2093">
        <v>8</v>
      </c>
      <c r="D2093" t="s">
        <v>3116</v>
      </c>
      <c r="E2093">
        <v>84</v>
      </c>
      <c r="F2093">
        <v>17</v>
      </c>
      <c r="G2093">
        <v>67</v>
      </c>
      <c r="H2093" t="s">
        <v>196</v>
      </c>
      <c r="I2093" t="s">
        <v>3490</v>
      </c>
      <c r="J2093" t="s">
        <v>2902</v>
      </c>
    </row>
    <row r="2094" spans="1:10" x14ac:dyDescent="0.25">
      <c r="A2094" t="s">
        <v>2469</v>
      </c>
      <c r="B2094" t="s">
        <v>159</v>
      </c>
      <c r="C2094">
        <v>8</v>
      </c>
      <c r="D2094" t="s">
        <v>3118</v>
      </c>
      <c r="E2094">
        <v>64</v>
      </c>
      <c r="F2094">
        <v>27</v>
      </c>
      <c r="G2094">
        <v>37</v>
      </c>
      <c r="H2094" t="s">
        <v>3489</v>
      </c>
      <c r="I2094" t="s">
        <v>3490</v>
      </c>
      <c r="J2094" t="s">
        <v>2902</v>
      </c>
    </row>
    <row r="2095" spans="1:10" x14ac:dyDescent="0.25">
      <c r="A2095" t="s">
        <v>2469</v>
      </c>
      <c r="B2095" t="s">
        <v>159</v>
      </c>
      <c r="C2095">
        <v>8</v>
      </c>
      <c r="D2095" t="s">
        <v>3120</v>
      </c>
      <c r="E2095">
        <v>71</v>
      </c>
      <c r="F2095">
        <v>12</v>
      </c>
      <c r="G2095">
        <v>59</v>
      </c>
      <c r="H2095" t="s">
        <v>3494</v>
      </c>
      <c r="I2095" t="s">
        <v>3490</v>
      </c>
      <c r="J2095" t="s">
        <v>2902</v>
      </c>
    </row>
    <row r="2096" spans="1:10" x14ac:dyDescent="0.25">
      <c r="A2096" t="s">
        <v>2469</v>
      </c>
      <c r="B2096" t="s">
        <v>159</v>
      </c>
      <c r="C2096">
        <v>8</v>
      </c>
      <c r="D2096" t="s">
        <v>3122</v>
      </c>
      <c r="E2096">
        <v>67</v>
      </c>
      <c r="F2096">
        <v>22</v>
      </c>
      <c r="G2096">
        <v>45</v>
      </c>
      <c r="H2096" t="s">
        <v>3489</v>
      </c>
      <c r="I2096" t="s">
        <v>3490</v>
      </c>
      <c r="J2096" t="s">
        <v>2902</v>
      </c>
    </row>
    <row r="2097" spans="1:10" x14ac:dyDescent="0.25">
      <c r="A2097" t="s">
        <v>2474</v>
      </c>
      <c r="B2097" t="s">
        <v>212</v>
      </c>
      <c r="C2097">
        <v>8</v>
      </c>
      <c r="D2097" t="s">
        <v>3474</v>
      </c>
      <c r="E2097">
        <v>44</v>
      </c>
      <c r="F2097">
        <v>15</v>
      </c>
      <c r="G2097">
        <v>29</v>
      </c>
      <c r="H2097" t="s">
        <v>3491</v>
      </c>
      <c r="I2097" t="s">
        <v>3492</v>
      </c>
      <c r="J2097" t="s">
        <v>3001</v>
      </c>
    </row>
    <row r="2098" spans="1:10" x14ac:dyDescent="0.25">
      <c r="A2098" t="s">
        <v>2474</v>
      </c>
      <c r="B2098" t="s">
        <v>212</v>
      </c>
      <c r="C2098">
        <v>8</v>
      </c>
      <c r="D2098" t="s">
        <v>3476</v>
      </c>
      <c r="E2098">
        <v>53</v>
      </c>
      <c r="F2098">
        <v>28</v>
      </c>
      <c r="G2098">
        <v>25</v>
      </c>
      <c r="H2098" t="s">
        <v>3493</v>
      </c>
      <c r="I2098" t="s">
        <v>3490</v>
      </c>
      <c r="J2098" t="s">
        <v>3001</v>
      </c>
    </row>
    <row r="2099" spans="1:10" x14ac:dyDescent="0.25">
      <c r="A2099" t="s">
        <v>2474</v>
      </c>
      <c r="B2099" t="s">
        <v>212</v>
      </c>
      <c r="C2099">
        <v>8</v>
      </c>
      <c r="D2099" t="s">
        <v>3478</v>
      </c>
      <c r="E2099">
        <v>43</v>
      </c>
      <c r="F2099">
        <v>16</v>
      </c>
      <c r="G2099">
        <v>27</v>
      </c>
      <c r="H2099" t="s">
        <v>3491</v>
      </c>
      <c r="I2099" t="s">
        <v>3492</v>
      </c>
      <c r="J2099" t="s">
        <v>3001</v>
      </c>
    </row>
    <row r="2100" spans="1:10" x14ac:dyDescent="0.25">
      <c r="A2100" t="s">
        <v>2474</v>
      </c>
      <c r="B2100" t="s">
        <v>212</v>
      </c>
      <c r="C2100">
        <v>8</v>
      </c>
      <c r="D2100" t="s">
        <v>3480</v>
      </c>
      <c r="E2100">
        <v>74</v>
      </c>
      <c r="F2100">
        <v>23</v>
      </c>
      <c r="G2100">
        <v>51</v>
      </c>
      <c r="H2100" t="s">
        <v>3494</v>
      </c>
      <c r="I2100" t="s">
        <v>3490</v>
      </c>
      <c r="J2100" t="s">
        <v>3001</v>
      </c>
    </row>
    <row r="2101" spans="1:10" x14ac:dyDescent="0.25">
      <c r="A2101" t="s">
        <v>2474</v>
      </c>
      <c r="B2101" t="s">
        <v>212</v>
      </c>
      <c r="C2101">
        <v>8</v>
      </c>
      <c r="D2101" t="s">
        <v>3482</v>
      </c>
      <c r="E2101">
        <v>62</v>
      </c>
      <c r="F2101">
        <v>10</v>
      </c>
      <c r="G2101">
        <v>52</v>
      </c>
      <c r="H2101" t="s">
        <v>3489</v>
      </c>
      <c r="I2101" t="s">
        <v>3490</v>
      </c>
      <c r="J2101" t="s">
        <v>3001</v>
      </c>
    </row>
    <row r="2102" spans="1:10" x14ac:dyDescent="0.25">
      <c r="A2102" t="s">
        <v>2479</v>
      </c>
      <c r="B2102" t="s">
        <v>159</v>
      </c>
      <c r="C2102">
        <v>6</v>
      </c>
      <c r="D2102" t="s">
        <v>3114</v>
      </c>
      <c r="E2102">
        <v>54</v>
      </c>
      <c r="F2102">
        <v>11</v>
      </c>
      <c r="G2102">
        <v>43</v>
      </c>
      <c r="H2102" t="s">
        <v>3493</v>
      </c>
      <c r="I2102" t="s">
        <v>3490</v>
      </c>
      <c r="J2102" t="s">
        <v>2902</v>
      </c>
    </row>
    <row r="2103" spans="1:10" x14ac:dyDescent="0.25">
      <c r="A2103" t="s">
        <v>2479</v>
      </c>
      <c r="B2103" t="s">
        <v>159</v>
      </c>
      <c r="C2103">
        <v>6</v>
      </c>
      <c r="D2103" t="s">
        <v>3116</v>
      </c>
      <c r="E2103">
        <v>77</v>
      </c>
      <c r="F2103">
        <v>22</v>
      </c>
      <c r="G2103">
        <v>55</v>
      </c>
      <c r="H2103" t="s">
        <v>3494</v>
      </c>
      <c r="I2103" t="s">
        <v>3490</v>
      </c>
      <c r="J2103" t="s">
        <v>2902</v>
      </c>
    </row>
    <row r="2104" spans="1:10" x14ac:dyDescent="0.25">
      <c r="A2104" t="s">
        <v>2479</v>
      </c>
      <c r="B2104" t="s">
        <v>159</v>
      </c>
      <c r="C2104">
        <v>6</v>
      </c>
      <c r="D2104" t="s">
        <v>3118</v>
      </c>
      <c r="E2104">
        <v>67</v>
      </c>
      <c r="F2104">
        <v>21</v>
      </c>
      <c r="G2104">
        <v>46</v>
      </c>
      <c r="H2104" t="s">
        <v>3489</v>
      </c>
      <c r="I2104" t="s">
        <v>3490</v>
      </c>
      <c r="J2104" t="s">
        <v>2902</v>
      </c>
    </row>
    <row r="2105" spans="1:10" x14ac:dyDescent="0.25">
      <c r="A2105" t="s">
        <v>2479</v>
      </c>
      <c r="B2105" t="s">
        <v>159</v>
      </c>
      <c r="C2105">
        <v>6</v>
      </c>
      <c r="D2105" t="s">
        <v>3120</v>
      </c>
      <c r="E2105">
        <v>71</v>
      </c>
      <c r="F2105">
        <v>22</v>
      </c>
      <c r="G2105">
        <v>49</v>
      </c>
      <c r="H2105" t="s">
        <v>3494</v>
      </c>
      <c r="I2105" t="s">
        <v>3490</v>
      </c>
      <c r="J2105" t="s">
        <v>2902</v>
      </c>
    </row>
    <row r="2106" spans="1:10" x14ac:dyDescent="0.25">
      <c r="A2106" t="s">
        <v>2479</v>
      </c>
      <c r="B2106" t="s">
        <v>159</v>
      </c>
      <c r="C2106">
        <v>6</v>
      </c>
      <c r="D2106" t="s">
        <v>3122</v>
      </c>
      <c r="E2106">
        <v>55</v>
      </c>
      <c r="F2106">
        <v>11</v>
      </c>
      <c r="G2106">
        <v>44</v>
      </c>
      <c r="H2106" t="s">
        <v>3493</v>
      </c>
      <c r="I2106" t="s">
        <v>3490</v>
      </c>
      <c r="J2106" t="s">
        <v>2902</v>
      </c>
    </row>
    <row r="2107" spans="1:10" x14ac:dyDescent="0.25">
      <c r="A2107" t="s">
        <v>2484</v>
      </c>
      <c r="B2107" t="s">
        <v>159</v>
      </c>
      <c r="C2107">
        <v>8</v>
      </c>
      <c r="D2107" t="s">
        <v>3114</v>
      </c>
      <c r="E2107">
        <v>81</v>
      </c>
      <c r="F2107">
        <v>17</v>
      </c>
      <c r="G2107">
        <v>64</v>
      </c>
      <c r="H2107" t="s">
        <v>196</v>
      </c>
      <c r="I2107" t="s">
        <v>3490</v>
      </c>
      <c r="J2107" t="s">
        <v>2902</v>
      </c>
    </row>
    <row r="2108" spans="1:10" x14ac:dyDescent="0.25">
      <c r="A2108" t="s">
        <v>2484</v>
      </c>
      <c r="B2108" t="s">
        <v>159</v>
      </c>
      <c r="C2108">
        <v>8</v>
      </c>
      <c r="D2108" t="s">
        <v>3116</v>
      </c>
      <c r="E2108">
        <v>51</v>
      </c>
      <c r="F2108">
        <v>22</v>
      </c>
      <c r="G2108">
        <v>29</v>
      </c>
      <c r="H2108" t="s">
        <v>3493</v>
      </c>
      <c r="I2108" t="s">
        <v>3490</v>
      </c>
      <c r="J2108" t="s">
        <v>2902</v>
      </c>
    </row>
    <row r="2109" spans="1:10" x14ac:dyDescent="0.25">
      <c r="A2109" t="s">
        <v>2484</v>
      </c>
      <c r="B2109" t="s">
        <v>159</v>
      </c>
      <c r="C2109">
        <v>8</v>
      </c>
      <c r="D2109" t="s">
        <v>3118</v>
      </c>
      <c r="E2109">
        <v>68</v>
      </c>
      <c r="F2109">
        <v>12</v>
      </c>
      <c r="G2109">
        <v>56</v>
      </c>
      <c r="H2109" t="s">
        <v>3489</v>
      </c>
      <c r="I2109" t="s">
        <v>3490</v>
      </c>
      <c r="J2109" t="s">
        <v>2902</v>
      </c>
    </row>
    <row r="2110" spans="1:10" x14ac:dyDescent="0.25">
      <c r="A2110" t="s">
        <v>2484</v>
      </c>
      <c r="B2110" t="s">
        <v>159</v>
      </c>
      <c r="C2110">
        <v>8</v>
      </c>
      <c r="D2110" t="s">
        <v>3120</v>
      </c>
      <c r="E2110">
        <v>71</v>
      </c>
      <c r="F2110">
        <v>26</v>
      </c>
      <c r="G2110">
        <v>45</v>
      </c>
      <c r="H2110" t="s">
        <v>3494</v>
      </c>
      <c r="I2110" t="s">
        <v>3490</v>
      </c>
      <c r="J2110" t="s">
        <v>2902</v>
      </c>
    </row>
    <row r="2111" spans="1:10" x14ac:dyDescent="0.25">
      <c r="A2111" t="s">
        <v>2484</v>
      </c>
      <c r="B2111" t="s">
        <v>159</v>
      </c>
      <c r="C2111">
        <v>8</v>
      </c>
      <c r="D2111" t="s">
        <v>3122</v>
      </c>
      <c r="E2111">
        <v>64</v>
      </c>
      <c r="F2111">
        <v>21</v>
      </c>
      <c r="G2111">
        <v>43</v>
      </c>
      <c r="H2111" t="s">
        <v>3489</v>
      </c>
      <c r="I2111" t="s">
        <v>3490</v>
      </c>
      <c r="J2111" t="s">
        <v>2902</v>
      </c>
    </row>
    <row r="2112" spans="1:10" x14ac:dyDescent="0.25">
      <c r="A2112" t="s">
        <v>2489</v>
      </c>
      <c r="B2112" t="s">
        <v>212</v>
      </c>
      <c r="C2112">
        <v>8</v>
      </c>
      <c r="D2112" t="s">
        <v>3474</v>
      </c>
      <c r="E2112">
        <v>50</v>
      </c>
      <c r="F2112">
        <v>11</v>
      </c>
      <c r="G2112">
        <v>39</v>
      </c>
      <c r="H2112" t="s">
        <v>3493</v>
      </c>
      <c r="I2112" t="s">
        <v>3490</v>
      </c>
      <c r="J2112" t="s">
        <v>3001</v>
      </c>
    </row>
    <row r="2113" spans="1:10" x14ac:dyDescent="0.25">
      <c r="A2113" t="s">
        <v>2489</v>
      </c>
      <c r="B2113" t="s">
        <v>212</v>
      </c>
      <c r="C2113">
        <v>8</v>
      </c>
      <c r="D2113" t="s">
        <v>3476</v>
      </c>
      <c r="E2113">
        <v>66</v>
      </c>
      <c r="F2113">
        <v>28</v>
      </c>
      <c r="G2113">
        <v>38</v>
      </c>
      <c r="H2113" t="s">
        <v>3489</v>
      </c>
      <c r="I2113" t="s">
        <v>3490</v>
      </c>
      <c r="J2113" t="s">
        <v>3001</v>
      </c>
    </row>
    <row r="2114" spans="1:10" x14ac:dyDescent="0.25">
      <c r="A2114" t="s">
        <v>2489</v>
      </c>
      <c r="B2114" t="s">
        <v>212</v>
      </c>
      <c r="C2114">
        <v>8</v>
      </c>
      <c r="D2114" t="s">
        <v>3478</v>
      </c>
      <c r="E2114">
        <v>57</v>
      </c>
      <c r="F2114">
        <v>18</v>
      </c>
      <c r="G2114">
        <v>39</v>
      </c>
      <c r="H2114" t="s">
        <v>3493</v>
      </c>
      <c r="I2114" t="s">
        <v>3490</v>
      </c>
      <c r="J2114" t="s">
        <v>3001</v>
      </c>
    </row>
    <row r="2115" spans="1:10" x14ac:dyDescent="0.25">
      <c r="A2115" t="s">
        <v>2489</v>
      </c>
      <c r="B2115" t="s">
        <v>212</v>
      </c>
      <c r="C2115">
        <v>8</v>
      </c>
      <c r="D2115" t="s">
        <v>3480</v>
      </c>
      <c r="E2115">
        <v>52</v>
      </c>
      <c r="F2115">
        <v>30</v>
      </c>
      <c r="G2115">
        <v>22</v>
      </c>
      <c r="H2115" t="s">
        <v>3493</v>
      </c>
      <c r="I2115" t="s">
        <v>3490</v>
      </c>
      <c r="J2115" t="s">
        <v>3001</v>
      </c>
    </row>
    <row r="2116" spans="1:10" x14ac:dyDescent="0.25">
      <c r="A2116" t="s">
        <v>2489</v>
      </c>
      <c r="B2116" t="s">
        <v>212</v>
      </c>
      <c r="C2116">
        <v>8</v>
      </c>
      <c r="D2116" t="s">
        <v>3482</v>
      </c>
      <c r="E2116">
        <v>71</v>
      </c>
      <c r="F2116">
        <v>24</v>
      </c>
      <c r="G2116">
        <v>47</v>
      </c>
      <c r="H2116" t="s">
        <v>3494</v>
      </c>
      <c r="I2116" t="s">
        <v>3490</v>
      </c>
      <c r="J2116" t="s">
        <v>3001</v>
      </c>
    </row>
    <row r="2117" spans="1:10" x14ac:dyDescent="0.25">
      <c r="A2117" t="s">
        <v>2494</v>
      </c>
      <c r="B2117" t="s">
        <v>30</v>
      </c>
      <c r="C2117">
        <v>8</v>
      </c>
      <c r="D2117" t="s">
        <v>3354</v>
      </c>
      <c r="E2117">
        <v>54</v>
      </c>
      <c r="F2117">
        <v>22</v>
      </c>
      <c r="G2117">
        <v>32</v>
      </c>
      <c r="H2117" t="s">
        <v>3493</v>
      </c>
      <c r="I2117" t="s">
        <v>3490</v>
      </c>
      <c r="J2117" t="s">
        <v>2895</v>
      </c>
    </row>
    <row r="2118" spans="1:10" x14ac:dyDescent="0.25">
      <c r="A2118" t="s">
        <v>2494</v>
      </c>
      <c r="B2118" t="s">
        <v>30</v>
      </c>
      <c r="C2118">
        <v>8</v>
      </c>
      <c r="D2118" t="s">
        <v>3356</v>
      </c>
      <c r="E2118">
        <v>77</v>
      </c>
      <c r="F2118">
        <v>19</v>
      </c>
      <c r="G2118">
        <v>58</v>
      </c>
      <c r="H2118" t="s">
        <v>3494</v>
      </c>
      <c r="I2118" t="s">
        <v>3490</v>
      </c>
      <c r="J2118" t="s">
        <v>2895</v>
      </c>
    </row>
    <row r="2119" spans="1:10" x14ac:dyDescent="0.25">
      <c r="A2119" t="s">
        <v>2494</v>
      </c>
      <c r="B2119" t="s">
        <v>30</v>
      </c>
      <c r="C2119">
        <v>8</v>
      </c>
      <c r="D2119" t="s">
        <v>3358</v>
      </c>
      <c r="E2119">
        <v>81</v>
      </c>
      <c r="F2119">
        <v>16</v>
      </c>
      <c r="G2119">
        <v>65</v>
      </c>
      <c r="H2119" t="s">
        <v>196</v>
      </c>
      <c r="I2119" t="s">
        <v>3490</v>
      </c>
      <c r="J2119" t="s">
        <v>2895</v>
      </c>
    </row>
    <row r="2120" spans="1:10" x14ac:dyDescent="0.25">
      <c r="A2120" t="s">
        <v>2494</v>
      </c>
      <c r="B2120" t="s">
        <v>30</v>
      </c>
      <c r="C2120">
        <v>8</v>
      </c>
      <c r="D2120" t="s">
        <v>3360</v>
      </c>
      <c r="E2120">
        <v>73</v>
      </c>
      <c r="F2120">
        <v>17</v>
      </c>
      <c r="G2120">
        <v>56</v>
      </c>
      <c r="H2120" t="s">
        <v>3494</v>
      </c>
      <c r="I2120" t="s">
        <v>3490</v>
      </c>
      <c r="J2120" t="s">
        <v>2895</v>
      </c>
    </row>
    <row r="2121" spans="1:10" x14ac:dyDescent="0.25">
      <c r="A2121" t="s">
        <v>2494</v>
      </c>
      <c r="B2121" t="s">
        <v>30</v>
      </c>
      <c r="C2121">
        <v>8</v>
      </c>
      <c r="D2121" t="s">
        <v>3362</v>
      </c>
      <c r="E2121">
        <v>65</v>
      </c>
      <c r="F2121">
        <v>23</v>
      </c>
      <c r="G2121">
        <v>42</v>
      </c>
      <c r="H2121" t="s">
        <v>3489</v>
      </c>
      <c r="I2121" t="s">
        <v>3490</v>
      </c>
      <c r="J2121" t="s">
        <v>2895</v>
      </c>
    </row>
    <row r="2122" spans="1:10" x14ac:dyDescent="0.25">
      <c r="A2122" t="s">
        <v>2501</v>
      </c>
      <c r="B2122" t="s">
        <v>30</v>
      </c>
      <c r="C2122">
        <v>8</v>
      </c>
      <c r="D2122" t="s">
        <v>3354</v>
      </c>
      <c r="E2122">
        <v>49</v>
      </c>
      <c r="F2122">
        <v>10</v>
      </c>
      <c r="G2122">
        <v>39</v>
      </c>
      <c r="H2122" t="s">
        <v>3491</v>
      </c>
      <c r="I2122" t="s">
        <v>3492</v>
      </c>
      <c r="J2122" t="s">
        <v>2895</v>
      </c>
    </row>
    <row r="2123" spans="1:10" x14ac:dyDescent="0.25">
      <c r="A2123" t="s">
        <v>2501</v>
      </c>
      <c r="B2123" t="s">
        <v>30</v>
      </c>
      <c r="C2123">
        <v>8</v>
      </c>
      <c r="D2123" t="s">
        <v>3356</v>
      </c>
      <c r="E2123">
        <v>88</v>
      </c>
      <c r="F2123">
        <v>30</v>
      </c>
      <c r="G2123">
        <v>58</v>
      </c>
      <c r="H2123" t="s">
        <v>196</v>
      </c>
      <c r="I2123" t="s">
        <v>3490</v>
      </c>
      <c r="J2123" t="s">
        <v>2895</v>
      </c>
    </row>
    <row r="2124" spans="1:10" x14ac:dyDescent="0.25">
      <c r="A2124" t="s">
        <v>2501</v>
      </c>
      <c r="B2124" t="s">
        <v>30</v>
      </c>
      <c r="C2124">
        <v>8</v>
      </c>
      <c r="D2124" t="s">
        <v>3358</v>
      </c>
      <c r="E2124">
        <v>52</v>
      </c>
      <c r="F2124">
        <v>22</v>
      </c>
      <c r="G2124">
        <v>30</v>
      </c>
      <c r="H2124" t="s">
        <v>3493</v>
      </c>
      <c r="I2124" t="s">
        <v>3490</v>
      </c>
      <c r="J2124" t="s">
        <v>2895</v>
      </c>
    </row>
    <row r="2125" spans="1:10" x14ac:dyDescent="0.25">
      <c r="A2125" t="s">
        <v>2501</v>
      </c>
      <c r="B2125" t="s">
        <v>30</v>
      </c>
      <c r="C2125">
        <v>8</v>
      </c>
      <c r="D2125" t="s">
        <v>3360</v>
      </c>
      <c r="E2125">
        <v>56</v>
      </c>
      <c r="F2125">
        <v>24</v>
      </c>
      <c r="G2125">
        <v>32</v>
      </c>
      <c r="H2125" t="s">
        <v>3493</v>
      </c>
      <c r="I2125" t="s">
        <v>3490</v>
      </c>
      <c r="J2125" t="s">
        <v>2895</v>
      </c>
    </row>
    <row r="2126" spans="1:10" x14ac:dyDescent="0.25">
      <c r="A2126" t="s">
        <v>2501</v>
      </c>
      <c r="B2126" t="s">
        <v>30</v>
      </c>
      <c r="C2126">
        <v>8</v>
      </c>
      <c r="D2126" t="s">
        <v>3362</v>
      </c>
      <c r="E2126">
        <v>44</v>
      </c>
      <c r="F2126">
        <v>14</v>
      </c>
      <c r="G2126">
        <v>30</v>
      </c>
      <c r="H2126" t="s">
        <v>3491</v>
      </c>
      <c r="I2126" t="s">
        <v>3492</v>
      </c>
      <c r="J2126" t="s">
        <v>2895</v>
      </c>
    </row>
    <row r="2127" spans="1:10" x14ac:dyDescent="0.25">
      <c r="A2127" t="s">
        <v>2506</v>
      </c>
      <c r="B2127" t="s">
        <v>30</v>
      </c>
      <c r="C2127">
        <v>8</v>
      </c>
      <c r="D2127" t="s">
        <v>3354</v>
      </c>
      <c r="E2127">
        <v>50</v>
      </c>
      <c r="F2127">
        <v>22</v>
      </c>
      <c r="G2127">
        <v>28</v>
      </c>
      <c r="H2127" t="s">
        <v>3493</v>
      </c>
      <c r="I2127" t="s">
        <v>3490</v>
      </c>
      <c r="J2127" t="s">
        <v>2895</v>
      </c>
    </row>
    <row r="2128" spans="1:10" x14ac:dyDescent="0.25">
      <c r="A2128" t="s">
        <v>2506</v>
      </c>
      <c r="B2128" t="s">
        <v>30</v>
      </c>
      <c r="C2128">
        <v>8</v>
      </c>
      <c r="D2128" t="s">
        <v>3356</v>
      </c>
      <c r="E2128">
        <v>50</v>
      </c>
      <c r="F2128">
        <v>23</v>
      </c>
      <c r="G2128">
        <v>27</v>
      </c>
      <c r="H2128" t="s">
        <v>3493</v>
      </c>
      <c r="I2128" t="s">
        <v>3490</v>
      </c>
      <c r="J2128" t="s">
        <v>2895</v>
      </c>
    </row>
    <row r="2129" spans="1:10" x14ac:dyDescent="0.25">
      <c r="A2129" t="s">
        <v>2506</v>
      </c>
      <c r="B2129" t="s">
        <v>30</v>
      </c>
      <c r="C2129">
        <v>8</v>
      </c>
      <c r="D2129" t="s">
        <v>3358</v>
      </c>
      <c r="E2129">
        <v>50</v>
      </c>
      <c r="F2129">
        <v>12</v>
      </c>
      <c r="G2129">
        <v>38</v>
      </c>
      <c r="H2129" t="s">
        <v>3493</v>
      </c>
      <c r="I2129" t="s">
        <v>3490</v>
      </c>
      <c r="J2129" t="s">
        <v>2895</v>
      </c>
    </row>
    <row r="2130" spans="1:10" x14ac:dyDescent="0.25">
      <c r="A2130" t="s">
        <v>2506</v>
      </c>
      <c r="B2130" t="s">
        <v>30</v>
      </c>
      <c r="C2130">
        <v>8</v>
      </c>
      <c r="D2130" t="s">
        <v>3360</v>
      </c>
      <c r="E2130">
        <v>50</v>
      </c>
      <c r="F2130">
        <v>14</v>
      </c>
      <c r="G2130">
        <v>36</v>
      </c>
      <c r="H2130" t="s">
        <v>3493</v>
      </c>
      <c r="I2130" t="s">
        <v>3490</v>
      </c>
      <c r="J2130" t="s">
        <v>2895</v>
      </c>
    </row>
    <row r="2131" spans="1:10" x14ac:dyDescent="0.25">
      <c r="A2131" t="s">
        <v>2506</v>
      </c>
      <c r="B2131" t="s">
        <v>30</v>
      </c>
      <c r="C2131">
        <v>8</v>
      </c>
      <c r="D2131" t="s">
        <v>3362</v>
      </c>
      <c r="E2131">
        <v>86</v>
      </c>
      <c r="F2131">
        <v>16</v>
      </c>
      <c r="G2131">
        <v>70</v>
      </c>
      <c r="H2131" t="s">
        <v>196</v>
      </c>
      <c r="I2131" t="s">
        <v>3490</v>
      </c>
      <c r="J2131" t="s">
        <v>2895</v>
      </c>
    </row>
    <row r="2132" spans="1:10" x14ac:dyDescent="0.25">
      <c r="A2132" t="s">
        <v>2512</v>
      </c>
      <c r="B2132" t="s">
        <v>159</v>
      </c>
      <c r="C2132">
        <v>4</v>
      </c>
      <c r="D2132" t="s">
        <v>3094</v>
      </c>
      <c r="E2132">
        <v>85</v>
      </c>
      <c r="F2132">
        <v>23</v>
      </c>
      <c r="G2132">
        <v>62</v>
      </c>
      <c r="H2132" t="s">
        <v>196</v>
      </c>
      <c r="I2132" t="s">
        <v>3490</v>
      </c>
      <c r="J2132" t="s">
        <v>2902</v>
      </c>
    </row>
    <row r="2133" spans="1:10" x14ac:dyDescent="0.25">
      <c r="A2133" t="s">
        <v>2512</v>
      </c>
      <c r="B2133" t="s">
        <v>159</v>
      </c>
      <c r="C2133">
        <v>4</v>
      </c>
      <c r="D2133" t="s">
        <v>3096</v>
      </c>
      <c r="E2133">
        <v>81</v>
      </c>
      <c r="F2133">
        <v>14</v>
      </c>
      <c r="G2133">
        <v>67</v>
      </c>
      <c r="H2133" t="s">
        <v>196</v>
      </c>
      <c r="I2133" t="s">
        <v>3490</v>
      </c>
      <c r="J2133" t="s">
        <v>2902</v>
      </c>
    </row>
    <row r="2134" spans="1:10" x14ac:dyDescent="0.25">
      <c r="A2134" t="s">
        <v>2512</v>
      </c>
      <c r="B2134" t="s">
        <v>159</v>
      </c>
      <c r="C2134">
        <v>4</v>
      </c>
      <c r="D2134" t="s">
        <v>3098</v>
      </c>
      <c r="E2134">
        <v>81</v>
      </c>
      <c r="F2134">
        <v>20</v>
      </c>
      <c r="G2134">
        <v>61</v>
      </c>
      <c r="H2134" t="s">
        <v>196</v>
      </c>
      <c r="I2134" t="s">
        <v>3490</v>
      </c>
      <c r="J2134" t="s">
        <v>2902</v>
      </c>
    </row>
    <row r="2135" spans="1:10" x14ac:dyDescent="0.25">
      <c r="A2135" t="s">
        <v>2512</v>
      </c>
      <c r="B2135" t="s">
        <v>159</v>
      </c>
      <c r="C2135">
        <v>4</v>
      </c>
      <c r="D2135" t="s">
        <v>3100</v>
      </c>
      <c r="E2135">
        <v>91</v>
      </c>
      <c r="F2135">
        <v>27</v>
      </c>
      <c r="G2135">
        <v>64</v>
      </c>
      <c r="H2135" t="s">
        <v>3495</v>
      </c>
      <c r="I2135" t="s">
        <v>3490</v>
      </c>
      <c r="J2135" t="s">
        <v>2902</v>
      </c>
    </row>
    <row r="2136" spans="1:10" x14ac:dyDescent="0.25">
      <c r="A2136" t="s">
        <v>2512</v>
      </c>
      <c r="B2136" t="s">
        <v>159</v>
      </c>
      <c r="C2136">
        <v>4</v>
      </c>
      <c r="D2136" t="s">
        <v>3102</v>
      </c>
      <c r="E2136">
        <v>57</v>
      </c>
      <c r="F2136">
        <v>20</v>
      </c>
      <c r="G2136">
        <v>37</v>
      </c>
      <c r="H2136" t="s">
        <v>3493</v>
      </c>
      <c r="I2136" t="s">
        <v>3490</v>
      </c>
      <c r="J2136" t="s">
        <v>2902</v>
      </c>
    </row>
    <row r="2137" spans="1:10" x14ac:dyDescent="0.25">
      <c r="A2137" t="s">
        <v>2517</v>
      </c>
      <c r="B2137" t="s">
        <v>105</v>
      </c>
      <c r="C2137">
        <v>4</v>
      </c>
      <c r="D2137" t="s">
        <v>3154</v>
      </c>
      <c r="E2137">
        <v>40</v>
      </c>
      <c r="F2137">
        <v>14</v>
      </c>
      <c r="G2137">
        <v>26</v>
      </c>
      <c r="H2137" t="s">
        <v>3491</v>
      </c>
      <c r="I2137" t="s">
        <v>3492</v>
      </c>
      <c r="J2137" t="s">
        <v>2908</v>
      </c>
    </row>
    <row r="2138" spans="1:10" x14ac:dyDescent="0.25">
      <c r="A2138" t="s">
        <v>2517</v>
      </c>
      <c r="B2138" t="s">
        <v>105</v>
      </c>
      <c r="C2138">
        <v>4</v>
      </c>
      <c r="D2138" t="s">
        <v>3156</v>
      </c>
      <c r="E2138">
        <v>78</v>
      </c>
      <c r="F2138">
        <v>26</v>
      </c>
      <c r="G2138">
        <v>52</v>
      </c>
      <c r="H2138" t="s">
        <v>3494</v>
      </c>
      <c r="I2138" t="s">
        <v>3490</v>
      </c>
      <c r="J2138" t="s">
        <v>2908</v>
      </c>
    </row>
    <row r="2139" spans="1:10" x14ac:dyDescent="0.25">
      <c r="A2139" t="s">
        <v>2517</v>
      </c>
      <c r="B2139" t="s">
        <v>105</v>
      </c>
      <c r="C2139">
        <v>4</v>
      </c>
      <c r="D2139" t="s">
        <v>3158</v>
      </c>
      <c r="E2139">
        <v>52</v>
      </c>
      <c r="F2139">
        <v>30</v>
      </c>
      <c r="G2139">
        <v>22</v>
      </c>
      <c r="H2139" t="s">
        <v>3493</v>
      </c>
      <c r="I2139" t="s">
        <v>3490</v>
      </c>
      <c r="J2139" t="s">
        <v>2908</v>
      </c>
    </row>
    <row r="2140" spans="1:10" x14ac:dyDescent="0.25">
      <c r="A2140" t="s">
        <v>2517</v>
      </c>
      <c r="B2140" t="s">
        <v>105</v>
      </c>
      <c r="C2140">
        <v>4</v>
      </c>
      <c r="D2140" t="s">
        <v>3160</v>
      </c>
      <c r="E2140">
        <v>94</v>
      </c>
      <c r="F2140">
        <v>27</v>
      </c>
      <c r="G2140">
        <v>67</v>
      </c>
      <c r="H2140" t="s">
        <v>3495</v>
      </c>
      <c r="I2140" t="s">
        <v>3490</v>
      </c>
      <c r="J2140" t="s">
        <v>2908</v>
      </c>
    </row>
    <row r="2141" spans="1:10" x14ac:dyDescent="0.25">
      <c r="A2141" t="s">
        <v>2517</v>
      </c>
      <c r="B2141" t="s">
        <v>105</v>
      </c>
      <c r="C2141">
        <v>4</v>
      </c>
      <c r="D2141" t="s">
        <v>3162</v>
      </c>
      <c r="E2141">
        <v>83</v>
      </c>
      <c r="F2141">
        <v>25</v>
      </c>
      <c r="G2141">
        <v>58</v>
      </c>
      <c r="H2141" t="s">
        <v>196</v>
      </c>
      <c r="I2141" t="s">
        <v>3490</v>
      </c>
      <c r="J2141" t="s">
        <v>2908</v>
      </c>
    </row>
    <row r="2142" spans="1:10" x14ac:dyDescent="0.25">
      <c r="A2142" t="s">
        <v>2522</v>
      </c>
      <c r="B2142" t="s">
        <v>95</v>
      </c>
      <c r="C2142">
        <v>4</v>
      </c>
      <c r="D2142" t="s">
        <v>3214</v>
      </c>
      <c r="E2142">
        <v>55</v>
      </c>
      <c r="F2142">
        <v>29</v>
      </c>
      <c r="G2142">
        <v>26</v>
      </c>
      <c r="H2142" t="s">
        <v>3493</v>
      </c>
      <c r="I2142" t="s">
        <v>3490</v>
      </c>
      <c r="J2142" t="s">
        <v>2889</v>
      </c>
    </row>
    <row r="2143" spans="1:10" x14ac:dyDescent="0.25">
      <c r="A2143" t="s">
        <v>2522</v>
      </c>
      <c r="B2143" t="s">
        <v>95</v>
      </c>
      <c r="C2143">
        <v>4</v>
      </c>
      <c r="D2143" t="s">
        <v>3216</v>
      </c>
      <c r="E2143">
        <v>75</v>
      </c>
      <c r="F2143">
        <v>29</v>
      </c>
      <c r="G2143">
        <v>46</v>
      </c>
      <c r="H2143" t="s">
        <v>3494</v>
      </c>
      <c r="I2143" t="s">
        <v>3490</v>
      </c>
      <c r="J2143" t="s">
        <v>2889</v>
      </c>
    </row>
    <row r="2144" spans="1:10" x14ac:dyDescent="0.25">
      <c r="A2144" t="s">
        <v>2522</v>
      </c>
      <c r="B2144" t="s">
        <v>95</v>
      </c>
      <c r="C2144">
        <v>4</v>
      </c>
      <c r="D2144" t="s">
        <v>3218</v>
      </c>
      <c r="E2144">
        <v>74</v>
      </c>
      <c r="F2144">
        <v>14</v>
      </c>
      <c r="G2144">
        <v>60</v>
      </c>
      <c r="H2144" t="s">
        <v>3494</v>
      </c>
      <c r="I2144" t="s">
        <v>3490</v>
      </c>
      <c r="J2144" t="s">
        <v>2889</v>
      </c>
    </row>
    <row r="2145" spans="1:10" x14ac:dyDescent="0.25">
      <c r="A2145" t="s">
        <v>2522</v>
      </c>
      <c r="B2145" t="s">
        <v>95</v>
      </c>
      <c r="C2145">
        <v>4</v>
      </c>
      <c r="D2145" t="s">
        <v>3220</v>
      </c>
      <c r="E2145">
        <v>83</v>
      </c>
      <c r="F2145">
        <v>17</v>
      </c>
      <c r="G2145">
        <v>66</v>
      </c>
      <c r="H2145" t="s">
        <v>196</v>
      </c>
      <c r="I2145" t="s">
        <v>3490</v>
      </c>
      <c r="J2145" t="s">
        <v>2889</v>
      </c>
    </row>
    <row r="2146" spans="1:10" x14ac:dyDescent="0.25">
      <c r="A2146" t="s">
        <v>2522</v>
      </c>
      <c r="B2146" t="s">
        <v>95</v>
      </c>
      <c r="C2146">
        <v>4</v>
      </c>
      <c r="D2146" t="s">
        <v>3222</v>
      </c>
      <c r="E2146">
        <v>84</v>
      </c>
      <c r="F2146">
        <v>19</v>
      </c>
      <c r="G2146">
        <v>65</v>
      </c>
      <c r="H2146" t="s">
        <v>196</v>
      </c>
      <c r="I2146" t="s">
        <v>3490</v>
      </c>
      <c r="J2146" t="s">
        <v>2889</v>
      </c>
    </row>
    <row r="2147" spans="1:10" x14ac:dyDescent="0.25">
      <c r="A2147" t="s">
        <v>2527</v>
      </c>
      <c r="B2147" t="s">
        <v>95</v>
      </c>
      <c r="C2147">
        <v>4</v>
      </c>
      <c r="D2147" t="s">
        <v>3214</v>
      </c>
      <c r="E2147">
        <v>74</v>
      </c>
      <c r="F2147">
        <v>12</v>
      </c>
      <c r="G2147">
        <v>62</v>
      </c>
      <c r="H2147" t="s">
        <v>3494</v>
      </c>
      <c r="I2147" t="s">
        <v>3490</v>
      </c>
      <c r="J2147" t="s">
        <v>2889</v>
      </c>
    </row>
    <row r="2148" spans="1:10" x14ac:dyDescent="0.25">
      <c r="A2148" t="s">
        <v>2527</v>
      </c>
      <c r="B2148" t="s">
        <v>95</v>
      </c>
      <c r="C2148">
        <v>4</v>
      </c>
      <c r="D2148" t="s">
        <v>3216</v>
      </c>
      <c r="E2148">
        <v>85</v>
      </c>
      <c r="F2148">
        <v>29</v>
      </c>
      <c r="G2148">
        <v>56</v>
      </c>
      <c r="H2148" t="s">
        <v>196</v>
      </c>
      <c r="I2148" t="s">
        <v>3490</v>
      </c>
      <c r="J2148" t="s">
        <v>2889</v>
      </c>
    </row>
    <row r="2149" spans="1:10" x14ac:dyDescent="0.25">
      <c r="A2149" t="s">
        <v>2527</v>
      </c>
      <c r="B2149" t="s">
        <v>95</v>
      </c>
      <c r="C2149">
        <v>4</v>
      </c>
      <c r="D2149" t="s">
        <v>3218</v>
      </c>
      <c r="E2149">
        <v>58</v>
      </c>
      <c r="F2149">
        <v>22</v>
      </c>
      <c r="G2149">
        <v>36</v>
      </c>
      <c r="H2149" t="s">
        <v>3493</v>
      </c>
      <c r="I2149" t="s">
        <v>3490</v>
      </c>
      <c r="J2149" t="s">
        <v>2889</v>
      </c>
    </row>
    <row r="2150" spans="1:10" x14ac:dyDescent="0.25">
      <c r="A2150" t="s">
        <v>2527</v>
      </c>
      <c r="B2150" t="s">
        <v>95</v>
      </c>
      <c r="C2150">
        <v>4</v>
      </c>
      <c r="D2150" t="s">
        <v>3220</v>
      </c>
      <c r="E2150">
        <v>49</v>
      </c>
      <c r="F2150">
        <v>17</v>
      </c>
      <c r="G2150">
        <v>32</v>
      </c>
      <c r="H2150" t="s">
        <v>3491</v>
      </c>
      <c r="I2150" t="s">
        <v>3492</v>
      </c>
      <c r="J2150" t="s">
        <v>2889</v>
      </c>
    </row>
    <row r="2151" spans="1:10" x14ac:dyDescent="0.25">
      <c r="A2151" t="s">
        <v>2527</v>
      </c>
      <c r="B2151" t="s">
        <v>95</v>
      </c>
      <c r="C2151">
        <v>4</v>
      </c>
      <c r="D2151" t="s">
        <v>3222</v>
      </c>
      <c r="E2151">
        <v>68</v>
      </c>
      <c r="F2151">
        <v>27</v>
      </c>
      <c r="G2151">
        <v>41</v>
      </c>
      <c r="H2151" t="s">
        <v>3489</v>
      </c>
      <c r="I2151" t="s">
        <v>3490</v>
      </c>
      <c r="J2151" t="s">
        <v>2889</v>
      </c>
    </row>
    <row r="2152" spans="1:10" x14ac:dyDescent="0.25">
      <c r="A2152" t="s">
        <v>2532</v>
      </c>
      <c r="B2152" t="s">
        <v>75</v>
      </c>
      <c r="C2152">
        <v>6</v>
      </c>
      <c r="D2152" t="s">
        <v>3054</v>
      </c>
      <c r="E2152">
        <v>45</v>
      </c>
      <c r="F2152">
        <v>17</v>
      </c>
      <c r="G2152">
        <v>28</v>
      </c>
      <c r="H2152" t="s">
        <v>3491</v>
      </c>
      <c r="I2152" t="s">
        <v>3492</v>
      </c>
      <c r="J2152" t="s">
        <v>2961</v>
      </c>
    </row>
    <row r="2153" spans="1:10" x14ac:dyDescent="0.25">
      <c r="A2153" t="s">
        <v>2532</v>
      </c>
      <c r="B2153" t="s">
        <v>75</v>
      </c>
      <c r="C2153">
        <v>6</v>
      </c>
      <c r="D2153" t="s">
        <v>3056</v>
      </c>
      <c r="E2153">
        <v>68</v>
      </c>
      <c r="F2153">
        <v>19</v>
      </c>
      <c r="G2153">
        <v>49</v>
      </c>
      <c r="H2153" t="s">
        <v>3489</v>
      </c>
      <c r="I2153" t="s">
        <v>3490</v>
      </c>
      <c r="J2153" t="s">
        <v>2961</v>
      </c>
    </row>
    <row r="2154" spans="1:10" x14ac:dyDescent="0.25">
      <c r="A2154" t="s">
        <v>2532</v>
      </c>
      <c r="B2154" t="s">
        <v>75</v>
      </c>
      <c r="C2154">
        <v>6</v>
      </c>
      <c r="D2154" t="s">
        <v>3058</v>
      </c>
      <c r="E2154">
        <v>58</v>
      </c>
      <c r="F2154">
        <v>15</v>
      </c>
      <c r="G2154">
        <v>43</v>
      </c>
      <c r="H2154" t="s">
        <v>3493</v>
      </c>
      <c r="I2154" t="s">
        <v>3490</v>
      </c>
      <c r="J2154" t="s">
        <v>2961</v>
      </c>
    </row>
    <row r="2155" spans="1:10" x14ac:dyDescent="0.25">
      <c r="A2155" t="s">
        <v>2532</v>
      </c>
      <c r="B2155" t="s">
        <v>75</v>
      </c>
      <c r="C2155">
        <v>6</v>
      </c>
      <c r="D2155" t="s">
        <v>3060</v>
      </c>
      <c r="E2155">
        <v>54</v>
      </c>
      <c r="F2155">
        <v>11</v>
      </c>
      <c r="G2155">
        <v>43</v>
      </c>
      <c r="H2155" t="s">
        <v>3493</v>
      </c>
      <c r="I2155" t="s">
        <v>3490</v>
      </c>
      <c r="J2155" t="s">
        <v>2961</v>
      </c>
    </row>
    <row r="2156" spans="1:10" x14ac:dyDescent="0.25">
      <c r="A2156" t="s">
        <v>2532</v>
      </c>
      <c r="B2156" t="s">
        <v>75</v>
      </c>
      <c r="C2156">
        <v>6</v>
      </c>
      <c r="D2156" t="s">
        <v>3062</v>
      </c>
      <c r="E2156">
        <v>62</v>
      </c>
      <c r="F2156">
        <v>27</v>
      </c>
      <c r="G2156">
        <v>35</v>
      </c>
      <c r="H2156" t="s">
        <v>3489</v>
      </c>
      <c r="I2156" t="s">
        <v>3490</v>
      </c>
      <c r="J2156" t="s">
        <v>2961</v>
      </c>
    </row>
    <row r="2157" spans="1:10" x14ac:dyDescent="0.25">
      <c r="A2157" t="s">
        <v>2537</v>
      </c>
      <c r="B2157" t="s">
        <v>30</v>
      </c>
      <c r="C2157">
        <v>8</v>
      </c>
      <c r="D2157" t="s">
        <v>3354</v>
      </c>
      <c r="E2157">
        <v>52</v>
      </c>
      <c r="F2157">
        <v>17</v>
      </c>
      <c r="G2157">
        <v>35</v>
      </c>
      <c r="H2157" t="s">
        <v>3493</v>
      </c>
      <c r="I2157" t="s">
        <v>3490</v>
      </c>
      <c r="J2157" t="s">
        <v>2895</v>
      </c>
    </row>
    <row r="2158" spans="1:10" x14ac:dyDescent="0.25">
      <c r="A2158" t="s">
        <v>2537</v>
      </c>
      <c r="B2158" t="s">
        <v>30</v>
      </c>
      <c r="C2158">
        <v>8</v>
      </c>
      <c r="D2158" t="s">
        <v>3356</v>
      </c>
      <c r="E2158">
        <v>50</v>
      </c>
      <c r="F2158">
        <v>18</v>
      </c>
      <c r="G2158">
        <v>32</v>
      </c>
      <c r="H2158" t="s">
        <v>3493</v>
      </c>
      <c r="I2158" t="s">
        <v>3490</v>
      </c>
      <c r="J2158" t="s">
        <v>2895</v>
      </c>
    </row>
    <row r="2159" spans="1:10" x14ac:dyDescent="0.25">
      <c r="A2159" t="s">
        <v>2537</v>
      </c>
      <c r="B2159" t="s">
        <v>30</v>
      </c>
      <c r="C2159">
        <v>8</v>
      </c>
      <c r="D2159" t="s">
        <v>3358</v>
      </c>
      <c r="E2159">
        <v>75</v>
      </c>
      <c r="F2159">
        <v>11</v>
      </c>
      <c r="G2159">
        <v>64</v>
      </c>
      <c r="H2159" t="s">
        <v>3494</v>
      </c>
      <c r="I2159" t="s">
        <v>3490</v>
      </c>
      <c r="J2159" t="s">
        <v>2895</v>
      </c>
    </row>
    <row r="2160" spans="1:10" x14ac:dyDescent="0.25">
      <c r="A2160" t="s">
        <v>2537</v>
      </c>
      <c r="B2160" t="s">
        <v>30</v>
      </c>
      <c r="C2160">
        <v>8</v>
      </c>
      <c r="D2160" t="s">
        <v>3360</v>
      </c>
      <c r="E2160">
        <v>41</v>
      </c>
      <c r="F2160">
        <v>17</v>
      </c>
      <c r="G2160">
        <v>24</v>
      </c>
      <c r="H2160" t="s">
        <v>3491</v>
      </c>
      <c r="I2160" t="s">
        <v>3492</v>
      </c>
      <c r="J2160" t="s">
        <v>2895</v>
      </c>
    </row>
    <row r="2161" spans="1:10" x14ac:dyDescent="0.25">
      <c r="A2161" t="s">
        <v>2537</v>
      </c>
      <c r="B2161" t="s">
        <v>30</v>
      </c>
      <c r="C2161">
        <v>8</v>
      </c>
      <c r="D2161" t="s">
        <v>3362</v>
      </c>
      <c r="E2161">
        <v>77</v>
      </c>
      <c r="F2161">
        <v>12</v>
      </c>
      <c r="G2161">
        <v>65</v>
      </c>
      <c r="H2161" t="s">
        <v>3494</v>
      </c>
      <c r="I2161" t="s">
        <v>3490</v>
      </c>
      <c r="J2161" t="s">
        <v>2895</v>
      </c>
    </row>
    <row r="2162" spans="1:10" x14ac:dyDescent="0.25">
      <c r="A2162" t="s">
        <v>2542</v>
      </c>
      <c r="B2162" t="s">
        <v>63</v>
      </c>
      <c r="C2162">
        <v>8</v>
      </c>
      <c r="D2162" t="s">
        <v>3414</v>
      </c>
      <c r="E2162">
        <v>83</v>
      </c>
      <c r="F2162">
        <v>21</v>
      </c>
      <c r="G2162">
        <v>62</v>
      </c>
      <c r="H2162" t="s">
        <v>196</v>
      </c>
      <c r="I2162" t="s">
        <v>3490</v>
      </c>
      <c r="J2162" t="s">
        <v>2932</v>
      </c>
    </row>
    <row r="2163" spans="1:10" x14ac:dyDescent="0.25">
      <c r="A2163" t="s">
        <v>2542</v>
      </c>
      <c r="B2163" t="s">
        <v>63</v>
      </c>
      <c r="C2163">
        <v>8</v>
      </c>
      <c r="D2163" t="s">
        <v>3416</v>
      </c>
      <c r="E2163">
        <v>77</v>
      </c>
      <c r="F2163">
        <v>26</v>
      </c>
      <c r="G2163">
        <v>51</v>
      </c>
      <c r="H2163" t="s">
        <v>3494</v>
      </c>
      <c r="I2163" t="s">
        <v>3490</v>
      </c>
      <c r="J2163" t="s">
        <v>2932</v>
      </c>
    </row>
    <row r="2164" spans="1:10" x14ac:dyDescent="0.25">
      <c r="A2164" t="s">
        <v>2542</v>
      </c>
      <c r="B2164" t="s">
        <v>63</v>
      </c>
      <c r="C2164">
        <v>8</v>
      </c>
      <c r="D2164" t="s">
        <v>3418</v>
      </c>
      <c r="E2164">
        <v>43</v>
      </c>
      <c r="F2164">
        <v>22</v>
      </c>
      <c r="G2164">
        <v>21</v>
      </c>
      <c r="H2164" t="s">
        <v>3491</v>
      </c>
      <c r="I2164" t="s">
        <v>3492</v>
      </c>
      <c r="J2164" t="s">
        <v>2932</v>
      </c>
    </row>
    <row r="2165" spans="1:10" x14ac:dyDescent="0.25">
      <c r="A2165" t="s">
        <v>2542</v>
      </c>
      <c r="B2165" t="s">
        <v>63</v>
      </c>
      <c r="C2165">
        <v>8</v>
      </c>
      <c r="D2165" t="s">
        <v>3420</v>
      </c>
      <c r="E2165">
        <v>87</v>
      </c>
      <c r="F2165">
        <v>21</v>
      </c>
      <c r="G2165">
        <v>66</v>
      </c>
      <c r="H2165" t="s">
        <v>196</v>
      </c>
      <c r="I2165" t="s">
        <v>3490</v>
      </c>
      <c r="J2165" t="s">
        <v>2932</v>
      </c>
    </row>
    <row r="2166" spans="1:10" x14ac:dyDescent="0.25">
      <c r="A2166" t="s">
        <v>2542</v>
      </c>
      <c r="B2166" t="s">
        <v>63</v>
      </c>
      <c r="C2166">
        <v>8</v>
      </c>
      <c r="D2166" t="s">
        <v>3422</v>
      </c>
      <c r="E2166">
        <v>61</v>
      </c>
      <c r="F2166">
        <v>18</v>
      </c>
      <c r="G2166">
        <v>43</v>
      </c>
      <c r="H2166" t="s">
        <v>3489</v>
      </c>
      <c r="I2166" t="s">
        <v>3490</v>
      </c>
      <c r="J2166" t="s">
        <v>2932</v>
      </c>
    </row>
    <row r="2167" spans="1:10" x14ac:dyDescent="0.25">
      <c r="A2167" t="s">
        <v>2547</v>
      </c>
      <c r="B2167" t="s">
        <v>95</v>
      </c>
      <c r="C2167">
        <v>4</v>
      </c>
      <c r="D2167" t="s">
        <v>3214</v>
      </c>
      <c r="E2167">
        <v>93</v>
      </c>
      <c r="F2167">
        <v>24</v>
      </c>
      <c r="G2167">
        <v>69</v>
      </c>
      <c r="H2167" t="s">
        <v>3495</v>
      </c>
      <c r="I2167" t="s">
        <v>3490</v>
      </c>
      <c r="J2167" t="s">
        <v>2889</v>
      </c>
    </row>
    <row r="2168" spans="1:10" x14ac:dyDescent="0.25">
      <c r="A2168" t="s">
        <v>2547</v>
      </c>
      <c r="B2168" t="s">
        <v>95</v>
      </c>
      <c r="C2168">
        <v>4</v>
      </c>
      <c r="D2168" t="s">
        <v>3216</v>
      </c>
      <c r="E2168">
        <v>86</v>
      </c>
      <c r="F2168">
        <v>22</v>
      </c>
      <c r="G2168">
        <v>64</v>
      </c>
      <c r="H2168" t="s">
        <v>196</v>
      </c>
      <c r="I2168" t="s">
        <v>3490</v>
      </c>
      <c r="J2168" t="s">
        <v>2889</v>
      </c>
    </row>
    <row r="2169" spans="1:10" x14ac:dyDescent="0.25">
      <c r="A2169" t="s">
        <v>2547</v>
      </c>
      <c r="B2169" t="s">
        <v>95</v>
      </c>
      <c r="C2169">
        <v>4</v>
      </c>
      <c r="D2169" t="s">
        <v>3218</v>
      </c>
      <c r="E2169">
        <v>91</v>
      </c>
      <c r="F2169">
        <v>28</v>
      </c>
      <c r="G2169">
        <v>63</v>
      </c>
      <c r="H2169" t="s">
        <v>3495</v>
      </c>
      <c r="I2169" t="s">
        <v>3490</v>
      </c>
      <c r="J2169" t="s">
        <v>2889</v>
      </c>
    </row>
    <row r="2170" spans="1:10" x14ac:dyDescent="0.25">
      <c r="A2170" t="s">
        <v>2547</v>
      </c>
      <c r="B2170" t="s">
        <v>95</v>
      </c>
      <c r="C2170">
        <v>4</v>
      </c>
      <c r="D2170" t="s">
        <v>3220</v>
      </c>
      <c r="E2170">
        <v>69</v>
      </c>
      <c r="F2170">
        <v>18</v>
      </c>
      <c r="G2170">
        <v>51</v>
      </c>
      <c r="H2170" t="s">
        <v>3489</v>
      </c>
      <c r="I2170" t="s">
        <v>3490</v>
      </c>
      <c r="J2170" t="s">
        <v>2889</v>
      </c>
    </row>
    <row r="2171" spans="1:10" x14ac:dyDescent="0.25">
      <c r="A2171" t="s">
        <v>2547</v>
      </c>
      <c r="B2171" t="s">
        <v>95</v>
      </c>
      <c r="C2171">
        <v>4</v>
      </c>
      <c r="D2171" t="s">
        <v>3222</v>
      </c>
      <c r="E2171">
        <v>90</v>
      </c>
      <c r="F2171">
        <v>20</v>
      </c>
      <c r="G2171">
        <v>70</v>
      </c>
      <c r="H2171" t="s">
        <v>3495</v>
      </c>
      <c r="I2171" t="s">
        <v>3490</v>
      </c>
      <c r="J2171" t="s">
        <v>2889</v>
      </c>
    </row>
    <row r="2172" spans="1:10" x14ac:dyDescent="0.25">
      <c r="A2172" t="s">
        <v>2552</v>
      </c>
      <c r="B2172" t="s">
        <v>212</v>
      </c>
      <c r="C2172">
        <v>6</v>
      </c>
      <c r="D2172" t="s">
        <v>3474</v>
      </c>
      <c r="E2172">
        <v>69</v>
      </c>
      <c r="F2172">
        <v>24</v>
      </c>
      <c r="G2172">
        <v>45</v>
      </c>
      <c r="H2172" t="s">
        <v>3489</v>
      </c>
      <c r="I2172" t="s">
        <v>3490</v>
      </c>
      <c r="J2172" t="s">
        <v>3001</v>
      </c>
    </row>
    <row r="2173" spans="1:10" x14ac:dyDescent="0.25">
      <c r="A2173" t="s">
        <v>2552</v>
      </c>
      <c r="B2173" t="s">
        <v>212</v>
      </c>
      <c r="C2173">
        <v>6</v>
      </c>
      <c r="D2173" t="s">
        <v>3476</v>
      </c>
      <c r="E2173">
        <v>93</v>
      </c>
      <c r="F2173">
        <v>28</v>
      </c>
      <c r="G2173">
        <v>65</v>
      </c>
      <c r="H2173" t="s">
        <v>3495</v>
      </c>
      <c r="I2173" t="s">
        <v>3490</v>
      </c>
      <c r="J2173" t="s">
        <v>3001</v>
      </c>
    </row>
    <row r="2174" spans="1:10" x14ac:dyDescent="0.25">
      <c r="A2174" t="s">
        <v>2552</v>
      </c>
      <c r="B2174" t="s">
        <v>212</v>
      </c>
      <c r="C2174">
        <v>6</v>
      </c>
      <c r="D2174" t="s">
        <v>3478</v>
      </c>
      <c r="E2174">
        <v>84</v>
      </c>
      <c r="F2174">
        <v>18</v>
      </c>
      <c r="G2174">
        <v>66</v>
      </c>
      <c r="H2174" t="s">
        <v>196</v>
      </c>
      <c r="I2174" t="s">
        <v>3490</v>
      </c>
      <c r="J2174" t="s">
        <v>3001</v>
      </c>
    </row>
    <row r="2175" spans="1:10" x14ac:dyDescent="0.25">
      <c r="A2175" t="s">
        <v>2552</v>
      </c>
      <c r="B2175" t="s">
        <v>212</v>
      </c>
      <c r="C2175">
        <v>6</v>
      </c>
      <c r="D2175" t="s">
        <v>3480</v>
      </c>
      <c r="E2175">
        <v>71</v>
      </c>
      <c r="F2175">
        <v>30</v>
      </c>
      <c r="G2175">
        <v>41</v>
      </c>
      <c r="H2175" t="s">
        <v>3494</v>
      </c>
      <c r="I2175" t="s">
        <v>3490</v>
      </c>
      <c r="J2175" t="s">
        <v>3001</v>
      </c>
    </row>
    <row r="2176" spans="1:10" x14ac:dyDescent="0.25">
      <c r="A2176" t="s">
        <v>2552</v>
      </c>
      <c r="B2176" t="s">
        <v>212</v>
      </c>
      <c r="C2176">
        <v>6</v>
      </c>
      <c r="D2176" t="s">
        <v>3482</v>
      </c>
      <c r="E2176">
        <v>59</v>
      </c>
      <c r="F2176">
        <v>16</v>
      </c>
      <c r="G2176">
        <v>43</v>
      </c>
      <c r="H2176" t="s">
        <v>3493</v>
      </c>
      <c r="I2176" t="s">
        <v>3490</v>
      </c>
      <c r="J2176" t="s">
        <v>3001</v>
      </c>
    </row>
    <row r="2177" spans="1:10" x14ac:dyDescent="0.25">
      <c r="A2177" t="s">
        <v>2557</v>
      </c>
      <c r="B2177" t="s">
        <v>105</v>
      </c>
      <c r="C2177">
        <v>8</v>
      </c>
      <c r="D2177" t="s">
        <v>3174</v>
      </c>
      <c r="E2177">
        <v>64</v>
      </c>
      <c r="F2177">
        <v>17</v>
      </c>
      <c r="G2177">
        <v>47</v>
      </c>
      <c r="H2177" t="s">
        <v>3489</v>
      </c>
      <c r="I2177" t="s">
        <v>3490</v>
      </c>
      <c r="J2177" t="s">
        <v>2908</v>
      </c>
    </row>
    <row r="2178" spans="1:10" x14ac:dyDescent="0.25">
      <c r="A2178" t="s">
        <v>2557</v>
      </c>
      <c r="B2178" t="s">
        <v>105</v>
      </c>
      <c r="C2178">
        <v>8</v>
      </c>
      <c r="D2178" t="s">
        <v>3176</v>
      </c>
      <c r="E2178">
        <v>77</v>
      </c>
      <c r="F2178">
        <v>21</v>
      </c>
      <c r="G2178">
        <v>56</v>
      </c>
      <c r="H2178" t="s">
        <v>3494</v>
      </c>
      <c r="I2178" t="s">
        <v>3490</v>
      </c>
      <c r="J2178" t="s">
        <v>2908</v>
      </c>
    </row>
    <row r="2179" spans="1:10" x14ac:dyDescent="0.25">
      <c r="A2179" t="s">
        <v>2557</v>
      </c>
      <c r="B2179" t="s">
        <v>105</v>
      </c>
      <c r="C2179">
        <v>8</v>
      </c>
      <c r="D2179" t="s">
        <v>3178</v>
      </c>
      <c r="E2179">
        <v>62</v>
      </c>
      <c r="F2179">
        <v>25</v>
      </c>
      <c r="G2179">
        <v>37</v>
      </c>
      <c r="H2179" t="s">
        <v>3489</v>
      </c>
      <c r="I2179" t="s">
        <v>3490</v>
      </c>
      <c r="J2179" t="s">
        <v>2908</v>
      </c>
    </row>
    <row r="2180" spans="1:10" x14ac:dyDescent="0.25">
      <c r="A2180" t="s">
        <v>2557</v>
      </c>
      <c r="B2180" t="s">
        <v>105</v>
      </c>
      <c r="C2180">
        <v>8</v>
      </c>
      <c r="D2180" t="s">
        <v>3180</v>
      </c>
      <c r="E2180">
        <v>66</v>
      </c>
      <c r="F2180">
        <v>22</v>
      </c>
      <c r="G2180">
        <v>44</v>
      </c>
      <c r="H2180" t="s">
        <v>3489</v>
      </c>
      <c r="I2180" t="s">
        <v>3490</v>
      </c>
      <c r="J2180" t="s">
        <v>2908</v>
      </c>
    </row>
    <row r="2181" spans="1:10" x14ac:dyDescent="0.25">
      <c r="A2181" t="s">
        <v>2557</v>
      </c>
      <c r="B2181" t="s">
        <v>105</v>
      </c>
      <c r="C2181">
        <v>8</v>
      </c>
      <c r="D2181" t="s">
        <v>3182</v>
      </c>
      <c r="E2181">
        <v>98</v>
      </c>
      <c r="F2181">
        <v>29</v>
      </c>
      <c r="G2181">
        <v>69</v>
      </c>
      <c r="H2181" t="s">
        <v>3495</v>
      </c>
      <c r="I2181" t="s">
        <v>3490</v>
      </c>
      <c r="J2181" t="s">
        <v>2908</v>
      </c>
    </row>
    <row r="2182" spans="1:10" x14ac:dyDescent="0.25">
      <c r="A2182" t="s">
        <v>2562</v>
      </c>
      <c r="B2182" t="s">
        <v>212</v>
      </c>
      <c r="C2182">
        <v>8</v>
      </c>
      <c r="D2182" t="s">
        <v>3474</v>
      </c>
      <c r="E2182">
        <v>70</v>
      </c>
      <c r="F2182">
        <v>26</v>
      </c>
      <c r="G2182">
        <v>44</v>
      </c>
      <c r="H2182" t="s">
        <v>3494</v>
      </c>
      <c r="I2182" t="s">
        <v>3490</v>
      </c>
      <c r="J2182" t="s">
        <v>3001</v>
      </c>
    </row>
    <row r="2183" spans="1:10" x14ac:dyDescent="0.25">
      <c r="A2183" t="s">
        <v>2562</v>
      </c>
      <c r="B2183" t="s">
        <v>212</v>
      </c>
      <c r="C2183">
        <v>8</v>
      </c>
      <c r="D2183" t="s">
        <v>3476</v>
      </c>
      <c r="E2183">
        <v>59</v>
      </c>
      <c r="F2183">
        <v>12</v>
      </c>
      <c r="G2183">
        <v>47</v>
      </c>
      <c r="H2183" t="s">
        <v>3493</v>
      </c>
      <c r="I2183" t="s">
        <v>3490</v>
      </c>
      <c r="J2183" t="s">
        <v>3001</v>
      </c>
    </row>
    <row r="2184" spans="1:10" x14ac:dyDescent="0.25">
      <c r="A2184" t="s">
        <v>2562</v>
      </c>
      <c r="B2184" t="s">
        <v>212</v>
      </c>
      <c r="C2184">
        <v>8</v>
      </c>
      <c r="D2184" t="s">
        <v>3478</v>
      </c>
      <c r="E2184">
        <v>53</v>
      </c>
      <c r="F2184">
        <v>16</v>
      </c>
      <c r="G2184">
        <v>37</v>
      </c>
      <c r="H2184" t="s">
        <v>3493</v>
      </c>
      <c r="I2184" t="s">
        <v>3490</v>
      </c>
      <c r="J2184" t="s">
        <v>3001</v>
      </c>
    </row>
    <row r="2185" spans="1:10" x14ac:dyDescent="0.25">
      <c r="A2185" t="s">
        <v>2562</v>
      </c>
      <c r="B2185" t="s">
        <v>212</v>
      </c>
      <c r="C2185">
        <v>8</v>
      </c>
      <c r="D2185" t="s">
        <v>3480</v>
      </c>
      <c r="E2185">
        <v>39</v>
      </c>
      <c r="F2185">
        <v>14</v>
      </c>
      <c r="G2185">
        <v>25</v>
      </c>
      <c r="H2185" t="s">
        <v>3491</v>
      </c>
      <c r="I2185" t="s">
        <v>3492</v>
      </c>
      <c r="J2185" t="s">
        <v>3001</v>
      </c>
    </row>
    <row r="2186" spans="1:10" x14ac:dyDescent="0.25">
      <c r="A2186" t="s">
        <v>2562</v>
      </c>
      <c r="B2186" t="s">
        <v>212</v>
      </c>
      <c r="C2186">
        <v>8</v>
      </c>
      <c r="D2186" t="s">
        <v>3482</v>
      </c>
      <c r="E2186">
        <v>56</v>
      </c>
      <c r="F2186">
        <v>15</v>
      </c>
      <c r="G2186">
        <v>41</v>
      </c>
      <c r="H2186" t="s">
        <v>3493</v>
      </c>
      <c r="I2186" t="s">
        <v>3490</v>
      </c>
      <c r="J2186" t="s">
        <v>3001</v>
      </c>
    </row>
    <row r="2187" spans="1:10" x14ac:dyDescent="0.25">
      <c r="A2187" t="s">
        <v>2567</v>
      </c>
      <c r="B2187" t="s">
        <v>30</v>
      </c>
      <c r="C2187">
        <v>6</v>
      </c>
      <c r="D2187" t="s">
        <v>3354</v>
      </c>
      <c r="E2187">
        <v>62</v>
      </c>
      <c r="F2187">
        <v>19</v>
      </c>
      <c r="G2187">
        <v>43</v>
      </c>
      <c r="H2187" t="s">
        <v>3489</v>
      </c>
      <c r="I2187" t="s">
        <v>3490</v>
      </c>
      <c r="J2187" t="s">
        <v>2895</v>
      </c>
    </row>
    <row r="2188" spans="1:10" x14ac:dyDescent="0.25">
      <c r="A2188" t="s">
        <v>2567</v>
      </c>
      <c r="B2188" t="s">
        <v>30</v>
      </c>
      <c r="C2188">
        <v>6</v>
      </c>
      <c r="D2188" t="s">
        <v>3356</v>
      </c>
      <c r="E2188">
        <v>64</v>
      </c>
      <c r="F2188">
        <v>10</v>
      </c>
      <c r="G2188">
        <v>54</v>
      </c>
      <c r="H2188" t="s">
        <v>3489</v>
      </c>
      <c r="I2188" t="s">
        <v>3490</v>
      </c>
      <c r="J2188" t="s">
        <v>2895</v>
      </c>
    </row>
    <row r="2189" spans="1:10" x14ac:dyDescent="0.25">
      <c r="A2189" t="s">
        <v>2567</v>
      </c>
      <c r="B2189" t="s">
        <v>30</v>
      </c>
      <c r="C2189">
        <v>6</v>
      </c>
      <c r="D2189" t="s">
        <v>3358</v>
      </c>
      <c r="E2189">
        <v>66</v>
      </c>
      <c r="F2189">
        <v>10</v>
      </c>
      <c r="G2189">
        <v>56</v>
      </c>
      <c r="H2189" t="s">
        <v>3489</v>
      </c>
      <c r="I2189" t="s">
        <v>3490</v>
      </c>
      <c r="J2189" t="s">
        <v>2895</v>
      </c>
    </row>
    <row r="2190" spans="1:10" x14ac:dyDescent="0.25">
      <c r="A2190" t="s">
        <v>2567</v>
      </c>
      <c r="B2190" t="s">
        <v>30</v>
      </c>
      <c r="C2190">
        <v>6</v>
      </c>
      <c r="D2190" t="s">
        <v>3360</v>
      </c>
      <c r="E2190">
        <v>79</v>
      </c>
      <c r="F2190">
        <v>20</v>
      </c>
      <c r="G2190">
        <v>59</v>
      </c>
      <c r="H2190" t="s">
        <v>3494</v>
      </c>
      <c r="I2190" t="s">
        <v>3490</v>
      </c>
      <c r="J2190" t="s">
        <v>2895</v>
      </c>
    </row>
    <row r="2191" spans="1:10" x14ac:dyDescent="0.25">
      <c r="A2191" t="s">
        <v>2567</v>
      </c>
      <c r="B2191" t="s">
        <v>30</v>
      </c>
      <c r="C2191">
        <v>6</v>
      </c>
      <c r="D2191" t="s">
        <v>3362</v>
      </c>
      <c r="E2191">
        <v>71</v>
      </c>
      <c r="F2191">
        <v>19</v>
      </c>
      <c r="G2191">
        <v>52</v>
      </c>
      <c r="H2191" t="s">
        <v>3494</v>
      </c>
      <c r="I2191" t="s">
        <v>3490</v>
      </c>
      <c r="J2191" t="s">
        <v>2895</v>
      </c>
    </row>
    <row r="2192" spans="1:10" x14ac:dyDescent="0.25">
      <c r="A2192" t="s">
        <v>2573</v>
      </c>
      <c r="B2192" t="s">
        <v>95</v>
      </c>
      <c r="C2192">
        <v>8</v>
      </c>
      <c r="D2192" t="s">
        <v>3234</v>
      </c>
      <c r="E2192">
        <v>53</v>
      </c>
      <c r="F2192">
        <v>12</v>
      </c>
      <c r="G2192">
        <v>41</v>
      </c>
      <c r="H2192" t="s">
        <v>3493</v>
      </c>
      <c r="I2192" t="s">
        <v>3490</v>
      </c>
      <c r="J2192" t="s">
        <v>2889</v>
      </c>
    </row>
    <row r="2193" spans="1:10" x14ac:dyDescent="0.25">
      <c r="A2193" t="s">
        <v>2573</v>
      </c>
      <c r="B2193" t="s">
        <v>95</v>
      </c>
      <c r="C2193">
        <v>8</v>
      </c>
      <c r="D2193" t="s">
        <v>3236</v>
      </c>
      <c r="E2193">
        <v>83</v>
      </c>
      <c r="F2193">
        <v>15</v>
      </c>
      <c r="G2193">
        <v>68</v>
      </c>
      <c r="H2193" t="s">
        <v>196</v>
      </c>
      <c r="I2193" t="s">
        <v>3490</v>
      </c>
      <c r="J2193" t="s">
        <v>2889</v>
      </c>
    </row>
    <row r="2194" spans="1:10" x14ac:dyDescent="0.25">
      <c r="A2194" t="s">
        <v>2573</v>
      </c>
      <c r="B2194" t="s">
        <v>95</v>
      </c>
      <c r="C2194">
        <v>8</v>
      </c>
      <c r="D2194" t="s">
        <v>3238</v>
      </c>
      <c r="E2194">
        <v>80</v>
      </c>
      <c r="F2194">
        <v>22</v>
      </c>
      <c r="G2194">
        <v>58</v>
      </c>
      <c r="H2194" t="s">
        <v>196</v>
      </c>
      <c r="I2194" t="s">
        <v>3490</v>
      </c>
      <c r="J2194" t="s">
        <v>2889</v>
      </c>
    </row>
    <row r="2195" spans="1:10" x14ac:dyDescent="0.25">
      <c r="A2195" t="s">
        <v>2573</v>
      </c>
      <c r="B2195" t="s">
        <v>95</v>
      </c>
      <c r="C2195">
        <v>8</v>
      </c>
      <c r="D2195" t="s">
        <v>3240</v>
      </c>
      <c r="E2195">
        <v>54</v>
      </c>
      <c r="F2195">
        <v>14</v>
      </c>
      <c r="G2195">
        <v>40</v>
      </c>
      <c r="H2195" t="s">
        <v>3493</v>
      </c>
      <c r="I2195" t="s">
        <v>3490</v>
      </c>
      <c r="J2195" t="s">
        <v>2889</v>
      </c>
    </row>
    <row r="2196" spans="1:10" x14ac:dyDescent="0.25">
      <c r="A2196" t="s">
        <v>2573</v>
      </c>
      <c r="B2196" t="s">
        <v>95</v>
      </c>
      <c r="C2196">
        <v>8</v>
      </c>
      <c r="D2196" t="s">
        <v>3242</v>
      </c>
      <c r="E2196">
        <v>77</v>
      </c>
      <c r="F2196">
        <v>21</v>
      </c>
      <c r="G2196">
        <v>56</v>
      </c>
      <c r="H2196" t="s">
        <v>3494</v>
      </c>
      <c r="I2196" t="s">
        <v>3490</v>
      </c>
      <c r="J2196" t="s">
        <v>2889</v>
      </c>
    </row>
    <row r="2197" spans="1:10" x14ac:dyDescent="0.25">
      <c r="A2197" t="s">
        <v>2578</v>
      </c>
      <c r="B2197" t="s">
        <v>159</v>
      </c>
      <c r="C2197">
        <v>8</v>
      </c>
      <c r="D2197" t="s">
        <v>3114</v>
      </c>
      <c r="E2197">
        <v>67</v>
      </c>
      <c r="F2197">
        <v>22</v>
      </c>
      <c r="G2197">
        <v>45</v>
      </c>
      <c r="H2197" t="s">
        <v>3489</v>
      </c>
      <c r="I2197" t="s">
        <v>3490</v>
      </c>
      <c r="J2197" t="s">
        <v>2902</v>
      </c>
    </row>
    <row r="2198" spans="1:10" x14ac:dyDescent="0.25">
      <c r="A2198" t="s">
        <v>2578</v>
      </c>
      <c r="B2198" t="s">
        <v>159</v>
      </c>
      <c r="C2198">
        <v>8</v>
      </c>
      <c r="D2198" t="s">
        <v>3116</v>
      </c>
      <c r="E2198">
        <v>67</v>
      </c>
      <c r="F2198">
        <v>19</v>
      </c>
      <c r="G2198">
        <v>48</v>
      </c>
      <c r="H2198" t="s">
        <v>3489</v>
      </c>
      <c r="I2198" t="s">
        <v>3490</v>
      </c>
      <c r="J2198" t="s">
        <v>2902</v>
      </c>
    </row>
    <row r="2199" spans="1:10" x14ac:dyDescent="0.25">
      <c r="A2199" t="s">
        <v>2578</v>
      </c>
      <c r="B2199" t="s">
        <v>159</v>
      </c>
      <c r="C2199">
        <v>8</v>
      </c>
      <c r="D2199" t="s">
        <v>3118</v>
      </c>
      <c r="E2199">
        <v>42</v>
      </c>
      <c r="F2199">
        <v>15</v>
      </c>
      <c r="G2199">
        <v>27</v>
      </c>
      <c r="H2199" t="s">
        <v>3491</v>
      </c>
      <c r="I2199" t="s">
        <v>3492</v>
      </c>
      <c r="J2199" t="s">
        <v>2902</v>
      </c>
    </row>
    <row r="2200" spans="1:10" x14ac:dyDescent="0.25">
      <c r="A2200" t="s">
        <v>2578</v>
      </c>
      <c r="B2200" t="s">
        <v>159</v>
      </c>
      <c r="C2200">
        <v>8</v>
      </c>
      <c r="D2200" t="s">
        <v>3120</v>
      </c>
      <c r="E2200">
        <v>37</v>
      </c>
      <c r="F2200">
        <v>17</v>
      </c>
      <c r="G2200">
        <v>20</v>
      </c>
      <c r="H2200" t="s">
        <v>3491</v>
      </c>
      <c r="I2200" t="s">
        <v>3492</v>
      </c>
      <c r="J2200" t="s">
        <v>2902</v>
      </c>
    </row>
    <row r="2201" spans="1:10" x14ac:dyDescent="0.25">
      <c r="A2201" t="s">
        <v>2578</v>
      </c>
      <c r="B2201" t="s">
        <v>159</v>
      </c>
      <c r="C2201">
        <v>8</v>
      </c>
      <c r="D2201" t="s">
        <v>3122</v>
      </c>
      <c r="E2201">
        <v>61</v>
      </c>
      <c r="F2201">
        <v>24</v>
      </c>
      <c r="G2201">
        <v>37</v>
      </c>
      <c r="H2201" t="s">
        <v>3489</v>
      </c>
      <c r="I2201" t="s">
        <v>3490</v>
      </c>
      <c r="J2201" t="s">
        <v>2902</v>
      </c>
    </row>
    <row r="2202" spans="1:10" x14ac:dyDescent="0.25">
      <c r="A2202" t="s">
        <v>2583</v>
      </c>
      <c r="B2202" t="s">
        <v>95</v>
      </c>
      <c r="C2202">
        <v>6</v>
      </c>
      <c r="D2202" t="s">
        <v>3234</v>
      </c>
      <c r="E2202">
        <v>49</v>
      </c>
      <c r="F2202">
        <v>14</v>
      </c>
      <c r="G2202">
        <v>35</v>
      </c>
      <c r="H2202" t="s">
        <v>3491</v>
      </c>
      <c r="I2202" t="s">
        <v>3492</v>
      </c>
      <c r="J2202" t="s">
        <v>2889</v>
      </c>
    </row>
    <row r="2203" spans="1:10" x14ac:dyDescent="0.25">
      <c r="A2203" t="s">
        <v>2583</v>
      </c>
      <c r="B2203" t="s">
        <v>95</v>
      </c>
      <c r="C2203">
        <v>6</v>
      </c>
      <c r="D2203" t="s">
        <v>3236</v>
      </c>
      <c r="E2203">
        <v>90</v>
      </c>
      <c r="F2203">
        <v>21</v>
      </c>
      <c r="G2203">
        <v>69</v>
      </c>
      <c r="H2203" t="s">
        <v>3495</v>
      </c>
      <c r="I2203" t="s">
        <v>3490</v>
      </c>
      <c r="J2203" t="s">
        <v>2889</v>
      </c>
    </row>
    <row r="2204" spans="1:10" x14ac:dyDescent="0.25">
      <c r="A2204" t="s">
        <v>2583</v>
      </c>
      <c r="B2204" t="s">
        <v>95</v>
      </c>
      <c r="C2204">
        <v>6</v>
      </c>
      <c r="D2204" t="s">
        <v>3238</v>
      </c>
      <c r="E2204">
        <v>55</v>
      </c>
      <c r="F2204">
        <v>28</v>
      </c>
      <c r="G2204">
        <v>27</v>
      </c>
      <c r="H2204" t="s">
        <v>3493</v>
      </c>
      <c r="I2204" t="s">
        <v>3490</v>
      </c>
      <c r="J2204" t="s">
        <v>2889</v>
      </c>
    </row>
    <row r="2205" spans="1:10" x14ac:dyDescent="0.25">
      <c r="A2205" t="s">
        <v>2583</v>
      </c>
      <c r="B2205" t="s">
        <v>95</v>
      </c>
      <c r="C2205">
        <v>6</v>
      </c>
      <c r="D2205" t="s">
        <v>3240</v>
      </c>
      <c r="E2205">
        <v>49</v>
      </c>
      <c r="F2205">
        <v>18</v>
      </c>
      <c r="G2205">
        <v>31</v>
      </c>
      <c r="H2205" t="s">
        <v>3491</v>
      </c>
      <c r="I2205" t="s">
        <v>3492</v>
      </c>
      <c r="J2205" t="s">
        <v>2889</v>
      </c>
    </row>
    <row r="2206" spans="1:10" x14ac:dyDescent="0.25">
      <c r="A2206" t="s">
        <v>2583</v>
      </c>
      <c r="B2206" t="s">
        <v>95</v>
      </c>
      <c r="C2206">
        <v>6</v>
      </c>
      <c r="D2206" t="s">
        <v>3242</v>
      </c>
      <c r="E2206">
        <v>49</v>
      </c>
      <c r="F2206">
        <v>22</v>
      </c>
      <c r="G2206">
        <v>27</v>
      </c>
      <c r="H2206" t="s">
        <v>3491</v>
      </c>
      <c r="I2206" t="s">
        <v>3492</v>
      </c>
      <c r="J2206" t="s">
        <v>2889</v>
      </c>
    </row>
    <row r="2207" spans="1:10" x14ac:dyDescent="0.25">
      <c r="A2207" t="s">
        <v>2588</v>
      </c>
      <c r="B2207" t="s">
        <v>105</v>
      </c>
      <c r="C2207">
        <v>4</v>
      </c>
      <c r="D2207" t="s">
        <v>3154</v>
      </c>
      <c r="E2207">
        <v>42</v>
      </c>
      <c r="F2207">
        <v>19</v>
      </c>
      <c r="G2207">
        <v>23</v>
      </c>
      <c r="H2207" t="s">
        <v>3491</v>
      </c>
      <c r="I2207" t="s">
        <v>3492</v>
      </c>
      <c r="J2207" t="s">
        <v>2908</v>
      </c>
    </row>
    <row r="2208" spans="1:10" x14ac:dyDescent="0.25">
      <c r="A2208" t="s">
        <v>2588</v>
      </c>
      <c r="B2208" t="s">
        <v>105</v>
      </c>
      <c r="C2208">
        <v>4</v>
      </c>
      <c r="D2208" t="s">
        <v>3156</v>
      </c>
      <c r="E2208">
        <v>79</v>
      </c>
      <c r="F2208">
        <v>18</v>
      </c>
      <c r="G2208">
        <v>61</v>
      </c>
      <c r="H2208" t="s">
        <v>3494</v>
      </c>
      <c r="I2208" t="s">
        <v>3490</v>
      </c>
      <c r="J2208" t="s">
        <v>2908</v>
      </c>
    </row>
    <row r="2209" spans="1:10" x14ac:dyDescent="0.25">
      <c r="A2209" t="s">
        <v>2588</v>
      </c>
      <c r="B2209" t="s">
        <v>105</v>
      </c>
      <c r="C2209">
        <v>4</v>
      </c>
      <c r="D2209" t="s">
        <v>3158</v>
      </c>
      <c r="E2209">
        <v>84</v>
      </c>
      <c r="F2209">
        <v>27</v>
      </c>
      <c r="G2209">
        <v>57</v>
      </c>
      <c r="H2209" t="s">
        <v>196</v>
      </c>
      <c r="I2209" t="s">
        <v>3490</v>
      </c>
      <c r="J2209" t="s">
        <v>2908</v>
      </c>
    </row>
    <row r="2210" spans="1:10" x14ac:dyDescent="0.25">
      <c r="A2210" t="s">
        <v>2588</v>
      </c>
      <c r="B2210" t="s">
        <v>105</v>
      </c>
      <c r="C2210">
        <v>4</v>
      </c>
      <c r="D2210" t="s">
        <v>3160</v>
      </c>
      <c r="E2210">
        <v>51</v>
      </c>
      <c r="F2210">
        <v>16</v>
      </c>
      <c r="G2210">
        <v>35</v>
      </c>
      <c r="H2210" t="s">
        <v>3493</v>
      </c>
      <c r="I2210" t="s">
        <v>3490</v>
      </c>
      <c r="J2210" t="s">
        <v>2908</v>
      </c>
    </row>
    <row r="2211" spans="1:10" x14ac:dyDescent="0.25">
      <c r="A2211" t="s">
        <v>2588</v>
      </c>
      <c r="B2211" t="s">
        <v>105</v>
      </c>
      <c r="C2211">
        <v>4</v>
      </c>
      <c r="D2211" t="s">
        <v>3162</v>
      </c>
      <c r="E2211">
        <v>61</v>
      </c>
      <c r="F2211">
        <v>15</v>
      </c>
      <c r="G2211">
        <v>46</v>
      </c>
      <c r="H2211" t="s">
        <v>3489</v>
      </c>
      <c r="I2211" t="s">
        <v>3490</v>
      </c>
      <c r="J2211" t="s">
        <v>2908</v>
      </c>
    </row>
    <row r="2212" spans="1:10" x14ac:dyDescent="0.25">
      <c r="A2212" t="s">
        <v>2592</v>
      </c>
      <c r="B2212" t="s">
        <v>30</v>
      </c>
      <c r="C2212">
        <v>8</v>
      </c>
      <c r="D2212" t="s">
        <v>3354</v>
      </c>
      <c r="E2212">
        <v>52</v>
      </c>
      <c r="F2212">
        <v>13</v>
      </c>
      <c r="G2212">
        <v>39</v>
      </c>
      <c r="H2212" t="s">
        <v>3493</v>
      </c>
      <c r="I2212" t="s">
        <v>3490</v>
      </c>
      <c r="J2212" t="s">
        <v>2895</v>
      </c>
    </row>
    <row r="2213" spans="1:10" x14ac:dyDescent="0.25">
      <c r="A2213" t="s">
        <v>2592</v>
      </c>
      <c r="B2213" t="s">
        <v>30</v>
      </c>
      <c r="C2213">
        <v>8</v>
      </c>
      <c r="D2213" t="s">
        <v>3356</v>
      </c>
      <c r="E2213">
        <v>59</v>
      </c>
      <c r="F2213">
        <v>20</v>
      </c>
      <c r="G2213">
        <v>39</v>
      </c>
      <c r="H2213" t="s">
        <v>3493</v>
      </c>
      <c r="I2213" t="s">
        <v>3490</v>
      </c>
      <c r="J2213" t="s">
        <v>2895</v>
      </c>
    </row>
    <row r="2214" spans="1:10" x14ac:dyDescent="0.25">
      <c r="A2214" t="s">
        <v>2592</v>
      </c>
      <c r="B2214" t="s">
        <v>30</v>
      </c>
      <c r="C2214">
        <v>8</v>
      </c>
      <c r="D2214" t="s">
        <v>3358</v>
      </c>
      <c r="E2214">
        <v>81</v>
      </c>
      <c r="F2214">
        <v>16</v>
      </c>
      <c r="G2214">
        <v>65</v>
      </c>
      <c r="H2214" t="s">
        <v>196</v>
      </c>
      <c r="I2214" t="s">
        <v>3490</v>
      </c>
      <c r="J2214" t="s">
        <v>2895</v>
      </c>
    </row>
    <row r="2215" spans="1:10" x14ac:dyDescent="0.25">
      <c r="A2215" t="s">
        <v>2592</v>
      </c>
      <c r="B2215" t="s">
        <v>30</v>
      </c>
      <c r="C2215">
        <v>8</v>
      </c>
      <c r="D2215" t="s">
        <v>3360</v>
      </c>
      <c r="E2215">
        <v>59</v>
      </c>
      <c r="F2215">
        <v>11</v>
      </c>
      <c r="G2215">
        <v>48</v>
      </c>
      <c r="H2215" t="s">
        <v>3493</v>
      </c>
      <c r="I2215" t="s">
        <v>3490</v>
      </c>
      <c r="J2215" t="s">
        <v>2895</v>
      </c>
    </row>
    <row r="2216" spans="1:10" x14ac:dyDescent="0.25">
      <c r="A2216" t="s">
        <v>2592</v>
      </c>
      <c r="B2216" t="s">
        <v>30</v>
      </c>
      <c r="C2216">
        <v>8</v>
      </c>
      <c r="D2216" t="s">
        <v>3362</v>
      </c>
      <c r="E2216">
        <v>74</v>
      </c>
      <c r="F2216">
        <v>28</v>
      </c>
      <c r="G2216">
        <v>46</v>
      </c>
      <c r="H2216" t="s">
        <v>3494</v>
      </c>
      <c r="I2216" t="s">
        <v>3490</v>
      </c>
      <c r="J2216" t="s">
        <v>2895</v>
      </c>
    </row>
    <row r="2217" spans="1:10" x14ac:dyDescent="0.25">
      <c r="A2217" t="s">
        <v>2597</v>
      </c>
      <c r="B2217" t="s">
        <v>30</v>
      </c>
      <c r="C2217">
        <v>8</v>
      </c>
      <c r="D2217" t="s">
        <v>3354</v>
      </c>
      <c r="E2217">
        <v>79</v>
      </c>
      <c r="F2217">
        <v>17</v>
      </c>
      <c r="G2217">
        <v>62</v>
      </c>
      <c r="H2217" t="s">
        <v>3494</v>
      </c>
      <c r="I2217" t="s">
        <v>3490</v>
      </c>
      <c r="J2217" t="s">
        <v>2895</v>
      </c>
    </row>
    <row r="2218" spans="1:10" x14ac:dyDescent="0.25">
      <c r="A2218" t="s">
        <v>2597</v>
      </c>
      <c r="B2218" t="s">
        <v>30</v>
      </c>
      <c r="C2218">
        <v>8</v>
      </c>
      <c r="D2218" t="s">
        <v>3356</v>
      </c>
      <c r="E2218">
        <v>58</v>
      </c>
      <c r="F2218">
        <v>24</v>
      </c>
      <c r="G2218">
        <v>34</v>
      </c>
      <c r="H2218" t="s">
        <v>3493</v>
      </c>
      <c r="I2218" t="s">
        <v>3490</v>
      </c>
      <c r="J2218" t="s">
        <v>2895</v>
      </c>
    </row>
    <row r="2219" spans="1:10" x14ac:dyDescent="0.25">
      <c r="A2219" t="s">
        <v>2597</v>
      </c>
      <c r="B2219" t="s">
        <v>30</v>
      </c>
      <c r="C2219">
        <v>8</v>
      </c>
      <c r="D2219" t="s">
        <v>3358</v>
      </c>
      <c r="E2219">
        <v>76</v>
      </c>
      <c r="F2219">
        <v>13</v>
      </c>
      <c r="G2219">
        <v>63</v>
      </c>
      <c r="H2219" t="s">
        <v>3494</v>
      </c>
      <c r="I2219" t="s">
        <v>3490</v>
      </c>
      <c r="J2219" t="s">
        <v>2895</v>
      </c>
    </row>
    <row r="2220" spans="1:10" x14ac:dyDescent="0.25">
      <c r="A2220" t="s">
        <v>2597</v>
      </c>
      <c r="B2220" t="s">
        <v>30</v>
      </c>
      <c r="C2220">
        <v>8</v>
      </c>
      <c r="D2220" t="s">
        <v>3360</v>
      </c>
      <c r="E2220">
        <v>31</v>
      </c>
      <c r="F2220">
        <v>10</v>
      </c>
      <c r="G2220">
        <v>21</v>
      </c>
      <c r="H2220" t="s">
        <v>3491</v>
      </c>
      <c r="I2220" t="s">
        <v>3492</v>
      </c>
      <c r="J2220" t="s">
        <v>2895</v>
      </c>
    </row>
    <row r="2221" spans="1:10" x14ac:dyDescent="0.25">
      <c r="A2221" t="s">
        <v>2597</v>
      </c>
      <c r="B2221" t="s">
        <v>30</v>
      </c>
      <c r="C2221">
        <v>8</v>
      </c>
      <c r="D2221" t="s">
        <v>3362</v>
      </c>
      <c r="E2221">
        <v>88</v>
      </c>
      <c r="F2221">
        <v>27</v>
      </c>
      <c r="G2221">
        <v>61</v>
      </c>
      <c r="H2221" t="s">
        <v>196</v>
      </c>
      <c r="I2221" t="s">
        <v>3490</v>
      </c>
      <c r="J2221" t="s">
        <v>2895</v>
      </c>
    </row>
    <row r="2222" spans="1:10" x14ac:dyDescent="0.25">
      <c r="A2222" t="s">
        <v>2602</v>
      </c>
      <c r="B2222" t="s">
        <v>75</v>
      </c>
      <c r="C2222">
        <v>8</v>
      </c>
      <c r="D2222" t="s">
        <v>3054</v>
      </c>
      <c r="E2222">
        <v>64</v>
      </c>
      <c r="F2222">
        <v>13</v>
      </c>
      <c r="G2222">
        <v>51</v>
      </c>
      <c r="H2222" t="s">
        <v>3489</v>
      </c>
      <c r="I2222" t="s">
        <v>3490</v>
      </c>
      <c r="J2222" t="s">
        <v>2961</v>
      </c>
    </row>
    <row r="2223" spans="1:10" x14ac:dyDescent="0.25">
      <c r="A2223" t="s">
        <v>2602</v>
      </c>
      <c r="B2223" t="s">
        <v>75</v>
      </c>
      <c r="C2223">
        <v>8</v>
      </c>
      <c r="D2223" t="s">
        <v>3056</v>
      </c>
      <c r="E2223">
        <v>68</v>
      </c>
      <c r="F2223">
        <v>26</v>
      </c>
      <c r="G2223">
        <v>42</v>
      </c>
      <c r="H2223" t="s">
        <v>3489</v>
      </c>
      <c r="I2223" t="s">
        <v>3490</v>
      </c>
      <c r="J2223" t="s">
        <v>2961</v>
      </c>
    </row>
    <row r="2224" spans="1:10" x14ac:dyDescent="0.25">
      <c r="A2224" t="s">
        <v>2602</v>
      </c>
      <c r="B2224" t="s">
        <v>75</v>
      </c>
      <c r="C2224">
        <v>8</v>
      </c>
      <c r="D2224" t="s">
        <v>3058</v>
      </c>
      <c r="E2224">
        <v>44</v>
      </c>
      <c r="F2224">
        <v>15</v>
      </c>
      <c r="G2224">
        <v>29</v>
      </c>
      <c r="H2224" t="s">
        <v>3491</v>
      </c>
      <c r="I2224" t="s">
        <v>3492</v>
      </c>
      <c r="J2224" t="s">
        <v>2961</v>
      </c>
    </row>
    <row r="2225" spans="1:10" x14ac:dyDescent="0.25">
      <c r="A2225" t="s">
        <v>2602</v>
      </c>
      <c r="B2225" t="s">
        <v>75</v>
      </c>
      <c r="C2225">
        <v>8</v>
      </c>
      <c r="D2225" t="s">
        <v>3060</v>
      </c>
      <c r="E2225">
        <v>38</v>
      </c>
      <c r="F2225">
        <v>13</v>
      </c>
      <c r="G2225">
        <v>25</v>
      </c>
      <c r="H2225" t="s">
        <v>3491</v>
      </c>
      <c r="I2225" t="s">
        <v>3492</v>
      </c>
      <c r="J2225" t="s">
        <v>2961</v>
      </c>
    </row>
    <row r="2226" spans="1:10" x14ac:dyDescent="0.25">
      <c r="A2226" t="s">
        <v>2602</v>
      </c>
      <c r="B2226" t="s">
        <v>75</v>
      </c>
      <c r="C2226">
        <v>8</v>
      </c>
      <c r="D2226" t="s">
        <v>3062</v>
      </c>
      <c r="E2226">
        <v>87</v>
      </c>
      <c r="F2226">
        <v>21</v>
      </c>
      <c r="G2226">
        <v>66</v>
      </c>
      <c r="H2226" t="s">
        <v>196</v>
      </c>
      <c r="I2226" t="s">
        <v>3490</v>
      </c>
      <c r="J2226" t="s">
        <v>2961</v>
      </c>
    </row>
    <row r="2227" spans="1:10" x14ac:dyDescent="0.25">
      <c r="A2227" t="s">
        <v>2608</v>
      </c>
      <c r="B2227" t="s">
        <v>95</v>
      </c>
      <c r="C2227">
        <v>8</v>
      </c>
      <c r="D2227" t="s">
        <v>3234</v>
      </c>
      <c r="E2227">
        <v>75</v>
      </c>
      <c r="F2227">
        <v>27</v>
      </c>
      <c r="G2227">
        <v>48</v>
      </c>
      <c r="H2227" t="s">
        <v>3494</v>
      </c>
      <c r="I2227" t="s">
        <v>3490</v>
      </c>
      <c r="J2227" t="s">
        <v>2889</v>
      </c>
    </row>
    <row r="2228" spans="1:10" x14ac:dyDescent="0.25">
      <c r="A2228" t="s">
        <v>2608</v>
      </c>
      <c r="B2228" t="s">
        <v>95</v>
      </c>
      <c r="C2228">
        <v>8</v>
      </c>
      <c r="D2228" t="s">
        <v>3236</v>
      </c>
      <c r="E2228">
        <v>67</v>
      </c>
      <c r="F2228">
        <v>12</v>
      </c>
      <c r="G2228">
        <v>55</v>
      </c>
      <c r="H2228" t="s">
        <v>3489</v>
      </c>
      <c r="I2228" t="s">
        <v>3490</v>
      </c>
      <c r="J2228" t="s">
        <v>2889</v>
      </c>
    </row>
    <row r="2229" spans="1:10" x14ac:dyDescent="0.25">
      <c r="A2229" t="s">
        <v>2608</v>
      </c>
      <c r="B2229" t="s">
        <v>95</v>
      </c>
      <c r="C2229">
        <v>8</v>
      </c>
      <c r="D2229" t="s">
        <v>3238</v>
      </c>
      <c r="E2229">
        <v>58</v>
      </c>
      <c r="F2229">
        <v>18</v>
      </c>
      <c r="G2229">
        <v>40</v>
      </c>
      <c r="H2229" t="s">
        <v>3493</v>
      </c>
      <c r="I2229" t="s">
        <v>3490</v>
      </c>
      <c r="J2229" t="s">
        <v>2889</v>
      </c>
    </row>
    <row r="2230" spans="1:10" x14ac:dyDescent="0.25">
      <c r="A2230" t="s">
        <v>2608</v>
      </c>
      <c r="B2230" t="s">
        <v>95</v>
      </c>
      <c r="C2230">
        <v>8</v>
      </c>
      <c r="D2230" t="s">
        <v>3240</v>
      </c>
      <c r="E2230">
        <v>48</v>
      </c>
      <c r="F2230">
        <v>15</v>
      </c>
      <c r="G2230">
        <v>33</v>
      </c>
      <c r="H2230" t="s">
        <v>3491</v>
      </c>
      <c r="I2230" t="s">
        <v>3492</v>
      </c>
      <c r="J2230" t="s">
        <v>2889</v>
      </c>
    </row>
    <row r="2231" spans="1:10" x14ac:dyDescent="0.25">
      <c r="A2231" t="s">
        <v>2608</v>
      </c>
      <c r="B2231" t="s">
        <v>95</v>
      </c>
      <c r="C2231">
        <v>8</v>
      </c>
      <c r="D2231" t="s">
        <v>3242</v>
      </c>
      <c r="E2231">
        <v>83</v>
      </c>
      <c r="F2231">
        <v>21</v>
      </c>
      <c r="G2231">
        <v>62</v>
      </c>
      <c r="H2231" t="s">
        <v>196</v>
      </c>
      <c r="I2231" t="s">
        <v>3490</v>
      </c>
      <c r="J2231" t="s">
        <v>2889</v>
      </c>
    </row>
    <row r="2232" spans="1:10" x14ac:dyDescent="0.25">
      <c r="A2232" t="s">
        <v>2613</v>
      </c>
      <c r="B2232" t="s">
        <v>159</v>
      </c>
      <c r="C2232">
        <v>8</v>
      </c>
      <c r="D2232" t="s">
        <v>3114</v>
      </c>
      <c r="E2232">
        <v>85</v>
      </c>
      <c r="F2232">
        <v>18</v>
      </c>
      <c r="G2232">
        <v>67</v>
      </c>
      <c r="H2232" t="s">
        <v>196</v>
      </c>
      <c r="I2232" t="s">
        <v>3490</v>
      </c>
      <c r="J2232" t="s">
        <v>2902</v>
      </c>
    </row>
    <row r="2233" spans="1:10" x14ac:dyDescent="0.25">
      <c r="A2233" t="s">
        <v>2613</v>
      </c>
      <c r="B2233" t="s">
        <v>159</v>
      </c>
      <c r="C2233">
        <v>8</v>
      </c>
      <c r="D2233" t="s">
        <v>3116</v>
      </c>
      <c r="E2233">
        <v>62</v>
      </c>
      <c r="F2233">
        <v>15</v>
      </c>
      <c r="G2233">
        <v>47</v>
      </c>
      <c r="H2233" t="s">
        <v>3489</v>
      </c>
      <c r="I2233" t="s">
        <v>3490</v>
      </c>
      <c r="J2233" t="s">
        <v>2902</v>
      </c>
    </row>
    <row r="2234" spans="1:10" x14ac:dyDescent="0.25">
      <c r="A2234" t="s">
        <v>2613</v>
      </c>
      <c r="B2234" t="s">
        <v>159</v>
      </c>
      <c r="C2234">
        <v>8</v>
      </c>
      <c r="D2234" t="s">
        <v>3118</v>
      </c>
      <c r="E2234">
        <v>75</v>
      </c>
      <c r="F2234">
        <v>26</v>
      </c>
      <c r="G2234">
        <v>49</v>
      </c>
      <c r="H2234" t="s">
        <v>3494</v>
      </c>
      <c r="I2234" t="s">
        <v>3490</v>
      </c>
      <c r="J2234" t="s">
        <v>2902</v>
      </c>
    </row>
    <row r="2235" spans="1:10" x14ac:dyDescent="0.25">
      <c r="A2235" t="s">
        <v>2613</v>
      </c>
      <c r="B2235" t="s">
        <v>159</v>
      </c>
      <c r="C2235">
        <v>8</v>
      </c>
      <c r="D2235" t="s">
        <v>3120</v>
      </c>
      <c r="E2235">
        <v>55</v>
      </c>
      <c r="F2235">
        <v>18</v>
      </c>
      <c r="G2235">
        <v>37</v>
      </c>
      <c r="H2235" t="s">
        <v>3493</v>
      </c>
      <c r="I2235" t="s">
        <v>3490</v>
      </c>
      <c r="J2235" t="s">
        <v>2902</v>
      </c>
    </row>
    <row r="2236" spans="1:10" x14ac:dyDescent="0.25">
      <c r="A2236" t="s">
        <v>2613</v>
      </c>
      <c r="B2236" t="s">
        <v>159</v>
      </c>
      <c r="C2236">
        <v>8</v>
      </c>
      <c r="D2236" t="s">
        <v>3122</v>
      </c>
      <c r="E2236">
        <v>93</v>
      </c>
      <c r="F2236">
        <v>30</v>
      </c>
      <c r="G2236">
        <v>63</v>
      </c>
      <c r="H2236" t="s">
        <v>3495</v>
      </c>
      <c r="I2236" t="s">
        <v>3490</v>
      </c>
      <c r="J2236" t="s">
        <v>2902</v>
      </c>
    </row>
    <row r="2237" spans="1:10" x14ac:dyDescent="0.25">
      <c r="A2237" t="s">
        <v>2618</v>
      </c>
      <c r="B2237" t="s">
        <v>75</v>
      </c>
      <c r="C2237">
        <v>8</v>
      </c>
      <c r="D2237" t="s">
        <v>3054</v>
      </c>
      <c r="E2237">
        <v>48</v>
      </c>
      <c r="F2237">
        <v>25</v>
      </c>
      <c r="G2237">
        <v>23</v>
      </c>
      <c r="H2237" t="s">
        <v>3491</v>
      </c>
      <c r="I2237" t="s">
        <v>3492</v>
      </c>
      <c r="J2237" t="s">
        <v>2961</v>
      </c>
    </row>
    <row r="2238" spans="1:10" x14ac:dyDescent="0.25">
      <c r="A2238" t="s">
        <v>2618</v>
      </c>
      <c r="B2238" t="s">
        <v>75</v>
      </c>
      <c r="C2238">
        <v>8</v>
      </c>
      <c r="D2238" t="s">
        <v>3056</v>
      </c>
      <c r="E2238">
        <v>64</v>
      </c>
      <c r="F2238">
        <v>13</v>
      </c>
      <c r="G2238">
        <v>51</v>
      </c>
      <c r="H2238" t="s">
        <v>3489</v>
      </c>
      <c r="I2238" t="s">
        <v>3490</v>
      </c>
      <c r="J2238" t="s">
        <v>2961</v>
      </c>
    </row>
    <row r="2239" spans="1:10" x14ac:dyDescent="0.25">
      <c r="A2239" t="s">
        <v>2618</v>
      </c>
      <c r="B2239" t="s">
        <v>75</v>
      </c>
      <c r="C2239">
        <v>8</v>
      </c>
      <c r="D2239" t="s">
        <v>3058</v>
      </c>
      <c r="E2239">
        <v>77</v>
      </c>
      <c r="F2239">
        <v>16</v>
      </c>
      <c r="G2239">
        <v>61</v>
      </c>
      <c r="H2239" t="s">
        <v>3494</v>
      </c>
      <c r="I2239" t="s">
        <v>3490</v>
      </c>
      <c r="J2239" t="s">
        <v>2961</v>
      </c>
    </row>
    <row r="2240" spans="1:10" x14ac:dyDescent="0.25">
      <c r="A2240" t="s">
        <v>2618</v>
      </c>
      <c r="B2240" t="s">
        <v>75</v>
      </c>
      <c r="C2240">
        <v>8</v>
      </c>
      <c r="D2240" t="s">
        <v>3060</v>
      </c>
      <c r="E2240">
        <v>76</v>
      </c>
      <c r="F2240">
        <v>15</v>
      </c>
      <c r="G2240">
        <v>61</v>
      </c>
      <c r="H2240" t="s">
        <v>3494</v>
      </c>
      <c r="I2240" t="s">
        <v>3490</v>
      </c>
      <c r="J2240" t="s">
        <v>2961</v>
      </c>
    </row>
    <row r="2241" spans="1:10" x14ac:dyDescent="0.25">
      <c r="A2241" t="s">
        <v>2618</v>
      </c>
      <c r="B2241" t="s">
        <v>75</v>
      </c>
      <c r="C2241">
        <v>8</v>
      </c>
      <c r="D2241" t="s">
        <v>3062</v>
      </c>
      <c r="E2241">
        <v>74</v>
      </c>
      <c r="F2241">
        <v>10</v>
      </c>
      <c r="G2241">
        <v>64</v>
      </c>
      <c r="H2241" t="s">
        <v>3494</v>
      </c>
      <c r="I2241" t="s">
        <v>3490</v>
      </c>
      <c r="J2241" t="s">
        <v>2961</v>
      </c>
    </row>
    <row r="2242" spans="1:10" x14ac:dyDescent="0.25">
      <c r="A2242" t="s">
        <v>2623</v>
      </c>
      <c r="B2242" t="s">
        <v>105</v>
      </c>
      <c r="C2242">
        <v>4</v>
      </c>
      <c r="D2242" t="s">
        <v>3154</v>
      </c>
      <c r="E2242">
        <v>72</v>
      </c>
      <c r="F2242">
        <v>26</v>
      </c>
      <c r="G2242">
        <v>46</v>
      </c>
      <c r="H2242" t="s">
        <v>3494</v>
      </c>
      <c r="I2242" t="s">
        <v>3490</v>
      </c>
      <c r="J2242" t="s">
        <v>2908</v>
      </c>
    </row>
    <row r="2243" spans="1:10" x14ac:dyDescent="0.25">
      <c r="A2243" t="s">
        <v>2623</v>
      </c>
      <c r="B2243" t="s">
        <v>105</v>
      </c>
      <c r="C2243">
        <v>4</v>
      </c>
      <c r="D2243" t="s">
        <v>3156</v>
      </c>
      <c r="E2243">
        <v>87</v>
      </c>
      <c r="F2243">
        <v>20</v>
      </c>
      <c r="G2243">
        <v>67</v>
      </c>
      <c r="H2243" t="s">
        <v>196</v>
      </c>
      <c r="I2243" t="s">
        <v>3490</v>
      </c>
      <c r="J2243" t="s">
        <v>2908</v>
      </c>
    </row>
    <row r="2244" spans="1:10" x14ac:dyDescent="0.25">
      <c r="A2244" t="s">
        <v>2623</v>
      </c>
      <c r="B2244" t="s">
        <v>105</v>
      </c>
      <c r="C2244">
        <v>4</v>
      </c>
      <c r="D2244" t="s">
        <v>3158</v>
      </c>
      <c r="E2244">
        <v>48</v>
      </c>
      <c r="F2244">
        <v>14</v>
      </c>
      <c r="G2244">
        <v>34</v>
      </c>
      <c r="H2244" t="s">
        <v>3491</v>
      </c>
      <c r="I2244" t="s">
        <v>3492</v>
      </c>
      <c r="J2244" t="s">
        <v>2908</v>
      </c>
    </row>
    <row r="2245" spans="1:10" x14ac:dyDescent="0.25">
      <c r="A2245" t="s">
        <v>2623</v>
      </c>
      <c r="B2245" t="s">
        <v>105</v>
      </c>
      <c r="C2245">
        <v>4</v>
      </c>
      <c r="D2245" t="s">
        <v>3160</v>
      </c>
      <c r="E2245">
        <v>73</v>
      </c>
      <c r="F2245">
        <v>24</v>
      </c>
      <c r="G2245">
        <v>49</v>
      </c>
      <c r="H2245" t="s">
        <v>3494</v>
      </c>
      <c r="I2245" t="s">
        <v>3490</v>
      </c>
      <c r="J2245" t="s">
        <v>2908</v>
      </c>
    </row>
    <row r="2246" spans="1:10" x14ac:dyDescent="0.25">
      <c r="A2246" t="s">
        <v>2623</v>
      </c>
      <c r="B2246" t="s">
        <v>105</v>
      </c>
      <c r="C2246">
        <v>4</v>
      </c>
      <c r="D2246" t="s">
        <v>3162</v>
      </c>
      <c r="E2246">
        <v>52</v>
      </c>
      <c r="F2246">
        <v>24</v>
      </c>
      <c r="G2246">
        <v>28</v>
      </c>
      <c r="H2246" t="s">
        <v>3493</v>
      </c>
      <c r="I2246" t="s">
        <v>3490</v>
      </c>
      <c r="J2246" t="s">
        <v>2908</v>
      </c>
    </row>
    <row r="2247" spans="1:10" x14ac:dyDescent="0.25">
      <c r="A2247" t="s">
        <v>2628</v>
      </c>
      <c r="B2247" t="s">
        <v>105</v>
      </c>
      <c r="C2247">
        <v>6</v>
      </c>
      <c r="D2247" t="s">
        <v>3174</v>
      </c>
      <c r="E2247">
        <v>75</v>
      </c>
      <c r="F2247">
        <v>28</v>
      </c>
      <c r="G2247">
        <v>47</v>
      </c>
      <c r="H2247" t="s">
        <v>3494</v>
      </c>
      <c r="I2247" t="s">
        <v>3490</v>
      </c>
      <c r="J2247" t="s">
        <v>2908</v>
      </c>
    </row>
    <row r="2248" spans="1:10" x14ac:dyDescent="0.25">
      <c r="A2248" t="s">
        <v>2628</v>
      </c>
      <c r="B2248" t="s">
        <v>105</v>
      </c>
      <c r="C2248">
        <v>6</v>
      </c>
      <c r="D2248" t="s">
        <v>3176</v>
      </c>
      <c r="E2248">
        <v>85</v>
      </c>
      <c r="F2248">
        <v>22</v>
      </c>
      <c r="G2248">
        <v>63</v>
      </c>
      <c r="H2248" t="s">
        <v>196</v>
      </c>
      <c r="I2248" t="s">
        <v>3490</v>
      </c>
      <c r="J2248" t="s">
        <v>2908</v>
      </c>
    </row>
    <row r="2249" spans="1:10" x14ac:dyDescent="0.25">
      <c r="A2249" t="s">
        <v>2628</v>
      </c>
      <c r="B2249" t="s">
        <v>105</v>
      </c>
      <c r="C2249">
        <v>6</v>
      </c>
      <c r="D2249" t="s">
        <v>3178</v>
      </c>
      <c r="E2249">
        <v>66</v>
      </c>
      <c r="F2249">
        <v>20</v>
      </c>
      <c r="G2249">
        <v>46</v>
      </c>
      <c r="H2249" t="s">
        <v>3489</v>
      </c>
      <c r="I2249" t="s">
        <v>3490</v>
      </c>
      <c r="J2249" t="s">
        <v>2908</v>
      </c>
    </row>
    <row r="2250" spans="1:10" x14ac:dyDescent="0.25">
      <c r="A2250" t="s">
        <v>2628</v>
      </c>
      <c r="B2250" t="s">
        <v>105</v>
      </c>
      <c r="C2250">
        <v>6</v>
      </c>
      <c r="D2250" t="s">
        <v>3180</v>
      </c>
      <c r="E2250">
        <v>48</v>
      </c>
      <c r="F2250">
        <v>16</v>
      </c>
      <c r="G2250">
        <v>32</v>
      </c>
      <c r="H2250" t="s">
        <v>3491</v>
      </c>
      <c r="I2250" t="s">
        <v>3492</v>
      </c>
      <c r="J2250" t="s">
        <v>2908</v>
      </c>
    </row>
    <row r="2251" spans="1:10" x14ac:dyDescent="0.25">
      <c r="A2251" t="s">
        <v>2628</v>
      </c>
      <c r="B2251" t="s">
        <v>105</v>
      </c>
      <c r="C2251">
        <v>6</v>
      </c>
      <c r="D2251" t="s">
        <v>3182</v>
      </c>
      <c r="E2251">
        <v>44</v>
      </c>
      <c r="F2251">
        <v>24</v>
      </c>
      <c r="G2251">
        <v>20</v>
      </c>
      <c r="H2251" t="s">
        <v>3491</v>
      </c>
      <c r="I2251" t="s">
        <v>3492</v>
      </c>
      <c r="J2251" t="s">
        <v>2908</v>
      </c>
    </row>
    <row r="2252" spans="1:10" x14ac:dyDescent="0.25">
      <c r="A2252" t="s">
        <v>2633</v>
      </c>
      <c r="B2252" t="s">
        <v>30</v>
      </c>
      <c r="C2252">
        <v>6</v>
      </c>
      <c r="D2252" t="s">
        <v>3354</v>
      </c>
      <c r="E2252">
        <v>50</v>
      </c>
      <c r="F2252">
        <v>13</v>
      </c>
      <c r="G2252">
        <v>37</v>
      </c>
      <c r="H2252" t="s">
        <v>3493</v>
      </c>
      <c r="I2252" t="s">
        <v>3490</v>
      </c>
      <c r="J2252" t="s">
        <v>2895</v>
      </c>
    </row>
    <row r="2253" spans="1:10" x14ac:dyDescent="0.25">
      <c r="A2253" t="s">
        <v>2633</v>
      </c>
      <c r="B2253" t="s">
        <v>30</v>
      </c>
      <c r="C2253">
        <v>6</v>
      </c>
      <c r="D2253" t="s">
        <v>3356</v>
      </c>
      <c r="E2253">
        <v>72</v>
      </c>
      <c r="F2253">
        <v>11</v>
      </c>
      <c r="G2253">
        <v>61</v>
      </c>
      <c r="H2253" t="s">
        <v>3494</v>
      </c>
      <c r="I2253" t="s">
        <v>3490</v>
      </c>
      <c r="J2253" t="s">
        <v>2895</v>
      </c>
    </row>
    <row r="2254" spans="1:10" x14ac:dyDescent="0.25">
      <c r="A2254" t="s">
        <v>2633</v>
      </c>
      <c r="B2254" t="s">
        <v>30</v>
      </c>
      <c r="C2254">
        <v>6</v>
      </c>
      <c r="D2254" t="s">
        <v>3358</v>
      </c>
      <c r="E2254">
        <v>79</v>
      </c>
      <c r="F2254">
        <v>11</v>
      </c>
      <c r="G2254">
        <v>68</v>
      </c>
      <c r="H2254" t="s">
        <v>3494</v>
      </c>
      <c r="I2254" t="s">
        <v>3490</v>
      </c>
      <c r="J2254" t="s">
        <v>2895</v>
      </c>
    </row>
    <row r="2255" spans="1:10" x14ac:dyDescent="0.25">
      <c r="A2255" t="s">
        <v>2633</v>
      </c>
      <c r="B2255" t="s">
        <v>30</v>
      </c>
      <c r="C2255">
        <v>6</v>
      </c>
      <c r="D2255" t="s">
        <v>3360</v>
      </c>
      <c r="E2255">
        <v>94</v>
      </c>
      <c r="F2255">
        <v>30</v>
      </c>
      <c r="G2255">
        <v>64</v>
      </c>
      <c r="H2255" t="s">
        <v>3495</v>
      </c>
      <c r="I2255" t="s">
        <v>3490</v>
      </c>
      <c r="J2255" t="s">
        <v>2895</v>
      </c>
    </row>
    <row r="2256" spans="1:10" x14ac:dyDescent="0.25">
      <c r="A2256" t="s">
        <v>2633</v>
      </c>
      <c r="B2256" t="s">
        <v>30</v>
      </c>
      <c r="C2256">
        <v>6</v>
      </c>
      <c r="D2256" t="s">
        <v>3362</v>
      </c>
      <c r="E2256">
        <v>50</v>
      </c>
      <c r="F2256">
        <v>21</v>
      </c>
      <c r="G2256">
        <v>29</v>
      </c>
      <c r="H2256" t="s">
        <v>3493</v>
      </c>
      <c r="I2256" t="s">
        <v>3490</v>
      </c>
      <c r="J2256" t="s">
        <v>2895</v>
      </c>
    </row>
    <row r="2257" spans="1:10" x14ac:dyDescent="0.25">
      <c r="A2257" t="s">
        <v>2638</v>
      </c>
      <c r="B2257" t="s">
        <v>30</v>
      </c>
      <c r="C2257">
        <v>8</v>
      </c>
      <c r="D2257" t="s">
        <v>3354</v>
      </c>
      <c r="E2257">
        <v>78</v>
      </c>
      <c r="F2257">
        <v>24</v>
      </c>
      <c r="G2257">
        <v>54</v>
      </c>
      <c r="H2257" t="s">
        <v>3494</v>
      </c>
      <c r="I2257" t="s">
        <v>3490</v>
      </c>
      <c r="J2257" t="s">
        <v>2895</v>
      </c>
    </row>
    <row r="2258" spans="1:10" x14ac:dyDescent="0.25">
      <c r="A2258" t="s">
        <v>2638</v>
      </c>
      <c r="B2258" t="s">
        <v>30</v>
      </c>
      <c r="C2258">
        <v>8</v>
      </c>
      <c r="D2258" t="s">
        <v>3356</v>
      </c>
      <c r="E2258">
        <v>33</v>
      </c>
      <c r="F2258">
        <v>12</v>
      </c>
      <c r="G2258">
        <v>21</v>
      </c>
      <c r="H2258" t="s">
        <v>3491</v>
      </c>
      <c r="I2258" t="s">
        <v>3492</v>
      </c>
      <c r="J2258" t="s">
        <v>2895</v>
      </c>
    </row>
    <row r="2259" spans="1:10" x14ac:dyDescent="0.25">
      <c r="A2259" t="s">
        <v>2638</v>
      </c>
      <c r="B2259" t="s">
        <v>30</v>
      </c>
      <c r="C2259">
        <v>8</v>
      </c>
      <c r="D2259" t="s">
        <v>3358</v>
      </c>
      <c r="E2259">
        <v>61</v>
      </c>
      <c r="F2259">
        <v>21</v>
      </c>
      <c r="G2259">
        <v>40</v>
      </c>
      <c r="H2259" t="s">
        <v>3489</v>
      </c>
      <c r="I2259" t="s">
        <v>3490</v>
      </c>
      <c r="J2259" t="s">
        <v>2895</v>
      </c>
    </row>
    <row r="2260" spans="1:10" x14ac:dyDescent="0.25">
      <c r="A2260" t="s">
        <v>2638</v>
      </c>
      <c r="B2260" t="s">
        <v>30</v>
      </c>
      <c r="C2260">
        <v>8</v>
      </c>
      <c r="D2260" t="s">
        <v>3360</v>
      </c>
      <c r="E2260">
        <v>83</v>
      </c>
      <c r="F2260">
        <v>30</v>
      </c>
      <c r="G2260">
        <v>53</v>
      </c>
      <c r="H2260" t="s">
        <v>196</v>
      </c>
      <c r="I2260" t="s">
        <v>3490</v>
      </c>
      <c r="J2260" t="s">
        <v>2895</v>
      </c>
    </row>
    <row r="2261" spans="1:10" x14ac:dyDescent="0.25">
      <c r="A2261" t="s">
        <v>2638</v>
      </c>
      <c r="B2261" t="s">
        <v>30</v>
      </c>
      <c r="C2261">
        <v>8</v>
      </c>
      <c r="D2261" t="s">
        <v>3362</v>
      </c>
      <c r="E2261">
        <v>33</v>
      </c>
      <c r="F2261">
        <v>11</v>
      </c>
      <c r="G2261">
        <v>22</v>
      </c>
      <c r="H2261" t="s">
        <v>3491</v>
      </c>
      <c r="I2261" t="s">
        <v>3492</v>
      </c>
      <c r="J2261" t="s">
        <v>2895</v>
      </c>
    </row>
    <row r="2262" spans="1:10" x14ac:dyDescent="0.25">
      <c r="A2262" t="s">
        <v>2644</v>
      </c>
      <c r="B2262" t="s">
        <v>122</v>
      </c>
      <c r="C2262">
        <v>8</v>
      </c>
      <c r="D2262" t="s">
        <v>3294</v>
      </c>
      <c r="E2262">
        <v>39</v>
      </c>
      <c r="F2262">
        <v>10</v>
      </c>
      <c r="G2262">
        <v>29</v>
      </c>
      <c r="H2262" t="s">
        <v>3491</v>
      </c>
      <c r="I2262" t="s">
        <v>3492</v>
      </c>
      <c r="J2262" t="s">
        <v>2919</v>
      </c>
    </row>
    <row r="2263" spans="1:10" x14ac:dyDescent="0.25">
      <c r="A2263" t="s">
        <v>2644</v>
      </c>
      <c r="B2263" t="s">
        <v>122</v>
      </c>
      <c r="C2263">
        <v>8</v>
      </c>
      <c r="D2263" t="s">
        <v>3296</v>
      </c>
      <c r="E2263">
        <v>88</v>
      </c>
      <c r="F2263">
        <v>25</v>
      </c>
      <c r="G2263">
        <v>63</v>
      </c>
      <c r="H2263" t="s">
        <v>196</v>
      </c>
      <c r="I2263" t="s">
        <v>3490</v>
      </c>
      <c r="J2263" t="s">
        <v>2919</v>
      </c>
    </row>
    <row r="2264" spans="1:10" x14ac:dyDescent="0.25">
      <c r="A2264" t="s">
        <v>2644</v>
      </c>
      <c r="B2264" t="s">
        <v>122</v>
      </c>
      <c r="C2264">
        <v>8</v>
      </c>
      <c r="D2264" t="s">
        <v>3298</v>
      </c>
      <c r="E2264">
        <v>81</v>
      </c>
      <c r="F2264">
        <v>15</v>
      </c>
      <c r="G2264">
        <v>66</v>
      </c>
      <c r="H2264" t="s">
        <v>196</v>
      </c>
      <c r="I2264" t="s">
        <v>3490</v>
      </c>
      <c r="J2264" t="s">
        <v>2919</v>
      </c>
    </row>
    <row r="2265" spans="1:10" x14ac:dyDescent="0.25">
      <c r="A2265" t="s">
        <v>2644</v>
      </c>
      <c r="B2265" t="s">
        <v>122</v>
      </c>
      <c r="C2265">
        <v>8</v>
      </c>
      <c r="D2265" t="s">
        <v>3300</v>
      </c>
      <c r="E2265">
        <v>38</v>
      </c>
      <c r="F2265">
        <v>14</v>
      </c>
      <c r="G2265">
        <v>24</v>
      </c>
      <c r="H2265" t="s">
        <v>3491</v>
      </c>
      <c r="I2265" t="s">
        <v>3492</v>
      </c>
      <c r="J2265" t="s">
        <v>2919</v>
      </c>
    </row>
    <row r="2266" spans="1:10" x14ac:dyDescent="0.25">
      <c r="A2266" t="s">
        <v>2644</v>
      </c>
      <c r="B2266" t="s">
        <v>122</v>
      </c>
      <c r="C2266">
        <v>8</v>
      </c>
      <c r="D2266" t="s">
        <v>3302</v>
      </c>
      <c r="E2266">
        <v>50</v>
      </c>
      <c r="F2266">
        <v>19</v>
      </c>
      <c r="G2266">
        <v>31</v>
      </c>
      <c r="H2266" t="s">
        <v>3493</v>
      </c>
      <c r="I2266" t="s">
        <v>3490</v>
      </c>
      <c r="J2266" t="s">
        <v>2919</v>
      </c>
    </row>
    <row r="2267" spans="1:10" x14ac:dyDescent="0.25">
      <c r="A2267" t="s">
        <v>2649</v>
      </c>
      <c r="B2267" t="s">
        <v>212</v>
      </c>
      <c r="C2267">
        <v>6</v>
      </c>
      <c r="D2267" t="s">
        <v>3474</v>
      </c>
      <c r="E2267">
        <v>69</v>
      </c>
      <c r="F2267">
        <v>20</v>
      </c>
      <c r="G2267">
        <v>49</v>
      </c>
      <c r="H2267" t="s">
        <v>3489</v>
      </c>
      <c r="I2267" t="s">
        <v>3490</v>
      </c>
      <c r="J2267" t="s">
        <v>3001</v>
      </c>
    </row>
    <row r="2268" spans="1:10" x14ac:dyDescent="0.25">
      <c r="A2268" t="s">
        <v>2649</v>
      </c>
      <c r="B2268" t="s">
        <v>212</v>
      </c>
      <c r="C2268">
        <v>6</v>
      </c>
      <c r="D2268" t="s">
        <v>3476</v>
      </c>
      <c r="E2268">
        <v>43</v>
      </c>
      <c r="F2268">
        <v>16</v>
      </c>
      <c r="G2268">
        <v>27</v>
      </c>
      <c r="H2268" t="s">
        <v>3491</v>
      </c>
      <c r="I2268" t="s">
        <v>3492</v>
      </c>
      <c r="J2268" t="s">
        <v>3001</v>
      </c>
    </row>
    <row r="2269" spans="1:10" x14ac:dyDescent="0.25">
      <c r="A2269" t="s">
        <v>2649</v>
      </c>
      <c r="B2269" t="s">
        <v>212</v>
      </c>
      <c r="C2269">
        <v>6</v>
      </c>
      <c r="D2269" t="s">
        <v>3478</v>
      </c>
      <c r="E2269">
        <v>44</v>
      </c>
      <c r="F2269">
        <v>23</v>
      </c>
      <c r="G2269">
        <v>21</v>
      </c>
      <c r="H2269" t="s">
        <v>3491</v>
      </c>
      <c r="I2269" t="s">
        <v>3492</v>
      </c>
      <c r="J2269" t="s">
        <v>3001</v>
      </c>
    </row>
    <row r="2270" spans="1:10" x14ac:dyDescent="0.25">
      <c r="A2270" t="s">
        <v>2649</v>
      </c>
      <c r="B2270" t="s">
        <v>212</v>
      </c>
      <c r="C2270">
        <v>6</v>
      </c>
      <c r="D2270" t="s">
        <v>3480</v>
      </c>
      <c r="E2270">
        <v>68</v>
      </c>
      <c r="F2270">
        <v>29</v>
      </c>
      <c r="G2270">
        <v>39</v>
      </c>
      <c r="H2270" t="s">
        <v>3489</v>
      </c>
      <c r="I2270" t="s">
        <v>3490</v>
      </c>
      <c r="J2270" t="s">
        <v>3001</v>
      </c>
    </row>
    <row r="2271" spans="1:10" x14ac:dyDescent="0.25">
      <c r="A2271" t="s">
        <v>2649</v>
      </c>
      <c r="B2271" t="s">
        <v>212</v>
      </c>
      <c r="C2271">
        <v>6</v>
      </c>
      <c r="D2271" t="s">
        <v>3482</v>
      </c>
      <c r="E2271">
        <v>73</v>
      </c>
      <c r="F2271">
        <v>17</v>
      </c>
      <c r="G2271">
        <v>56</v>
      </c>
      <c r="H2271" t="s">
        <v>3494</v>
      </c>
      <c r="I2271" t="s">
        <v>3490</v>
      </c>
      <c r="J2271" t="s">
        <v>3001</v>
      </c>
    </row>
    <row r="2272" spans="1:10" x14ac:dyDescent="0.25">
      <c r="A2272" t="s">
        <v>2654</v>
      </c>
      <c r="B2272" t="s">
        <v>30</v>
      </c>
      <c r="C2272">
        <v>6</v>
      </c>
      <c r="D2272" t="s">
        <v>3354</v>
      </c>
      <c r="E2272">
        <v>82</v>
      </c>
      <c r="F2272">
        <v>13</v>
      </c>
      <c r="G2272">
        <v>69</v>
      </c>
      <c r="H2272" t="s">
        <v>196</v>
      </c>
      <c r="I2272" t="s">
        <v>3490</v>
      </c>
      <c r="J2272" t="s">
        <v>2895</v>
      </c>
    </row>
    <row r="2273" spans="1:10" x14ac:dyDescent="0.25">
      <c r="A2273" t="s">
        <v>2654</v>
      </c>
      <c r="B2273" t="s">
        <v>30</v>
      </c>
      <c r="C2273">
        <v>6</v>
      </c>
      <c r="D2273" t="s">
        <v>3356</v>
      </c>
      <c r="E2273">
        <v>84</v>
      </c>
      <c r="F2273">
        <v>16</v>
      </c>
      <c r="G2273">
        <v>68</v>
      </c>
      <c r="H2273" t="s">
        <v>196</v>
      </c>
      <c r="I2273" t="s">
        <v>3490</v>
      </c>
      <c r="J2273" t="s">
        <v>2895</v>
      </c>
    </row>
    <row r="2274" spans="1:10" x14ac:dyDescent="0.25">
      <c r="A2274" t="s">
        <v>2654</v>
      </c>
      <c r="B2274" t="s">
        <v>30</v>
      </c>
      <c r="C2274">
        <v>6</v>
      </c>
      <c r="D2274" t="s">
        <v>3358</v>
      </c>
      <c r="E2274">
        <v>75</v>
      </c>
      <c r="F2274">
        <v>22</v>
      </c>
      <c r="G2274">
        <v>53</v>
      </c>
      <c r="H2274" t="s">
        <v>3494</v>
      </c>
      <c r="I2274" t="s">
        <v>3490</v>
      </c>
      <c r="J2274" t="s">
        <v>2895</v>
      </c>
    </row>
    <row r="2275" spans="1:10" x14ac:dyDescent="0.25">
      <c r="A2275" t="s">
        <v>2654</v>
      </c>
      <c r="B2275" t="s">
        <v>30</v>
      </c>
      <c r="C2275">
        <v>6</v>
      </c>
      <c r="D2275" t="s">
        <v>3360</v>
      </c>
      <c r="E2275">
        <v>94</v>
      </c>
      <c r="F2275">
        <v>30</v>
      </c>
      <c r="G2275">
        <v>64</v>
      </c>
      <c r="H2275" t="s">
        <v>3495</v>
      </c>
      <c r="I2275" t="s">
        <v>3490</v>
      </c>
      <c r="J2275" t="s">
        <v>2895</v>
      </c>
    </row>
    <row r="2276" spans="1:10" x14ac:dyDescent="0.25">
      <c r="A2276" t="s">
        <v>2654</v>
      </c>
      <c r="B2276" t="s">
        <v>30</v>
      </c>
      <c r="C2276">
        <v>6</v>
      </c>
      <c r="D2276" t="s">
        <v>3362</v>
      </c>
      <c r="E2276">
        <v>63</v>
      </c>
      <c r="F2276">
        <v>12</v>
      </c>
      <c r="G2276">
        <v>51</v>
      </c>
      <c r="H2276" t="s">
        <v>3489</v>
      </c>
      <c r="I2276" t="s">
        <v>3490</v>
      </c>
      <c r="J2276" t="s">
        <v>2895</v>
      </c>
    </row>
    <row r="2277" spans="1:10" x14ac:dyDescent="0.25">
      <c r="A2277" t="s">
        <v>2659</v>
      </c>
      <c r="B2277" t="s">
        <v>105</v>
      </c>
      <c r="C2277">
        <v>8</v>
      </c>
      <c r="D2277" t="s">
        <v>3174</v>
      </c>
      <c r="E2277">
        <v>37</v>
      </c>
      <c r="F2277">
        <v>15</v>
      </c>
      <c r="G2277">
        <v>22</v>
      </c>
      <c r="H2277" t="s">
        <v>3491</v>
      </c>
      <c r="I2277" t="s">
        <v>3492</v>
      </c>
      <c r="J2277" t="s">
        <v>2908</v>
      </c>
    </row>
    <row r="2278" spans="1:10" x14ac:dyDescent="0.25">
      <c r="A2278" t="s">
        <v>2659</v>
      </c>
      <c r="B2278" t="s">
        <v>105</v>
      </c>
      <c r="C2278">
        <v>8</v>
      </c>
      <c r="D2278" t="s">
        <v>3176</v>
      </c>
      <c r="E2278">
        <v>43</v>
      </c>
      <c r="F2278">
        <v>16</v>
      </c>
      <c r="G2278">
        <v>27</v>
      </c>
      <c r="H2278" t="s">
        <v>3491</v>
      </c>
      <c r="I2278" t="s">
        <v>3492</v>
      </c>
      <c r="J2278" t="s">
        <v>2908</v>
      </c>
    </row>
    <row r="2279" spans="1:10" x14ac:dyDescent="0.25">
      <c r="A2279" t="s">
        <v>2659</v>
      </c>
      <c r="B2279" t="s">
        <v>105</v>
      </c>
      <c r="C2279">
        <v>8</v>
      </c>
      <c r="D2279" t="s">
        <v>3178</v>
      </c>
      <c r="E2279">
        <v>60</v>
      </c>
      <c r="F2279">
        <v>16</v>
      </c>
      <c r="G2279">
        <v>44</v>
      </c>
      <c r="H2279" t="s">
        <v>3489</v>
      </c>
      <c r="I2279" t="s">
        <v>3490</v>
      </c>
      <c r="J2279" t="s">
        <v>2908</v>
      </c>
    </row>
    <row r="2280" spans="1:10" x14ac:dyDescent="0.25">
      <c r="A2280" t="s">
        <v>2659</v>
      </c>
      <c r="B2280" t="s">
        <v>105</v>
      </c>
      <c r="C2280">
        <v>8</v>
      </c>
      <c r="D2280" t="s">
        <v>3180</v>
      </c>
      <c r="E2280">
        <v>71</v>
      </c>
      <c r="F2280">
        <v>29</v>
      </c>
      <c r="G2280">
        <v>42</v>
      </c>
      <c r="H2280" t="s">
        <v>3494</v>
      </c>
      <c r="I2280" t="s">
        <v>3490</v>
      </c>
      <c r="J2280" t="s">
        <v>2908</v>
      </c>
    </row>
    <row r="2281" spans="1:10" x14ac:dyDescent="0.25">
      <c r="A2281" t="s">
        <v>2659</v>
      </c>
      <c r="B2281" t="s">
        <v>105</v>
      </c>
      <c r="C2281">
        <v>8</v>
      </c>
      <c r="D2281" t="s">
        <v>3182</v>
      </c>
      <c r="E2281">
        <v>86</v>
      </c>
      <c r="F2281">
        <v>21</v>
      </c>
      <c r="G2281">
        <v>65</v>
      </c>
      <c r="H2281" t="s">
        <v>196</v>
      </c>
      <c r="I2281" t="s">
        <v>3490</v>
      </c>
      <c r="J2281" t="s">
        <v>2908</v>
      </c>
    </row>
    <row r="2282" spans="1:10" x14ac:dyDescent="0.25">
      <c r="A2282" t="s">
        <v>2664</v>
      </c>
      <c r="B2282" t="s">
        <v>122</v>
      </c>
      <c r="C2282">
        <v>6</v>
      </c>
      <c r="D2282" t="s">
        <v>3294</v>
      </c>
      <c r="E2282">
        <v>67</v>
      </c>
      <c r="F2282">
        <v>14</v>
      </c>
      <c r="G2282">
        <v>53</v>
      </c>
      <c r="H2282" t="s">
        <v>3489</v>
      </c>
      <c r="I2282" t="s">
        <v>3490</v>
      </c>
      <c r="J2282" t="s">
        <v>2919</v>
      </c>
    </row>
    <row r="2283" spans="1:10" x14ac:dyDescent="0.25">
      <c r="A2283" t="s">
        <v>2664</v>
      </c>
      <c r="B2283" t="s">
        <v>122</v>
      </c>
      <c r="C2283">
        <v>6</v>
      </c>
      <c r="D2283" t="s">
        <v>3296</v>
      </c>
      <c r="E2283">
        <v>53</v>
      </c>
      <c r="F2283">
        <v>22</v>
      </c>
      <c r="G2283">
        <v>31</v>
      </c>
      <c r="H2283" t="s">
        <v>3493</v>
      </c>
      <c r="I2283" t="s">
        <v>3490</v>
      </c>
      <c r="J2283" t="s">
        <v>2919</v>
      </c>
    </row>
    <row r="2284" spans="1:10" x14ac:dyDescent="0.25">
      <c r="A2284" t="s">
        <v>2664</v>
      </c>
      <c r="B2284" t="s">
        <v>122</v>
      </c>
      <c r="C2284">
        <v>6</v>
      </c>
      <c r="D2284" t="s">
        <v>3298</v>
      </c>
      <c r="E2284">
        <v>68</v>
      </c>
      <c r="F2284">
        <v>10</v>
      </c>
      <c r="G2284">
        <v>58</v>
      </c>
      <c r="H2284" t="s">
        <v>3489</v>
      </c>
      <c r="I2284" t="s">
        <v>3490</v>
      </c>
      <c r="J2284" t="s">
        <v>2919</v>
      </c>
    </row>
    <row r="2285" spans="1:10" x14ac:dyDescent="0.25">
      <c r="A2285" t="s">
        <v>2664</v>
      </c>
      <c r="B2285" t="s">
        <v>122</v>
      </c>
      <c r="C2285">
        <v>6</v>
      </c>
      <c r="D2285" t="s">
        <v>3300</v>
      </c>
      <c r="E2285">
        <v>61</v>
      </c>
      <c r="F2285">
        <v>30</v>
      </c>
      <c r="G2285">
        <v>31</v>
      </c>
      <c r="H2285" t="s">
        <v>3489</v>
      </c>
      <c r="I2285" t="s">
        <v>3490</v>
      </c>
      <c r="J2285" t="s">
        <v>2919</v>
      </c>
    </row>
    <row r="2286" spans="1:10" x14ac:dyDescent="0.25">
      <c r="A2286" t="s">
        <v>2664</v>
      </c>
      <c r="B2286" t="s">
        <v>122</v>
      </c>
      <c r="C2286">
        <v>6</v>
      </c>
      <c r="D2286" t="s">
        <v>3302</v>
      </c>
      <c r="E2286">
        <v>94</v>
      </c>
      <c r="F2286">
        <v>28</v>
      </c>
      <c r="G2286">
        <v>66</v>
      </c>
      <c r="H2286" t="s">
        <v>3495</v>
      </c>
      <c r="I2286" t="s">
        <v>3490</v>
      </c>
      <c r="J2286" t="s">
        <v>2919</v>
      </c>
    </row>
    <row r="2287" spans="1:10" x14ac:dyDescent="0.25">
      <c r="A2287" t="s">
        <v>2669</v>
      </c>
      <c r="B2287" t="s">
        <v>122</v>
      </c>
      <c r="C2287">
        <v>8</v>
      </c>
      <c r="D2287" t="s">
        <v>3294</v>
      </c>
      <c r="E2287">
        <v>81</v>
      </c>
      <c r="F2287">
        <v>30</v>
      </c>
      <c r="G2287">
        <v>51</v>
      </c>
      <c r="H2287" t="s">
        <v>196</v>
      </c>
      <c r="I2287" t="s">
        <v>3490</v>
      </c>
      <c r="J2287" t="s">
        <v>2919</v>
      </c>
    </row>
    <row r="2288" spans="1:10" x14ac:dyDescent="0.25">
      <c r="A2288" t="s">
        <v>2669</v>
      </c>
      <c r="B2288" t="s">
        <v>122</v>
      </c>
      <c r="C2288">
        <v>8</v>
      </c>
      <c r="D2288" t="s">
        <v>3296</v>
      </c>
      <c r="E2288">
        <v>59</v>
      </c>
      <c r="F2288">
        <v>17</v>
      </c>
      <c r="G2288">
        <v>42</v>
      </c>
      <c r="H2288" t="s">
        <v>3493</v>
      </c>
      <c r="I2288" t="s">
        <v>3490</v>
      </c>
      <c r="J2288" t="s">
        <v>2919</v>
      </c>
    </row>
    <row r="2289" spans="1:10" x14ac:dyDescent="0.25">
      <c r="A2289" t="s">
        <v>2669</v>
      </c>
      <c r="B2289" t="s">
        <v>122</v>
      </c>
      <c r="C2289">
        <v>8</v>
      </c>
      <c r="D2289" t="s">
        <v>3298</v>
      </c>
      <c r="E2289">
        <v>80</v>
      </c>
      <c r="F2289">
        <v>14</v>
      </c>
      <c r="G2289">
        <v>66</v>
      </c>
      <c r="H2289" t="s">
        <v>196</v>
      </c>
      <c r="I2289" t="s">
        <v>3490</v>
      </c>
      <c r="J2289" t="s">
        <v>2919</v>
      </c>
    </row>
    <row r="2290" spans="1:10" x14ac:dyDescent="0.25">
      <c r="A2290" t="s">
        <v>2669</v>
      </c>
      <c r="B2290" t="s">
        <v>122</v>
      </c>
      <c r="C2290">
        <v>8</v>
      </c>
      <c r="D2290" t="s">
        <v>3300</v>
      </c>
      <c r="E2290">
        <v>80</v>
      </c>
      <c r="F2290">
        <v>21</v>
      </c>
      <c r="G2290">
        <v>59</v>
      </c>
      <c r="H2290" t="s">
        <v>196</v>
      </c>
      <c r="I2290" t="s">
        <v>3490</v>
      </c>
      <c r="J2290" t="s">
        <v>2919</v>
      </c>
    </row>
    <row r="2291" spans="1:10" x14ac:dyDescent="0.25">
      <c r="A2291" t="s">
        <v>2669</v>
      </c>
      <c r="B2291" t="s">
        <v>122</v>
      </c>
      <c r="C2291">
        <v>8</v>
      </c>
      <c r="D2291" t="s">
        <v>3302</v>
      </c>
      <c r="E2291">
        <v>83</v>
      </c>
      <c r="F2291">
        <v>21</v>
      </c>
      <c r="G2291">
        <v>62</v>
      </c>
      <c r="H2291" t="s">
        <v>196</v>
      </c>
      <c r="I2291" t="s">
        <v>3490</v>
      </c>
      <c r="J2291" t="s">
        <v>2919</v>
      </c>
    </row>
    <row r="2292" spans="1:10" x14ac:dyDescent="0.25">
      <c r="A2292" t="s">
        <v>2674</v>
      </c>
      <c r="B2292" t="s">
        <v>75</v>
      </c>
      <c r="C2292">
        <v>8</v>
      </c>
      <c r="D2292" t="s">
        <v>3054</v>
      </c>
      <c r="E2292">
        <v>51</v>
      </c>
      <c r="F2292">
        <v>16</v>
      </c>
      <c r="G2292">
        <v>35</v>
      </c>
      <c r="H2292" t="s">
        <v>3493</v>
      </c>
      <c r="I2292" t="s">
        <v>3490</v>
      </c>
      <c r="J2292" t="s">
        <v>2961</v>
      </c>
    </row>
    <row r="2293" spans="1:10" x14ac:dyDescent="0.25">
      <c r="A2293" t="s">
        <v>2674</v>
      </c>
      <c r="B2293" t="s">
        <v>75</v>
      </c>
      <c r="C2293">
        <v>8</v>
      </c>
      <c r="D2293" t="s">
        <v>3056</v>
      </c>
      <c r="E2293">
        <v>44</v>
      </c>
      <c r="F2293">
        <v>14</v>
      </c>
      <c r="G2293">
        <v>30</v>
      </c>
      <c r="H2293" t="s">
        <v>3491</v>
      </c>
      <c r="I2293" t="s">
        <v>3492</v>
      </c>
      <c r="J2293" t="s">
        <v>2961</v>
      </c>
    </row>
    <row r="2294" spans="1:10" x14ac:dyDescent="0.25">
      <c r="A2294" t="s">
        <v>2674</v>
      </c>
      <c r="B2294" t="s">
        <v>75</v>
      </c>
      <c r="C2294">
        <v>8</v>
      </c>
      <c r="D2294" t="s">
        <v>3058</v>
      </c>
      <c r="E2294">
        <v>74</v>
      </c>
      <c r="F2294">
        <v>14</v>
      </c>
      <c r="G2294">
        <v>60</v>
      </c>
      <c r="H2294" t="s">
        <v>3494</v>
      </c>
      <c r="I2294" t="s">
        <v>3490</v>
      </c>
      <c r="J2294" t="s">
        <v>2961</v>
      </c>
    </row>
    <row r="2295" spans="1:10" x14ac:dyDescent="0.25">
      <c r="A2295" t="s">
        <v>2674</v>
      </c>
      <c r="B2295" t="s">
        <v>75</v>
      </c>
      <c r="C2295">
        <v>8</v>
      </c>
      <c r="D2295" t="s">
        <v>3060</v>
      </c>
      <c r="E2295">
        <v>58</v>
      </c>
      <c r="F2295">
        <v>24</v>
      </c>
      <c r="G2295">
        <v>34</v>
      </c>
      <c r="H2295" t="s">
        <v>3493</v>
      </c>
      <c r="I2295" t="s">
        <v>3490</v>
      </c>
      <c r="J2295" t="s">
        <v>2961</v>
      </c>
    </row>
    <row r="2296" spans="1:10" x14ac:dyDescent="0.25">
      <c r="A2296" t="s">
        <v>2674</v>
      </c>
      <c r="B2296" t="s">
        <v>75</v>
      </c>
      <c r="C2296">
        <v>8</v>
      </c>
      <c r="D2296" t="s">
        <v>3062</v>
      </c>
      <c r="E2296">
        <v>61</v>
      </c>
      <c r="F2296">
        <v>29</v>
      </c>
      <c r="G2296">
        <v>32</v>
      </c>
      <c r="H2296" t="s">
        <v>3489</v>
      </c>
      <c r="I2296" t="s">
        <v>3490</v>
      </c>
      <c r="J2296" t="s">
        <v>2961</v>
      </c>
    </row>
    <row r="2297" spans="1:10" x14ac:dyDescent="0.25">
      <c r="A2297" t="s">
        <v>2679</v>
      </c>
      <c r="B2297" t="s">
        <v>75</v>
      </c>
      <c r="C2297">
        <v>8</v>
      </c>
      <c r="D2297" t="s">
        <v>3054</v>
      </c>
      <c r="E2297">
        <v>84</v>
      </c>
      <c r="F2297">
        <v>26</v>
      </c>
      <c r="G2297">
        <v>58</v>
      </c>
      <c r="H2297" t="s">
        <v>196</v>
      </c>
      <c r="I2297" t="s">
        <v>3490</v>
      </c>
      <c r="J2297" t="s">
        <v>2961</v>
      </c>
    </row>
    <row r="2298" spans="1:10" x14ac:dyDescent="0.25">
      <c r="A2298" t="s">
        <v>2679</v>
      </c>
      <c r="B2298" t="s">
        <v>75</v>
      </c>
      <c r="C2298">
        <v>8</v>
      </c>
      <c r="D2298" t="s">
        <v>3056</v>
      </c>
      <c r="E2298">
        <v>60</v>
      </c>
      <c r="F2298">
        <v>29</v>
      </c>
      <c r="G2298">
        <v>31</v>
      </c>
      <c r="H2298" t="s">
        <v>3489</v>
      </c>
      <c r="I2298" t="s">
        <v>3490</v>
      </c>
      <c r="J2298" t="s">
        <v>2961</v>
      </c>
    </row>
    <row r="2299" spans="1:10" x14ac:dyDescent="0.25">
      <c r="A2299" t="s">
        <v>2679</v>
      </c>
      <c r="B2299" t="s">
        <v>75</v>
      </c>
      <c r="C2299">
        <v>8</v>
      </c>
      <c r="D2299" t="s">
        <v>3058</v>
      </c>
      <c r="E2299">
        <v>48</v>
      </c>
      <c r="F2299">
        <v>10</v>
      </c>
      <c r="G2299">
        <v>38</v>
      </c>
      <c r="H2299" t="s">
        <v>3491</v>
      </c>
      <c r="I2299" t="s">
        <v>3492</v>
      </c>
      <c r="J2299" t="s">
        <v>2961</v>
      </c>
    </row>
    <row r="2300" spans="1:10" x14ac:dyDescent="0.25">
      <c r="A2300" t="s">
        <v>2679</v>
      </c>
      <c r="B2300" t="s">
        <v>75</v>
      </c>
      <c r="C2300">
        <v>8</v>
      </c>
      <c r="D2300" t="s">
        <v>3060</v>
      </c>
      <c r="E2300">
        <v>71</v>
      </c>
      <c r="F2300">
        <v>21</v>
      </c>
      <c r="G2300">
        <v>50</v>
      </c>
      <c r="H2300" t="s">
        <v>3494</v>
      </c>
      <c r="I2300" t="s">
        <v>3490</v>
      </c>
      <c r="J2300" t="s">
        <v>2961</v>
      </c>
    </row>
    <row r="2301" spans="1:10" x14ac:dyDescent="0.25">
      <c r="A2301" t="s">
        <v>2679</v>
      </c>
      <c r="B2301" t="s">
        <v>75</v>
      </c>
      <c r="C2301">
        <v>8</v>
      </c>
      <c r="D2301" t="s">
        <v>3062</v>
      </c>
      <c r="E2301">
        <v>87</v>
      </c>
      <c r="F2301">
        <v>17</v>
      </c>
      <c r="G2301">
        <v>70</v>
      </c>
      <c r="H2301" t="s">
        <v>196</v>
      </c>
      <c r="I2301" t="s">
        <v>3490</v>
      </c>
      <c r="J2301" t="s">
        <v>2961</v>
      </c>
    </row>
    <row r="2302" spans="1:10" x14ac:dyDescent="0.25">
      <c r="A2302" t="s">
        <v>2684</v>
      </c>
      <c r="B2302" t="s">
        <v>75</v>
      </c>
      <c r="C2302">
        <v>6</v>
      </c>
      <c r="D2302" t="s">
        <v>3054</v>
      </c>
      <c r="E2302">
        <v>55</v>
      </c>
      <c r="F2302">
        <v>21</v>
      </c>
      <c r="G2302">
        <v>34</v>
      </c>
      <c r="H2302" t="s">
        <v>3493</v>
      </c>
      <c r="I2302" t="s">
        <v>3490</v>
      </c>
      <c r="J2302" t="s">
        <v>2961</v>
      </c>
    </row>
    <row r="2303" spans="1:10" x14ac:dyDescent="0.25">
      <c r="A2303" t="s">
        <v>2684</v>
      </c>
      <c r="B2303" t="s">
        <v>75</v>
      </c>
      <c r="C2303">
        <v>6</v>
      </c>
      <c r="D2303" t="s">
        <v>3056</v>
      </c>
      <c r="E2303">
        <v>48</v>
      </c>
      <c r="F2303">
        <v>14</v>
      </c>
      <c r="G2303">
        <v>34</v>
      </c>
      <c r="H2303" t="s">
        <v>3491</v>
      </c>
      <c r="I2303" t="s">
        <v>3492</v>
      </c>
      <c r="J2303" t="s">
        <v>2961</v>
      </c>
    </row>
    <row r="2304" spans="1:10" x14ac:dyDescent="0.25">
      <c r="A2304" t="s">
        <v>2684</v>
      </c>
      <c r="B2304" t="s">
        <v>75</v>
      </c>
      <c r="C2304">
        <v>6</v>
      </c>
      <c r="D2304" t="s">
        <v>3058</v>
      </c>
      <c r="E2304">
        <v>70</v>
      </c>
      <c r="F2304">
        <v>23</v>
      </c>
      <c r="G2304">
        <v>47</v>
      </c>
      <c r="H2304" t="s">
        <v>3494</v>
      </c>
      <c r="I2304" t="s">
        <v>3490</v>
      </c>
      <c r="J2304" t="s">
        <v>2961</v>
      </c>
    </row>
    <row r="2305" spans="1:10" x14ac:dyDescent="0.25">
      <c r="A2305" t="s">
        <v>2684</v>
      </c>
      <c r="B2305" t="s">
        <v>75</v>
      </c>
      <c r="C2305">
        <v>6</v>
      </c>
      <c r="D2305" t="s">
        <v>3060</v>
      </c>
      <c r="E2305">
        <v>64</v>
      </c>
      <c r="F2305">
        <v>12</v>
      </c>
      <c r="G2305">
        <v>52</v>
      </c>
      <c r="H2305" t="s">
        <v>3489</v>
      </c>
      <c r="I2305" t="s">
        <v>3490</v>
      </c>
      <c r="J2305" t="s">
        <v>2961</v>
      </c>
    </row>
    <row r="2306" spans="1:10" x14ac:dyDescent="0.25">
      <c r="A2306" t="s">
        <v>2684</v>
      </c>
      <c r="B2306" t="s">
        <v>75</v>
      </c>
      <c r="C2306">
        <v>6</v>
      </c>
      <c r="D2306" t="s">
        <v>3062</v>
      </c>
      <c r="E2306">
        <v>43</v>
      </c>
      <c r="F2306">
        <v>21</v>
      </c>
      <c r="G2306">
        <v>22</v>
      </c>
      <c r="H2306" t="s">
        <v>3491</v>
      </c>
      <c r="I2306" t="s">
        <v>3492</v>
      </c>
      <c r="J2306" t="s">
        <v>2961</v>
      </c>
    </row>
    <row r="2307" spans="1:10" x14ac:dyDescent="0.25">
      <c r="A2307" t="s">
        <v>2689</v>
      </c>
      <c r="B2307" t="s">
        <v>63</v>
      </c>
      <c r="C2307">
        <v>8</v>
      </c>
      <c r="D2307" t="s">
        <v>3414</v>
      </c>
      <c r="E2307">
        <v>70</v>
      </c>
      <c r="F2307">
        <v>25</v>
      </c>
      <c r="G2307">
        <v>45</v>
      </c>
      <c r="H2307" t="s">
        <v>3494</v>
      </c>
      <c r="I2307" t="s">
        <v>3490</v>
      </c>
      <c r="J2307" t="s">
        <v>2932</v>
      </c>
    </row>
    <row r="2308" spans="1:10" x14ac:dyDescent="0.25">
      <c r="A2308" t="s">
        <v>2689</v>
      </c>
      <c r="B2308" t="s">
        <v>63</v>
      </c>
      <c r="C2308">
        <v>8</v>
      </c>
      <c r="D2308" t="s">
        <v>3416</v>
      </c>
      <c r="E2308">
        <v>35</v>
      </c>
      <c r="F2308">
        <v>12</v>
      </c>
      <c r="G2308">
        <v>23</v>
      </c>
      <c r="H2308" t="s">
        <v>3491</v>
      </c>
      <c r="I2308" t="s">
        <v>3492</v>
      </c>
      <c r="J2308" t="s">
        <v>2932</v>
      </c>
    </row>
    <row r="2309" spans="1:10" x14ac:dyDescent="0.25">
      <c r="A2309" t="s">
        <v>2689</v>
      </c>
      <c r="B2309" t="s">
        <v>63</v>
      </c>
      <c r="C2309">
        <v>8</v>
      </c>
      <c r="D2309" t="s">
        <v>3418</v>
      </c>
      <c r="E2309">
        <v>76</v>
      </c>
      <c r="F2309">
        <v>27</v>
      </c>
      <c r="G2309">
        <v>49</v>
      </c>
      <c r="H2309" t="s">
        <v>3494</v>
      </c>
      <c r="I2309" t="s">
        <v>3490</v>
      </c>
      <c r="J2309" t="s">
        <v>2932</v>
      </c>
    </row>
    <row r="2310" spans="1:10" x14ac:dyDescent="0.25">
      <c r="A2310" t="s">
        <v>2689</v>
      </c>
      <c r="B2310" t="s">
        <v>63</v>
      </c>
      <c r="C2310">
        <v>8</v>
      </c>
      <c r="D2310" t="s">
        <v>3420</v>
      </c>
      <c r="E2310">
        <v>63</v>
      </c>
      <c r="F2310">
        <v>11</v>
      </c>
      <c r="G2310">
        <v>52</v>
      </c>
      <c r="H2310" t="s">
        <v>3489</v>
      </c>
      <c r="I2310" t="s">
        <v>3490</v>
      </c>
      <c r="J2310" t="s">
        <v>2932</v>
      </c>
    </row>
    <row r="2311" spans="1:10" x14ac:dyDescent="0.25">
      <c r="A2311" t="s">
        <v>2689</v>
      </c>
      <c r="B2311" t="s">
        <v>63</v>
      </c>
      <c r="C2311">
        <v>8</v>
      </c>
      <c r="D2311" t="s">
        <v>3422</v>
      </c>
      <c r="E2311">
        <v>59</v>
      </c>
      <c r="F2311">
        <v>15</v>
      </c>
      <c r="G2311">
        <v>44</v>
      </c>
      <c r="H2311" t="s">
        <v>3493</v>
      </c>
      <c r="I2311" t="s">
        <v>3490</v>
      </c>
      <c r="J2311" t="s">
        <v>2932</v>
      </c>
    </row>
    <row r="2312" spans="1:10" x14ac:dyDescent="0.25">
      <c r="A2312" t="s">
        <v>2694</v>
      </c>
      <c r="B2312" t="s">
        <v>95</v>
      </c>
      <c r="C2312">
        <v>8</v>
      </c>
      <c r="D2312" t="s">
        <v>3234</v>
      </c>
      <c r="E2312">
        <v>80</v>
      </c>
      <c r="F2312">
        <v>29</v>
      </c>
      <c r="G2312">
        <v>51</v>
      </c>
      <c r="H2312" t="s">
        <v>196</v>
      </c>
      <c r="I2312" t="s">
        <v>3490</v>
      </c>
      <c r="J2312" t="s">
        <v>2889</v>
      </c>
    </row>
    <row r="2313" spans="1:10" x14ac:dyDescent="0.25">
      <c r="A2313" t="s">
        <v>2694</v>
      </c>
      <c r="B2313" t="s">
        <v>95</v>
      </c>
      <c r="C2313">
        <v>8</v>
      </c>
      <c r="D2313" t="s">
        <v>3236</v>
      </c>
      <c r="E2313">
        <v>81</v>
      </c>
      <c r="F2313">
        <v>13</v>
      </c>
      <c r="G2313">
        <v>68</v>
      </c>
      <c r="H2313" t="s">
        <v>196</v>
      </c>
      <c r="I2313" t="s">
        <v>3490</v>
      </c>
      <c r="J2313" t="s">
        <v>2889</v>
      </c>
    </row>
    <row r="2314" spans="1:10" x14ac:dyDescent="0.25">
      <c r="A2314" t="s">
        <v>2694</v>
      </c>
      <c r="B2314" t="s">
        <v>95</v>
      </c>
      <c r="C2314">
        <v>8</v>
      </c>
      <c r="D2314" t="s">
        <v>3238</v>
      </c>
      <c r="E2314">
        <v>56</v>
      </c>
      <c r="F2314">
        <v>26</v>
      </c>
      <c r="G2314">
        <v>30</v>
      </c>
      <c r="H2314" t="s">
        <v>3493</v>
      </c>
      <c r="I2314" t="s">
        <v>3490</v>
      </c>
      <c r="J2314" t="s">
        <v>2889</v>
      </c>
    </row>
    <row r="2315" spans="1:10" x14ac:dyDescent="0.25">
      <c r="A2315" t="s">
        <v>2694</v>
      </c>
      <c r="B2315" t="s">
        <v>95</v>
      </c>
      <c r="C2315">
        <v>8</v>
      </c>
      <c r="D2315" t="s">
        <v>3240</v>
      </c>
      <c r="E2315">
        <v>60</v>
      </c>
      <c r="F2315">
        <v>16</v>
      </c>
      <c r="G2315">
        <v>44</v>
      </c>
      <c r="H2315" t="s">
        <v>3489</v>
      </c>
      <c r="I2315" t="s">
        <v>3490</v>
      </c>
      <c r="J2315" t="s">
        <v>2889</v>
      </c>
    </row>
    <row r="2316" spans="1:10" x14ac:dyDescent="0.25">
      <c r="A2316" t="s">
        <v>2694</v>
      </c>
      <c r="B2316" t="s">
        <v>95</v>
      </c>
      <c r="C2316">
        <v>8</v>
      </c>
      <c r="D2316" t="s">
        <v>3242</v>
      </c>
      <c r="E2316">
        <v>37</v>
      </c>
      <c r="F2316">
        <v>11</v>
      </c>
      <c r="G2316">
        <v>26</v>
      </c>
      <c r="H2316" t="s">
        <v>3491</v>
      </c>
      <c r="I2316" t="s">
        <v>3492</v>
      </c>
      <c r="J2316" t="s">
        <v>2889</v>
      </c>
    </row>
    <row r="2317" spans="1:10" x14ac:dyDescent="0.25">
      <c r="A2317" t="s">
        <v>2699</v>
      </c>
      <c r="B2317" t="s">
        <v>95</v>
      </c>
      <c r="C2317">
        <v>8</v>
      </c>
      <c r="D2317" t="s">
        <v>3234</v>
      </c>
      <c r="E2317">
        <v>61</v>
      </c>
      <c r="F2317">
        <v>10</v>
      </c>
      <c r="G2317">
        <v>51</v>
      </c>
      <c r="H2317" t="s">
        <v>3489</v>
      </c>
      <c r="I2317" t="s">
        <v>3490</v>
      </c>
      <c r="J2317" t="s">
        <v>2889</v>
      </c>
    </row>
    <row r="2318" spans="1:10" x14ac:dyDescent="0.25">
      <c r="A2318" t="s">
        <v>2699</v>
      </c>
      <c r="B2318" t="s">
        <v>95</v>
      </c>
      <c r="C2318">
        <v>8</v>
      </c>
      <c r="D2318" t="s">
        <v>3236</v>
      </c>
      <c r="E2318">
        <v>42</v>
      </c>
      <c r="F2318">
        <v>13</v>
      </c>
      <c r="G2318">
        <v>29</v>
      </c>
      <c r="H2318" t="s">
        <v>3491</v>
      </c>
      <c r="I2318" t="s">
        <v>3492</v>
      </c>
      <c r="J2318" t="s">
        <v>2889</v>
      </c>
    </row>
    <row r="2319" spans="1:10" x14ac:dyDescent="0.25">
      <c r="A2319" t="s">
        <v>2699</v>
      </c>
      <c r="B2319" t="s">
        <v>95</v>
      </c>
      <c r="C2319">
        <v>8</v>
      </c>
      <c r="D2319" t="s">
        <v>3238</v>
      </c>
      <c r="E2319">
        <v>48</v>
      </c>
      <c r="F2319">
        <v>22</v>
      </c>
      <c r="G2319">
        <v>26</v>
      </c>
      <c r="H2319" t="s">
        <v>3491</v>
      </c>
      <c r="I2319" t="s">
        <v>3492</v>
      </c>
      <c r="J2319" t="s">
        <v>2889</v>
      </c>
    </row>
    <row r="2320" spans="1:10" x14ac:dyDescent="0.25">
      <c r="A2320" t="s">
        <v>2699</v>
      </c>
      <c r="B2320" t="s">
        <v>95</v>
      </c>
      <c r="C2320">
        <v>8</v>
      </c>
      <c r="D2320" t="s">
        <v>3240</v>
      </c>
      <c r="E2320">
        <v>82</v>
      </c>
      <c r="F2320">
        <v>21</v>
      </c>
      <c r="G2320">
        <v>61</v>
      </c>
      <c r="H2320" t="s">
        <v>196</v>
      </c>
      <c r="I2320" t="s">
        <v>3490</v>
      </c>
      <c r="J2320" t="s">
        <v>2889</v>
      </c>
    </row>
    <row r="2321" spans="1:10" x14ac:dyDescent="0.25">
      <c r="A2321" t="s">
        <v>2699</v>
      </c>
      <c r="B2321" t="s">
        <v>95</v>
      </c>
      <c r="C2321">
        <v>8</v>
      </c>
      <c r="D2321" t="s">
        <v>3242</v>
      </c>
      <c r="E2321">
        <v>61</v>
      </c>
      <c r="F2321">
        <v>27</v>
      </c>
      <c r="G2321">
        <v>34</v>
      </c>
      <c r="H2321" t="s">
        <v>3489</v>
      </c>
      <c r="I2321" t="s">
        <v>3490</v>
      </c>
      <c r="J2321" t="s">
        <v>2889</v>
      </c>
    </row>
    <row r="2322" spans="1:10" x14ac:dyDescent="0.25">
      <c r="A2322" t="s">
        <v>2704</v>
      </c>
      <c r="B2322" t="s">
        <v>63</v>
      </c>
      <c r="C2322">
        <v>8</v>
      </c>
      <c r="D2322" t="s">
        <v>3414</v>
      </c>
      <c r="E2322">
        <v>90</v>
      </c>
      <c r="F2322">
        <v>27</v>
      </c>
      <c r="G2322">
        <v>63</v>
      </c>
      <c r="H2322" t="s">
        <v>3495</v>
      </c>
      <c r="I2322" t="s">
        <v>3490</v>
      </c>
      <c r="J2322" t="s">
        <v>2932</v>
      </c>
    </row>
    <row r="2323" spans="1:10" x14ac:dyDescent="0.25">
      <c r="A2323" t="s">
        <v>2704</v>
      </c>
      <c r="B2323" t="s">
        <v>63</v>
      </c>
      <c r="C2323">
        <v>8</v>
      </c>
      <c r="D2323" t="s">
        <v>3416</v>
      </c>
      <c r="E2323">
        <v>87</v>
      </c>
      <c r="F2323">
        <v>27</v>
      </c>
      <c r="G2323">
        <v>60</v>
      </c>
      <c r="H2323" t="s">
        <v>196</v>
      </c>
      <c r="I2323" t="s">
        <v>3490</v>
      </c>
      <c r="J2323" t="s">
        <v>2932</v>
      </c>
    </row>
    <row r="2324" spans="1:10" x14ac:dyDescent="0.25">
      <c r="A2324" t="s">
        <v>2704</v>
      </c>
      <c r="B2324" t="s">
        <v>63</v>
      </c>
      <c r="C2324">
        <v>8</v>
      </c>
      <c r="D2324" t="s">
        <v>3418</v>
      </c>
      <c r="E2324">
        <v>80</v>
      </c>
      <c r="F2324">
        <v>15</v>
      </c>
      <c r="G2324">
        <v>65</v>
      </c>
      <c r="H2324" t="s">
        <v>196</v>
      </c>
      <c r="I2324" t="s">
        <v>3490</v>
      </c>
      <c r="J2324" t="s">
        <v>2932</v>
      </c>
    </row>
    <row r="2325" spans="1:10" x14ac:dyDescent="0.25">
      <c r="A2325" t="s">
        <v>2704</v>
      </c>
      <c r="B2325" t="s">
        <v>63</v>
      </c>
      <c r="C2325">
        <v>8</v>
      </c>
      <c r="D2325" t="s">
        <v>3420</v>
      </c>
      <c r="E2325">
        <v>63</v>
      </c>
      <c r="F2325">
        <v>12</v>
      </c>
      <c r="G2325">
        <v>51</v>
      </c>
      <c r="H2325" t="s">
        <v>3489</v>
      </c>
      <c r="I2325" t="s">
        <v>3490</v>
      </c>
      <c r="J2325" t="s">
        <v>2932</v>
      </c>
    </row>
    <row r="2326" spans="1:10" x14ac:dyDescent="0.25">
      <c r="A2326" t="s">
        <v>2704</v>
      </c>
      <c r="B2326" t="s">
        <v>63</v>
      </c>
      <c r="C2326">
        <v>8</v>
      </c>
      <c r="D2326" t="s">
        <v>3422</v>
      </c>
      <c r="E2326">
        <v>77</v>
      </c>
      <c r="F2326">
        <v>30</v>
      </c>
      <c r="G2326">
        <v>47</v>
      </c>
      <c r="H2326" t="s">
        <v>3494</v>
      </c>
      <c r="I2326" t="s">
        <v>3490</v>
      </c>
      <c r="J2326" t="s">
        <v>2932</v>
      </c>
    </row>
    <row r="2327" spans="1:10" x14ac:dyDescent="0.25">
      <c r="A2327" t="s">
        <v>2709</v>
      </c>
      <c r="B2327" t="s">
        <v>75</v>
      </c>
      <c r="C2327">
        <v>4</v>
      </c>
      <c r="D2327" t="s">
        <v>3034</v>
      </c>
      <c r="E2327">
        <v>72</v>
      </c>
      <c r="F2327">
        <v>18</v>
      </c>
      <c r="G2327">
        <v>54</v>
      </c>
      <c r="H2327" t="s">
        <v>3494</v>
      </c>
      <c r="I2327" t="s">
        <v>3490</v>
      </c>
      <c r="J2327" t="s">
        <v>2961</v>
      </c>
    </row>
    <row r="2328" spans="1:10" x14ac:dyDescent="0.25">
      <c r="A2328" t="s">
        <v>2709</v>
      </c>
      <c r="B2328" t="s">
        <v>75</v>
      </c>
      <c r="C2328">
        <v>4</v>
      </c>
      <c r="D2328" t="s">
        <v>3036</v>
      </c>
      <c r="E2328">
        <v>87</v>
      </c>
      <c r="F2328">
        <v>18</v>
      </c>
      <c r="G2328">
        <v>69</v>
      </c>
      <c r="H2328" t="s">
        <v>196</v>
      </c>
      <c r="I2328" t="s">
        <v>3490</v>
      </c>
      <c r="J2328" t="s">
        <v>2961</v>
      </c>
    </row>
    <row r="2329" spans="1:10" x14ac:dyDescent="0.25">
      <c r="A2329" t="s">
        <v>2709</v>
      </c>
      <c r="B2329" t="s">
        <v>75</v>
      </c>
      <c r="C2329">
        <v>4</v>
      </c>
      <c r="D2329" t="s">
        <v>3038</v>
      </c>
      <c r="E2329">
        <v>72</v>
      </c>
      <c r="F2329">
        <v>22</v>
      </c>
      <c r="G2329">
        <v>50</v>
      </c>
      <c r="H2329" t="s">
        <v>3494</v>
      </c>
      <c r="I2329" t="s">
        <v>3490</v>
      </c>
      <c r="J2329" t="s">
        <v>2961</v>
      </c>
    </row>
    <row r="2330" spans="1:10" x14ac:dyDescent="0.25">
      <c r="A2330" t="s">
        <v>2709</v>
      </c>
      <c r="B2330" t="s">
        <v>75</v>
      </c>
      <c r="C2330">
        <v>4</v>
      </c>
      <c r="D2330" t="s">
        <v>3040</v>
      </c>
      <c r="E2330">
        <v>56</v>
      </c>
      <c r="F2330">
        <v>16</v>
      </c>
      <c r="G2330">
        <v>40</v>
      </c>
      <c r="H2330" t="s">
        <v>3493</v>
      </c>
      <c r="I2330" t="s">
        <v>3490</v>
      </c>
      <c r="J2330" t="s">
        <v>2961</v>
      </c>
    </row>
    <row r="2331" spans="1:10" x14ac:dyDescent="0.25">
      <c r="A2331" t="s">
        <v>2709</v>
      </c>
      <c r="B2331" t="s">
        <v>75</v>
      </c>
      <c r="C2331">
        <v>4</v>
      </c>
      <c r="D2331" t="s">
        <v>3042</v>
      </c>
      <c r="E2331">
        <v>92</v>
      </c>
      <c r="F2331">
        <v>24</v>
      </c>
      <c r="G2331">
        <v>68</v>
      </c>
      <c r="H2331" t="s">
        <v>3495</v>
      </c>
      <c r="I2331" t="s">
        <v>3490</v>
      </c>
      <c r="J2331" t="s">
        <v>2961</v>
      </c>
    </row>
    <row r="2332" spans="1:10" x14ac:dyDescent="0.25">
      <c r="A2332" t="s">
        <v>2714</v>
      </c>
      <c r="B2332" t="s">
        <v>159</v>
      </c>
      <c r="C2332">
        <v>4</v>
      </c>
      <c r="D2332" t="s">
        <v>3094</v>
      </c>
      <c r="E2332">
        <v>46</v>
      </c>
      <c r="F2332">
        <v>18</v>
      </c>
      <c r="G2332">
        <v>28</v>
      </c>
      <c r="H2332" t="s">
        <v>3491</v>
      </c>
      <c r="I2332" t="s">
        <v>3492</v>
      </c>
      <c r="J2332" t="s">
        <v>2902</v>
      </c>
    </row>
    <row r="2333" spans="1:10" x14ac:dyDescent="0.25">
      <c r="A2333" t="s">
        <v>2714</v>
      </c>
      <c r="B2333" t="s">
        <v>159</v>
      </c>
      <c r="C2333">
        <v>4</v>
      </c>
      <c r="D2333" t="s">
        <v>3096</v>
      </c>
      <c r="E2333">
        <v>47</v>
      </c>
      <c r="F2333">
        <v>14</v>
      </c>
      <c r="G2333">
        <v>33</v>
      </c>
      <c r="H2333" t="s">
        <v>3491</v>
      </c>
      <c r="I2333" t="s">
        <v>3492</v>
      </c>
      <c r="J2333" t="s">
        <v>2902</v>
      </c>
    </row>
    <row r="2334" spans="1:10" x14ac:dyDescent="0.25">
      <c r="A2334" t="s">
        <v>2714</v>
      </c>
      <c r="B2334" t="s">
        <v>159</v>
      </c>
      <c r="C2334">
        <v>4</v>
      </c>
      <c r="D2334" t="s">
        <v>3098</v>
      </c>
      <c r="E2334">
        <v>80</v>
      </c>
      <c r="F2334">
        <v>16</v>
      </c>
      <c r="G2334">
        <v>64</v>
      </c>
      <c r="H2334" t="s">
        <v>196</v>
      </c>
      <c r="I2334" t="s">
        <v>3490</v>
      </c>
      <c r="J2334" t="s">
        <v>2902</v>
      </c>
    </row>
    <row r="2335" spans="1:10" x14ac:dyDescent="0.25">
      <c r="A2335" t="s">
        <v>2714</v>
      </c>
      <c r="B2335" t="s">
        <v>159</v>
      </c>
      <c r="C2335">
        <v>4</v>
      </c>
      <c r="D2335" t="s">
        <v>3100</v>
      </c>
      <c r="E2335">
        <v>43</v>
      </c>
      <c r="F2335">
        <v>14</v>
      </c>
      <c r="G2335">
        <v>29</v>
      </c>
      <c r="H2335" t="s">
        <v>3491</v>
      </c>
      <c r="I2335" t="s">
        <v>3492</v>
      </c>
      <c r="J2335" t="s">
        <v>2902</v>
      </c>
    </row>
    <row r="2336" spans="1:10" x14ac:dyDescent="0.25">
      <c r="A2336" t="s">
        <v>2714</v>
      </c>
      <c r="B2336" t="s">
        <v>159</v>
      </c>
      <c r="C2336">
        <v>4</v>
      </c>
      <c r="D2336" t="s">
        <v>3102</v>
      </c>
      <c r="E2336">
        <v>80</v>
      </c>
      <c r="F2336">
        <v>15</v>
      </c>
      <c r="G2336">
        <v>65</v>
      </c>
      <c r="H2336" t="s">
        <v>196</v>
      </c>
      <c r="I2336" t="s">
        <v>3490</v>
      </c>
      <c r="J2336" t="s">
        <v>2902</v>
      </c>
    </row>
    <row r="2337" spans="1:10" x14ac:dyDescent="0.25">
      <c r="A2337" t="s">
        <v>2719</v>
      </c>
      <c r="B2337" t="s">
        <v>75</v>
      </c>
      <c r="C2337">
        <v>4</v>
      </c>
      <c r="D2337" t="s">
        <v>3034</v>
      </c>
      <c r="E2337">
        <v>47</v>
      </c>
      <c r="F2337">
        <v>26</v>
      </c>
      <c r="G2337">
        <v>21</v>
      </c>
      <c r="H2337" t="s">
        <v>3491</v>
      </c>
      <c r="I2337" t="s">
        <v>3492</v>
      </c>
      <c r="J2337" t="s">
        <v>2961</v>
      </c>
    </row>
    <row r="2338" spans="1:10" x14ac:dyDescent="0.25">
      <c r="A2338" t="s">
        <v>2719</v>
      </c>
      <c r="B2338" t="s">
        <v>75</v>
      </c>
      <c r="C2338">
        <v>4</v>
      </c>
      <c r="D2338" t="s">
        <v>3036</v>
      </c>
      <c r="E2338">
        <v>56</v>
      </c>
      <c r="F2338">
        <v>30</v>
      </c>
      <c r="G2338">
        <v>26</v>
      </c>
      <c r="H2338" t="s">
        <v>3493</v>
      </c>
      <c r="I2338" t="s">
        <v>3490</v>
      </c>
      <c r="J2338" t="s">
        <v>2961</v>
      </c>
    </row>
    <row r="2339" spans="1:10" x14ac:dyDescent="0.25">
      <c r="A2339" t="s">
        <v>2719</v>
      </c>
      <c r="B2339" t="s">
        <v>75</v>
      </c>
      <c r="C2339">
        <v>4</v>
      </c>
      <c r="D2339" t="s">
        <v>3038</v>
      </c>
      <c r="E2339">
        <v>67</v>
      </c>
      <c r="F2339">
        <v>29</v>
      </c>
      <c r="G2339">
        <v>38</v>
      </c>
      <c r="H2339" t="s">
        <v>3489</v>
      </c>
      <c r="I2339" t="s">
        <v>3490</v>
      </c>
      <c r="J2339" t="s">
        <v>2961</v>
      </c>
    </row>
    <row r="2340" spans="1:10" x14ac:dyDescent="0.25">
      <c r="A2340" t="s">
        <v>2719</v>
      </c>
      <c r="B2340" t="s">
        <v>75</v>
      </c>
      <c r="C2340">
        <v>4</v>
      </c>
      <c r="D2340" t="s">
        <v>3040</v>
      </c>
      <c r="E2340">
        <v>47</v>
      </c>
      <c r="F2340">
        <v>18</v>
      </c>
      <c r="G2340">
        <v>29</v>
      </c>
      <c r="H2340" t="s">
        <v>3491</v>
      </c>
      <c r="I2340" t="s">
        <v>3492</v>
      </c>
      <c r="J2340" t="s">
        <v>2961</v>
      </c>
    </row>
    <row r="2341" spans="1:10" x14ac:dyDescent="0.25">
      <c r="A2341" t="s">
        <v>2719</v>
      </c>
      <c r="B2341" t="s">
        <v>75</v>
      </c>
      <c r="C2341">
        <v>4</v>
      </c>
      <c r="D2341" t="s">
        <v>3042</v>
      </c>
      <c r="E2341">
        <v>76</v>
      </c>
      <c r="F2341">
        <v>21</v>
      </c>
      <c r="G2341">
        <v>55</v>
      </c>
      <c r="H2341" t="s">
        <v>3494</v>
      </c>
      <c r="I2341" t="s">
        <v>3490</v>
      </c>
      <c r="J2341" t="s">
        <v>2961</v>
      </c>
    </row>
    <row r="2342" spans="1:10" x14ac:dyDescent="0.25">
      <c r="A2342" t="s">
        <v>2724</v>
      </c>
      <c r="B2342" t="s">
        <v>159</v>
      </c>
      <c r="C2342">
        <v>8</v>
      </c>
      <c r="D2342" t="s">
        <v>3114</v>
      </c>
      <c r="E2342">
        <v>57</v>
      </c>
      <c r="F2342">
        <v>28</v>
      </c>
      <c r="G2342">
        <v>29</v>
      </c>
      <c r="H2342" t="s">
        <v>3493</v>
      </c>
      <c r="I2342" t="s">
        <v>3490</v>
      </c>
      <c r="J2342" t="s">
        <v>2902</v>
      </c>
    </row>
    <row r="2343" spans="1:10" x14ac:dyDescent="0.25">
      <c r="A2343" t="s">
        <v>2724</v>
      </c>
      <c r="B2343" t="s">
        <v>159</v>
      </c>
      <c r="C2343">
        <v>8</v>
      </c>
      <c r="D2343" t="s">
        <v>3116</v>
      </c>
      <c r="E2343">
        <v>61</v>
      </c>
      <c r="F2343">
        <v>30</v>
      </c>
      <c r="G2343">
        <v>31</v>
      </c>
      <c r="H2343" t="s">
        <v>3489</v>
      </c>
      <c r="I2343" t="s">
        <v>3490</v>
      </c>
      <c r="J2343" t="s">
        <v>2902</v>
      </c>
    </row>
    <row r="2344" spans="1:10" x14ac:dyDescent="0.25">
      <c r="A2344" t="s">
        <v>2724</v>
      </c>
      <c r="B2344" t="s">
        <v>159</v>
      </c>
      <c r="C2344">
        <v>8</v>
      </c>
      <c r="D2344" t="s">
        <v>3118</v>
      </c>
      <c r="E2344">
        <v>81</v>
      </c>
      <c r="F2344">
        <v>15</v>
      </c>
      <c r="G2344">
        <v>66</v>
      </c>
      <c r="H2344" t="s">
        <v>196</v>
      </c>
      <c r="I2344" t="s">
        <v>3490</v>
      </c>
      <c r="J2344" t="s">
        <v>2902</v>
      </c>
    </row>
    <row r="2345" spans="1:10" x14ac:dyDescent="0.25">
      <c r="A2345" t="s">
        <v>2724</v>
      </c>
      <c r="B2345" t="s">
        <v>159</v>
      </c>
      <c r="C2345">
        <v>8</v>
      </c>
      <c r="D2345" t="s">
        <v>3120</v>
      </c>
      <c r="E2345">
        <v>66</v>
      </c>
      <c r="F2345">
        <v>21</v>
      </c>
      <c r="G2345">
        <v>45</v>
      </c>
      <c r="H2345" t="s">
        <v>3489</v>
      </c>
      <c r="I2345" t="s">
        <v>3490</v>
      </c>
      <c r="J2345" t="s">
        <v>2902</v>
      </c>
    </row>
    <row r="2346" spans="1:10" x14ac:dyDescent="0.25">
      <c r="A2346" t="s">
        <v>2724</v>
      </c>
      <c r="B2346" t="s">
        <v>159</v>
      </c>
      <c r="C2346">
        <v>8</v>
      </c>
      <c r="D2346" t="s">
        <v>3122</v>
      </c>
      <c r="E2346">
        <v>55</v>
      </c>
      <c r="F2346">
        <v>11</v>
      </c>
      <c r="G2346">
        <v>44</v>
      </c>
      <c r="H2346" t="s">
        <v>3493</v>
      </c>
      <c r="I2346" t="s">
        <v>3490</v>
      </c>
      <c r="J2346" t="s">
        <v>2902</v>
      </c>
    </row>
    <row r="2347" spans="1:10" x14ac:dyDescent="0.25">
      <c r="A2347" t="s">
        <v>2728</v>
      </c>
      <c r="B2347" t="s">
        <v>75</v>
      </c>
      <c r="C2347">
        <v>6</v>
      </c>
      <c r="D2347" t="s">
        <v>3054</v>
      </c>
      <c r="E2347">
        <v>74</v>
      </c>
      <c r="F2347">
        <v>15</v>
      </c>
      <c r="G2347">
        <v>59</v>
      </c>
      <c r="H2347" t="s">
        <v>3494</v>
      </c>
      <c r="I2347" t="s">
        <v>3490</v>
      </c>
      <c r="J2347" t="s">
        <v>2961</v>
      </c>
    </row>
    <row r="2348" spans="1:10" x14ac:dyDescent="0.25">
      <c r="A2348" t="s">
        <v>2728</v>
      </c>
      <c r="B2348" t="s">
        <v>75</v>
      </c>
      <c r="C2348">
        <v>6</v>
      </c>
      <c r="D2348" t="s">
        <v>3056</v>
      </c>
      <c r="E2348">
        <v>53</v>
      </c>
      <c r="F2348">
        <v>20</v>
      </c>
      <c r="G2348">
        <v>33</v>
      </c>
      <c r="H2348" t="s">
        <v>3493</v>
      </c>
      <c r="I2348" t="s">
        <v>3490</v>
      </c>
      <c r="J2348" t="s">
        <v>2961</v>
      </c>
    </row>
    <row r="2349" spans="1:10" x14ac:dyDescent="0.25">
      <c r="A2349" t="s">
        <v>2728</v>
      </c>
      <c r="B2349" t="s">
        <v>75</v>
      </c>
      <c r="C2349">
        <v>6</v>
      </c>
      <c r="D2349" t="s">
        <v>3058</v>
      </c>
      <c r="E2349">
        <v>82</v>
      </c>
      <c r="F2349">
        <v>21</v>
      </c>
      <c r="G2349">
        <v>61</v>
      </c>
      <c r="H2349" t="s">
        <v>196</v>
      </c>
      <c r="I2349" t="s">
        <v>3490</v>
      </c>
      <c r="J2349" t="s">
        <v>2961</v>
      </c>
    </row>
    <row r="2350" spans="1:10" x14ac:dyDescent="0.25">
      <c r="A2350" t="s">
        <v>2728</v>
      </c>
      <c r="B2350" t="s">
        <v>75</v>
      </c>
      <c r="C2350">
        <v>6</v>
      </c>
      <c r="D2350" t="s">
        <v>3060</v>
      </c>
      <c r="E2350">
        <v>55</v>
      </c>
      <c r="F2350">
        <v>11</v>
      </c>
      <c r="G2350">
        <v>44</v>
      </c>
      <c r="H2350" t="s">
        <v>3493</v>
      </c>
      <c r="I2350" t="s">
        <v>3490</v>
      </c>
      <c r="J2350" t="s">
        <v>2961</v>
      </c>
    </row>
    <row r="2351" spans="1:10" x14ac:dyDescent="0.25">
      <c r="A2351" t="s">
        <v>2728</v>
      </c>
      <c r="B2351" t="s">
        <v>75</v>
      </c>
      <c r="C2351">
        <v>6</v>
      </c>
      <c r="D2351" t="s">
        <v>3062</v>
      </c>
      <c r="E2351">
        <v>77</v>
      </c>
      <c r="F2351">
        <v>17</v>
      </c>
      <c r="G2351">
        <v>60</v>
      </c>
      <c r="H2351" t="s">
        <v>3494</v>
      </c>
      <c r="I2351" t="s">
        <v>3490</v>
      </c>
      <c r="J2351" t="s">
        <v>2961</v>
      </c>
    </row>
    <row r="2352" spans="1:10" x14ac:dyDescent="0.25">
      <c r="A2352" t="s">
        <v>2733</v>
      </c>
      <c r="B2352" t="s">
        <v>105</v>
      </c>
      <c r="C2352">
        <v>8</v>
      </c>
      <c r="D2352" t="s">
        <v>3174</v>
      </c>
      <c r="E2352">
        <v>60</v>
      </c>
      <c r="F2352">
        <v>25</v>
      </c>
      <c r="G2352">
        <v>35</v>
      </c>
      <c r="H2352" t="s">
        <v>3489</v>
      </c>
      <c r="I2352" t="s">
        <v>3490</v>
      </c>
      <c r="J2352" t="s">
        <v>2908</v>
      </c>
    </row>
    <row r="2353" spans="1:10" x14ac:dyDescent="0.25">
      <c r="A2353" t="s">
        <v>2733</v>
      </c>
      <c r="B2353" t="s">
        <v>105</v>
      </c>
      <c r="C2353">
        <v>8</v>
      </c>
      <c r="D2353" t="s">
        <v>3176</v>
      </c>
      <c r="E2353">
        <v>73</v>
      </c>
      <c r="F2353">
        <v>12</v>
      </c>
      <c r="G2353">
        <v>61</v>
      </c>
      <c r="H2353" t="s">
        <v>3494</v>
      </c>
      <c r="I2353" t="s">
        <v>3490</v>
      </c>
      <c r="J2353" t="s">
        <v>2908</v>
      </c>
    </row>
    <row r="2354" spans="1:10" x14ac:dyDescent="0.25">
      <c r="A2354" t="s">
        <v>2733</v>
      </c>
      <c r="B2354" t="s">
        <v>105</v>
      </c>
      <c r="C2354">
        <v>8</v>
      </c>
      <c r="D2354" t="s">
        <v>3178</v>
      </c>
      <c r="E2354">
        <v>67</v>
      </c>
      <c r="F2354">
        <v>13</v>
      </c>
      <c r="G2354">
        <v>54</v>
      </c>
      <c r="H2354" t="s">
        <v>3489</v>
      </c>
      <c r="I2354" t="s">
        <v>3490</v>
      </c>
      <c r="J2354" t="s">
        <v>2908</v>
      </c>
    </row>
    <row r="2355" spans="1:10" x14ac:dyDescent="0.25">
      <c r="A2355" t="s">
        <v>2733</v>
      </c>
      <c r="B2355" t="s">
        <v>105</v>
      </c>
      <c r="C2355">
        <v>8</v>
      </c>
      <c r="D2355" t="s">
        <v>3180</v>
      </c>
      <c r="E2355">
        <v>48</v>
      </c>
      <c r="F2355">
        <v>11</v>
      </c>
      <c r="G2355">
        <v>37</v>
      </c>
      <c r="H2355" t="s">
        <v>3491</v>
      </c>
      <c r="I2355" t="s">
        <v>3492</v>
      </c>
      <c r="J2355" t="s">
        <v>2908</v>
      </c>
    </row>
    <row r="2356" spans="1:10" x14ac:dyDescent="0.25">
      <c r="A2356" t="s">
        <v>2733</v>
      </c>
      <c r="B2356" t="s">
        <v>105</v>
      </c>
      <c r="C2356">
        <v>8</v>
      </c>
      <c r="D2356" t="s">
        <v>3182</v>
      </c>
      <c r="E2356">
        <v>85</v>
      </c>
      <c r="F2356">
        <v>22</v>
      </c>
      <c r="G2356">
        <v>63</v>
      </c>
      <c r="H2356" t="s">
        <v>196</v>
      </c>
      <c r="I2356" t="s">
        <v>3490</v>
      </c>
      <c r="J2356" t="s">
        <v>2908</v>
      </c>
    </row>
    <row r="2357" spans="1:10" x14ac:dyDescent="0.25">
      <c r="A2357" t="s">
        <v>2738</v>
      </c>
      <c r="B2357" t="s">
        <v>212</v>
      </c>
      <c r="C2357">
        <v>6</v>
      </c>
      <c r="D2357" t="s">
        <v>3474</v>
      </c>
      <c r="E2357">
        <v>62</v>
      </c>
      <c r="F2357">
        <v>25</v>
      </c>
      <c r="G2357">
        <v>37</v>
      </c>
      <c r="H2357" t="s">
        <v>3489</v>
      </c>
      <c r="I2357" t="s">
        <v>3490</v>
      </c>
      <c r="J2357" t="s">
        <v>3001</v>
      </c>
    </row>
    <row r="2358" spans="1:10" x14ac:dyDescent="0.25">
      <c r="A2358" t="s">
        <v>2738</v>
      </c>
      <c r="B2358" t="s">
        <v>212</v>
      </c>
      <c r="C2358">
        <v>6</v>
      </c>
      <c r="D2358" t="s">
        <v>3476</v>
      </c>
      <c r="E2358">
        <v>48</v>
      </c>
      <c r="F2358">
        <v>13</v>
      </c>
      <c r="G2358">
        <v>35</v>
      </c>
      <c r="H2358" t="s">
        <v>3491</v>
      </c>
      <c r="I2358" t="s">
        <v>3492</v>
      </c>
      <c r="J2358" t="s">
        <v>3001</v>
      </c>
    </row>
    <row r="2359" spans="1:10" x14ac:dyDescent="0.25">
      <c r="A2359" t="s">
        <v>2738</v>
      </c>
      <c r="B2359" t="s">
        <v>212</v>
      </c>
      <c r="C2359">
        <v>6</v>
      </c>
      <c r="D2359" t="s">
        <v>3478</v>
      </c>
      <c r="E2359">
        <v>61</v>
      </c>
      <c r="F2359">
        <v>10</v>
      </c>
      <c r="G2359">
        <v>51</v>
      </c>
      <c r="H2359" t="s">
        <v>3489</v>
      </c>
      <c r="I2359" t="s">
        <v>3490</v>
      </c>
      <c r="J2359" t="s">
        <v>3001</v>
      </c>
    </row>
    <row r="2360" spans="1:10" x14ac:dyDescent="0.25">
      <c r="A2360" t="s">
        <v>2738</v>
      </c>
      <c r="B2360" t="s">
        <v>212</v>
      </c>
      <c r="C2360">
        <v>6</v>
      </c>
      <c r="D2360" t="s">
        <v>3480</v>
      </c>
      <c r="E2360">
        <v>54</v>
      </c>
      <c r="F2360">
        <v>20</v>
      </c>
      <c r="G2360">
        <v>34</v>
      </c>
      <c r="H2360" t="s">
        <v>3493</v>
      </c>
      <c r="I2360" t="s">
        <v>3490</v>
      </c>
      <c r="J2360" t="s">
        <v>3001</v>
      </c>
    </row>
    <row r="2361" spans="1:10" x14ac:dyDescent="0.25">
      <c r="A2361" t="s">
        <v>2738</v>
      </c>
      <c r="B2361" t="s">
        <v>212</v>
      </c>
      <c r="C2361">
        <v>6</v>
      </c>
      <c r="D2361" t="s">
        <v>3482</v>
      </c>
      <c r="E2361">
        <v>66</v>
      </c>
      <c r="F2361">
        <v>27</v>
      </c>
      <c r="G2361">
        <v>39</v>
      </c>
      <c r="H2361" t="s">
        <v>3489</v>
      </c>
      <c r="I2361" t="s">
        <v>3490</v>
      </c>
      <c r="J2361" t="s">
        <v>3001</v>
      </c>
    </row>
    <row r="2362" spans="1:10" x14ac:dyDescent="0.25">
      <c r="A2362" t="s">
        <v>2743</v>
      </c>
      <c r="B2362" t="s">
        <v>159</v>
      </c>
      <c r="C2362">
        <v>6</v>
      </c>
      <c r="D2362" t="s">
        <v>3114</v>
      </c>
      <c r="E2362">
        <v>74</v>
      </c>
      <c r="F2362">
        <v>13</v>
      </c>
      <c r="G2362">
        <v>61</v>
      </c>
      <c r="H2362" t="s">
        <v>3494</v>
      </c>
      <c r="I2362" t="s">
        <v>3490</v>
      </c>
      <c r="J2362" t="s">
        <v>2902</v>
      </c>
    </row>
    <row r="2363" spans="1:10" x14ac:dyDescent="0.25">
      <c r="A2363" t="s">
        <v>2743</v>
      </c>
      <c r="B2363" t="s">
        <v>159</v>
      </c>
      <c r="C2363">
        <v>6</v>
      </c>
      <c r="D2363" t="s">
        <v>3116</v>
      </c>
      <c r="E2363">
        <v>67</v>
      </c>
      <c r="F2363">
        <v>27</v>
      </c>
      <c r="G2363">
        <v>40</v>
      </c>
      <c r="H2363" t="s">
        <v>3489</v>
      </c>
      <c r="I2363" t="s">
        <v>3490</v>
      </c>
      <c r="J2363" t="s">
        <v>2902</v>
      </c>
    </row>
    <row r="2364" spans="1:10" x14ac:dyDescent="0.25">
      <c r="A2364" t="s">
        <v>2743</v>
      </c>
      <c r="B2364" t="s">
        <v>159</v>
      </c>
      <c r="C2364">
        <v>6</v>
      </c>
      <c r="D2364" t="s">
        <v>3118</v>
      </c>
      <c r="E2364">
        <v>34</v>
      </c>
      <c r="F2364">
        <v>14</v>
      </c>
      <c r="G2364">
        <v>20</v>
      </c>
      <c r="H2364" t="s">
        <v>3491</v>
      </c>
      <c r="I2364" t="s">
        <v>3492</v>
      </c>
      <c r="J2364" t="s">
        <v>2902</v>
      </c>
    </row>
    <row r="2365" spans="1:10" x14ac:dyDescent="0.25">
      <c r="A2365" t="s">
        <v>2743</v>
      </c>
      <c r="B2365" t="s">
        <v>159</v>
      </c>
      <c r="C2365">
        <v>6</v>
      </c>
      <c r="D2365" t="s">
        <v>3120</v>
      </c>
      <c r="E2365">
        <v>46</v>
      </c>
      <c r="F2365">
        <v>12</v>
      </c>
      <c r="G2365">
        <v>34</v>
      </c>
      <c r="H2365" t="s">
        <v>3491</v>
      </c>
      <c r="I2365" t="s">
        <v>3492</v>
      </c>
      <c r="J2365" t="s">
        <v>2902</v>
      </c>
    </row>
    <row r="2366" spans="1:10" x14ac:dyDescent="0.25">
      <c r="A2366" t="s">
        <v>2743</v>
      </c>
      <c r="B2366" t="s">
        <v>159</v>
      </c>
      <c r="C2366">
        <v>6</v>
      </c>
      <c r="D2366" t="s">
        <v>3122</v>
      </c>
      <c r="E2366">
        <v>53</v>
      </c>
      <c r="F2366">
        <v>22</v>
      </c>
      <c r="G2366">
        <v>31</v>
      </c>
      <c r="H2366" t="s">
        <v>3493</v>
      </c>
      <c r="I2366" t="s">
        <v>3490</v>
      </c>
      <c r="J2366" t="s">
        <v>2902</v>
      </c>
    </row>
    <row r="2367" spans="1:10" x14ac:dyDescent="0.25">
      <c r="A2367" t="s">
        <v>2748</v>
      </c>
      <c r="B2367" t="s">
        <v>95</v>
      </c>
      <c r="C2367">
        <v>6</v>
      </c>
      <c r="D2367" t="s">
        <v>3234</v>
      </c>
      <c r="E2367">
        <v>84</v>
      </c>
      <c r="F2367">
        <v>22</v>
      </c>
      <c r="G2367">
        <v>62</v>
      </c>
      <c r="H2367" t="s">
        <v>196</v>
      </c>
      <c r="I2367" t="s">
        <v>3490</v>
      </c>
      <c r="J2367" t="s">
        <v>2889</v>
      </c>
    </row>
    <row r="2368" spans="1:10" x14ac:dyDescent="0.25">
      <c r="A2368" t="s">
        <v>2748</v>
      </c>
      <c r="B2368" t="s">
        <v>95</v>
      </c>
      <c r="C2368">
        <v>6</v>
      </c>
      <c r="D2368" t="s">
        <v>3236</v>
      </c>
      <c r="E2368">
        <v>63</v>
      </c>
      <c r="F2368">
        <v>11</v>
      </c>
      <c r="G2368">
        <v>52</v>
      </c>
      <c r="H2368" t="s">
        <v>3489</v>
      </c>
      <c r="I2368" t="s">
        <v>3490</v>
      </c>
      <c r="J2368" t="s">
        <v>2889</v>
      </c>
    </row>
    <row r="2369" spans="1:10" x14ac:dyDescent="0.25">
      <c r="A2369" t="s">
        <v>2748</v>
      </c>
      <c r="B2369" t="s">
        <v>95</v>
      </c>
      <c r="C2369">
        <v>6</v>
      </c>
      <c r="D2369" t="s">
        <v>3238</v>
      </c>
      <c r="E2369">
        <v>81</v>
      </c>
      <c r="F2369">
        <v>19</v>
      </c>
      <c r="G2369">
        <v>62</v>
      </c>
      <c r="H2369" t="s">
        <v>196</v>
      </c>
      <c r="I2369" t="s">
        <v>3490</v>
      </c>
      <c r="J2369" t="s">
        <v>2889</v>
      </c>
    </row>
    <row r="2370" spans="1:10" x14ac:dyDescent="0.25">
      <c r="A2370" t="s">
        <v>2748</v>
      </c>
      <c r="B2370" t="s">
        <v>95</v>
      </c>
      <c r="C2370">
        <v>6</v>
      </c>
      <c r="D2370" t="s">
        <v>3240</v>
      </c>
      <c r="E2370">
        <v>56</v>
      </c>
      <c r="F2370">
        <v>22</v>
      </c>
      <c r="G2370">
        <v>34</v>
      </c>
      <c r="H2370" t="s">
        <v>3493</v>
      </c>
      <c r="I2370" t="s">
        <v>3490</v>
      </c>
      <c r="J2370" t="s">
        <v>2889</v>
      </c>
    </row>
    <row r="2371" spans="1:10" x14ac:dyDescent="0.25">
      <c r="A2371" t="s">
        <v>2748</v>
      </c>
      <c r="B2371" t="s">
        <v>95</v>
      </c>
      <c r="C2371">
        <v>6</v>
      </c>
      <c r="D2371" t="s">
        <v>3242</v>
      </c>
      <c r="E2371">
        <v>94</v>
      </c>
      <c r="F2371">
        <v>28</v>
      </c>
      <c r="G2371">
        <v>66</v>
      </c>
      <c r="H2371" t="s">
        <v>3495</v>
      </c>
      <c r="I2371" t="s">
        <v>3490</v>
      </c>
      <c r="J2371" t="s">
        <v>2889</v>
      </c>
    </row>
    <row r="2372" spans="1:10" x14ac:dyDescent="0.25">
      <c r="A2372" t="s">
        <v>2753</v>
      </c>
      <c r="B2372" t="s">
        <v>63</v>
      </c>
      <c r="C2372">
        <v>8</v>
      </c>
      <c r="D2372" t="s">
        <v>3414</v>
      </c>
      <c r="E2372">
        <v>87</v>
      </c>
      <c r="F2372">
        <v>25</v>
      </c>
      <c r="G2372">
        <v>62</v>
      </c>
      <c r="H2372" t="s">
        <v>196</v>
      </c>
      <c r="I2372" t="s">
        <v>3490</v>
      </c>
      <c r="J2372" t="s">
        <v>2932</v>
      </c>
    </row>
    <row r="2373" spans="1:10" x14ac:dyDescent="0.25">
      <c r="A2373" t="s">
        <v>2753</v>
      </c>
      <c r="B2373" t="s">
        <v>63</v>
      </c>
      <c r="C2373">
        <v>8</v>
      </c>
      <c r="D2373" t="s">
        <v>3416</v>
      </c>
      <c r="E2373">
        <v>65</v>
      </c>
      <c r="F2373">
        <v>21</v>
      </c>
      <c r="G2373">
        <v>44</v>
      </c>
      <c r="H2373" t="s">
        <v>3489</v>
      </c>
      <c r="I2373" t="s">
        <v>3490</v>
      </c>
      <c r="J2373" t="s">
        <v>2932</v>
      </c>
    </row>
    <row r="2374" spans="1:10" x14ac:dyDescent="0.25">
      <c r="A2374" t="s">
        <v>2753</v>
      </c>
      <c r="B2374" t="s">
        <v>63</v>
      </c>
      <c r="C2374">
        <v>8</v>
      </c>
      <c r="D2374" t="s">
        <v>3418</v>
      </c>
      <c r="E2374">
        <v>52</v>
      </c>
      <c r="F2374">
        <v>12</v>
      </c>
      <c r="G2374">
        <v>40</v>
      </c>
      <c r="H2374" t="s">
        <v>3493</v>
      </c>
      <c r="I2374" t="s">
        <v>3490</v>
      </c>
      <c r="J2374" t="s">
        <v>2932</v>
      </c>
    </row>
    <row r="2375" spans="1:10" x14ac:dyDescent="0.25">
      <c r="A2375" t="s">
        <v>2753</v>
      </c>
      <c r="B2375" t="s">
        <v>63</v>
      </c>
      <c r="C2375">
        <v>8</v>
      </c>
      <c r="D2375" t="s">
        <v>3420</v>
      </c>
      <c r="E2375">
        <v>88</v>
      </c>
      <c r="F2375">
        <v>18</v>
      </c>
      <c r="G2375">
        <v>70</v>
      </c>
      <c r="H2375" t="s">
        <v>196</v>
      </c>
      <c r="I2375" t="s">
        <v>3490</v>
      </c>
      <c r="J2375" t="s">
        <v>2932</v>
      </c>
    </row>
    <row r="2376" spans="1:10" x14ac:dyDescent="0.25">
      <c r="A2376" t="s">
        <v>2753</v>
      </c>
      <c r="B2376" t="s">
        <v>63</v>
      </c>
      <c r="C2376">
        <v>8</v>
      </c>
      <c r="D2376" t="s">
        <v>3422</v>
      </c>
      <c r="E2376">
        <v>47</v>
      </c>
      <c r="F2376">
        <v>25</v>
      </c>
      <c r="G2376">
        <v>22</v>
      </c>
      <c r="H2376" t="s">
        <v>3491</v>
      </c>
      <c r="I2376" t="s">
        <v>3492</v>
      </c>
      <c r="J2376" t="s">
        <v>2932</v>
      </c>
    </row>
    <row r="2377" spans="1:10" x14ac:dyDescent="0.25">
      <c r="A2377" t="s">
        <v>2758</v>
      </c>
      <c r="B2377" t="s">
        <v>63</v>
      </c>
      <c r="C2377">
        <v>8</v>
      </c>
      <c r="D2377" t="s">
        <v>3414</v>
      </c>
      <c r="E2377">
        <v>61</v>
      </c>
      <c r="F2377">
        <v>21</v>
      </c>
      <c r="G2377">
        <v>40</v>
      </c>
      <c r="H2377" t="s">
        <v>3489</v>
      </c>
      <c r="I2377" t="s">
        <v>3490</v>
      </c>
      <c r="J2377" t="s">
        <v>2932</v>
      </c>
    </row>
    <row r="2378" spans="1:10" x14ac:dyDescent="0.25">
      <c r="A2378" t="s">
        <v>2758</v>
      </c>
      <c r="B2378" t="s">
        <v>63</v>
      </c>
      <c r="C2378">
        <v>8</v>
      </c>
      <c r="D2378" t="s">
        <v>3416</v>
      </c>
      <c r="E2378">
        <v>74</v>
      </c>
      <c r="F2378">
        <v>18</v>
      </c>
      <c r="G2378">
        <v>56</v>
      </c>
      <c r="H2378" t="s">
        <v>3494</v>
      </c>
      <c r="I2378" t="s">
        <v>3490</v>
      </c>
      <c r="J2378" t="s">
        <v>2932</v>
      </c>
    </row>
    <row r="2379" spans="1:10" x14ac:dyDescent="0.25">
      <c r="A2379" t="s">
        <v>2758</v>
      </c>
      <c r="B2379" t="s">
        <v>63</v>
      </c>
      <c r="C2379">
        <v>8</v>
      </c>
      <c r="D2379" t="s">
        <v>3418</v>
      </c>
      <c r="E2379">
        <v>43</v>
      </c>
      <c r="F2379">
        <v>12</v>
      </c>
      <c r="G2379">
        <v>31</v>
      </c>
      <c r="H2379" t="s">
        <v>3491</v>
      </c>
      <c r="I2379" t="s">
        <v>3492</v>
      </c>
      <c r="J2379" t="s">
        <v>2932</v>
      </c>
    </row>
    <row r="2380" spans="1:10" x14ac:dyDescent="0.25">
      <c r="A2380" t="s">
        <v>2758</v>
      </c>
      <c r="B2380" t="s">
        <v>63</v>
      </c>
      <c r="C2380">
        <v>8</v>
      </c>
      <c r="D2380" t="s">
        <v>3420</v>
      </c>
      <c r="E2380">
        <v>92</v>
      </c>
      <c r="F2380">
        <v>30</v>
      </c>
      <c r="G2380">
        <v>62</v>
      </c>
      <c r="H2380" t="s">
        <v>3495</v>
      </c>
      <c r="I2380" t="s">
        <v>3490</v>
      </c>
      <c r="J2380" t="s">
        <v>2932</v>
      </c>
    </row>
    <row r="2381" spans="1:10" x14ac:dyDescent="0.25">
      <c r="A2381" t="s">
        <v>2758</v>
      </c>
      <c r="B2381" t="s">
        <v>63</v>
      </c>
      <c r="C2381">
        <v>8</v>
      </c>
      <c r="D2381" t="s">
        <v>3422</v>
      </c>
      <c r="E2381">
        <v>55</v>
      </c>
      <c r="F2381">
        <v>12</v>
      </c>
      <c r="G2381">
        <v>43</v>
      </c>
      <c r="H2381" t="s">
        <v>3493</v>
      </c>
      <c r="I2381" t="s">
        <v>3490</v>
      </c>
      <c r="J2381" t="s">
        <v>2932</v>
      </c>
    </row>
    <row r="2382" spans="1:10" x14ac:dyDescent="0.25">
      <c r="A2382" t="s">
        <v>2763</v>
      </c>
      <c r="B2382" t="s">
        <v>212</v>
      </c>
      <c r="C2382">
        <v>6</v>
      </c>
      <c r="D2382" t="s">
        <v>3474</v>
      </c>
      <c r="E2382">
        <v>59</v>
      </c>
      <c r="F2382">
        <v>12</v>
      </c>
      <c r="G2382">
        <v>47</v>
      </c>
      <c r="H2382" t="s">
        <v>3493</v>
      </c>
      <c r="I2382" t="s">
        <v>3490</v>
      </c>
      <c r="J2382" t="s">
        <v>3001</v>
      </c>
    </row>
    <row r="2383" spans="1:10" x14ac:dyDescent="0.25">
      <c r="A2383" t="s">
        <v>2763</v>
      </c>
      <c r="B2383" t="s">
        <v>212</v>
      </c>
      <c r="C2383">
        <v>6</v>
      </c>
      <c r="D2383" t="s">
        <v>3476</v>
      </c>
      <c r="E2383">
        <v>42</v>
      </c>
      <c r="F2383">
        <v>18</v>
      </c>
      <c r="G2383">
        <v>24</v>
      </c>
      <c r="H2383" t="s">
        <v>3491</v>
      </c>
      <c r="I2383" t="s">
        <v>3492</v>
      </c>
      <c r="J2383" t="s">
        <v>3001</v>
      </c>
    </row>
    <row r="2384" spans="1:10" x14ac:dyDescent="0.25">
      <c r="A2384" t="s">
        <v>2763</v>
      </c>
      <c r="B2384" t="s">
        <v>212</v>
      </c>
      <c r="C2384">
        <v>6</v>
      </c>
      <c r="D2384" t="s">
        <v>3478</v>
      </c>
      <c r="E2384">
        <v>68</v>
      </c>
      <c r="F2384">
        <v>12</v>
      </c>
      <c r="G2384">
        <v>56</v>
      </c>
      <c r="H2384" t="s">
        <v>3489</v>
      </c>
      <c r="I2384" t="s">
        <v>3490</v>
      </c>
      <c r="J2384" t="s">
        <v>3001</v>
      </c>
    </row>
    <row r="2385" spans="1:10" x14ac:dyDescent="0.25">
      <c r="A2385" t="s">
        <v>2763</v>
      </c>
      <c r="B2385" t="s">
        <v>212</v>
      </c>
      <c r="C2385">
        <v>6</v>
      </c>
      <c r="D2385" t="s">
        <v>3480</v>
      </c>
      <c r="E2385">
        <v>61</v>
      </c>
      <c r="F2385">
        <v>20</v>
      </c>
      <c r="G2385">
        <v>41</v>
      </c>
      <c r="H2385" t="s">
        <v>3489</v>
      </c>
      <c r="I2385" t="s">
        <v>3490</v>
      </c>
      <c r="J2385" t="s">
        <v>3001</v>
      </c>
    </row>
    <row r="2386" spans="1:10" x14ac:dyDescent="0.25">
      <c r="A2386" t="s">
        <v>2763</v>
      </c>
      <c r="B2386" t="s">
        <v>212</v>
      </c>
      <c r="C2386">
        <v>6</v>
      </c>
      <c r="D2386" t="s">
        <v>3482</v>
      </c>
      <c r="E2386">
        <v>60</v>
      </c>
      <c r="F2386">
        <v>23</v>
      </c>
      <c r="G2386">
        <v>37</v>
      </c>
      <c r="H2386" t="s">
        <v>3489</v>
      </c>
      <c r="I2386" t="s">
        <v>3490</v>
      </c>
      <c r="J2386" t="s">
        <v>3001</v>
      </c>
    </row>
    <row r="2387" spans="1:10" x14ac:dyDescent="0.25">
      <c r="A2387" t="s">
        <v>2768</v>
      </c>
      <c r="B2387" t="s">
        <v>63</v>
      </c>
      <c r="C2387">
        <v>4</v>
      </c>
      <c r="D2387" t="s">
        <v>3394</v>
      </c>
      <c r="E2387">
        <v>66</v>
      </c>
      <c r="F2387">
        <v>10</v>
      </c>
      <c r="G2387">
        <v>56</v>
      </c>
      <c r="H2387" t="s">
        <v>3489</v>
      </c>
      <c r="I2387" t="s">
        <v>3490</v>
      </c>
      <c r="J2387" t="s">
        <v>2932</v>
      </c>
    </row>
    <row r="2388" spans="1:10" x14ac:dyDescent="0.25">
      <c r="A2388" t="s">
        <v>2768</v>
      </c>
      <c r="B2388" t="s">
        <v>63</v>
      </c>
      <c r="C2388">
        <v>4</v>
      </c>
      <c r="D2388" t="s">
        <v>3396</v>
      </c>
      <c r="E2388">
        <v>68</v>
      </c>
      <c r="F2388">
        <v>12</v>
      </c>
      <c r="G2388">
        <v>56</v>
      </c>
      <c r="H2388" t="s">
        <v>3489</v>
      </c>
      <c r="I2388" t="s">
        <v>3490</v>
      </c>
      <c r="J2388" t="s">
        <v>2932</v>
      </c>
    </row>
    <row r="2389" spans="1:10" x14ac:dyDescent="0.25">
      <c r="A2389" t="s">
        <v>2768</v>
      </c>
      <c r="B2389" t="s">
        <v>63</v>
      </c>
      <c r="C2389">
        <v>4</v>
      </c>
      <c r="D2389" t="s">
        <v>3398</v>
      </c>
      <c r="E2389">
        <v>79</v>
      </c>
      <c r="F2389">
        <v>22</v>
      </c>
      <c r="G2389">
        <v>57</v>
      </c>
      <c r="H2389" t="s">
        <v>3494</v>
      </c>
      <c r="I2389" t="s">
        <v>3490</v>
      </c>
      <c r="J2389" t="s">
        <v>2932</v>
      </c>
    </row>
    <row r="2390" spans="1:10" x14ac:dyDescent="0.25">
      <c r="A2390" t="s">
        <v>2768</v>
      </c>
      <c r="B2390" t="s">
        <v>63</v>
      </c>
      <c r="C2390">
        <v>4</v>
      </c>
      <c r="D2390" t="s">
        <v>3400</v>
      </c>
      <c r="E2390">
        <v>73</v>
      </c>
      <c r="F2390">
        <v>16</v>
      </c>
      <c r="G2390">
        <v>57</v>
      </c>
      <c r="H2390" t="s">
        <v>3494</v>
      </c>
      <c r="I2390" t="s">
        <v>3490</v>
      </c>
      <c r="J2390" t="s">
        <v>2932</v>
      </c>
    </row>
    <row r="2391" spans="1:10" x14ac:dyDescent="0.25">
      <c r="A2391" t="s">
        <v>2768</v>
      </c>
      <c r="B2391" t="s">
        <v>63</v>
      </c>
      <c r="C2391">
        <v>4</v>
      </c>
      <c r="D2391" t="s">
        <v>3402</v>
      </c>
      <c r="E2391">
        <v>68</v>
      </c>
      <c r="F2391">
        <v>20</v>
      </c>
      <c r="G2391">
        <v>48</v>
      </c>
      <c r="H2391" t="s">
        <v>3489</v>
      </c>
      <c r="I2391" t="s">
        <v>3490</v>
      </c>
      <c r="J2391" t="s">
        <v>2932</v>
      </c>
    </row>
    <row r="2392" spans="1:10" x14ac:dyDescent="0.25">
      <c r="A2392" t="s">
        <v>2773</v>
      </c>
      <c r="B2392" t="s">
        <v>212</v>
      </c>
      <c r="C2392">
        <v>8</v>
      </c>
      <c r="D2392" t="s">
        <v>3474</v>
      </c>
      <c r="E2392">
        <v>78</v>
      </c>
      <c r="F2392">
        <v>27</v>
      </c>
      <c r="G2392">
        <v>51</v>
      </c>
      <c r="H2392" t="s">
        <v>3494</v>
      </c>
      <c r="I2392" t="s">
        <v>3490</v>
      </c>
      <c r="J2392" t="s">
        <v>3001</v>
      </c>
    </row>
    <row r="2393" spans="1:10" x14ac:dyDescent="0.25">
      <c r="A2393" t="s">
        <v>2773</v>
      </c>
      <c r="B2393" t="s">
        <v>212</v>
      </c>
      <c r="C2393">
        <v>8</v>
      </c>
      <c r="D2393" t="s">
        <v>3476</v>
      </c>
      <c r="E2393">
        <v>52</v>
      </c>
      <c r="F2393">
        <v>21</v>
      </c>
      <c r="G2393">
        <v>31</v>
      </c>
      <c r="H2393" t="s">
        <v>3493</v>
      </c>
      <c r="I2393" t="s">
        <v>3490</v>
      </c>
      <c r="J2393" t="s">
        <v>3001</v>
      </c>
    </row>
    <row r="2394" spans="1:10" x14ac:dyDescent="0.25">
      <c r="A2394" t="s">
        <v>2773</v>
      </c>
      <c r="B2394" t="s">
        <v>212</v>
      </c>
      <c r="C2394">
        <v>8</v>
      </c>
      <c r="D2394" t="s">
        <v>3478</v>
      </c>
      <c r="E2394">
        <v>61</v>
      </c>
      <c r="F2394">
        <v>11</v>
      </c>
      <c r="G2394">
        <v>50</v>
      </c>
      <c r="H2394" t="s">
        <v>3489</v>
      </c>
      <c r="I2394" t="s">
        <v>3490</v>
      </c>
      <c r="J2394" t="s">
        <v>3001</v>
      </c>
    </row>
    <row r="2395" spans="1:10" x14ac:dyDescent="0.25">
      <c r="A2395" t="s">
        <v>2773</v>
      </c>
      <c r="B2395" t="s">
        <v>212</v>
      </c>
      <c r="C2395">
        <v>8</v>
      </c>
      <c r="D2395" t="s">
        <v>3480</v>
      </c>
      <c r="E2395">
        <v>38</v>
      </c>
      <c r="F2395">
        <v>10</v>
      </c>
      <c r="G2395">
        <v>28</v>
      </c>
      <c r="H2395" t="s">
        <v>3491</v>
      </c>
      <c r="I2395" t="s">
        <v>3492</v>
      </c>
      <c r="J2395" t="s">
        <v>3001</v>
      </c>
    </row>
    <row r="2396" spans="1:10" x14ac:dyDescent="0.25">
      <c r="A2396" t="s">
        <v>2773</v>
      </c>
      <c r="B2396" t="s">
        <v>212</v>
      </c>
      <c r="C2396">
        <v>8</v>
      </c>
      <c r="D2396" t="s">
        <v>3482</v>
      </c>
      <c r="E2396">
        <v>46</v>
      </c>
      <c r="F2396">
        <v>10</v>
      </c>
      <c r="G2396">
        <v>36</v>
      </c>
      <c r="H2396" t="s">
        <v>3491</v>
      </c>
      <c r="I2396" t="s">
        <v>3492</v>
      </c>
      <c r="J2396" t="s">
        <v>3001</v>
      </c>
    </row>
    <row r="2397" spans="1:10" x14ac:dyDescent="0.25">
      <c r="A2397" t="s">
        <v>2778</v>
      </c>
      <c r="B2397" t="s">
        <v>122</v>
      </c>
      <c r="C2397">
        <v>8</v>
      </c>
      <c r="D2397" t="s">
        <v>3294</v>
      </c>
      <c r="E2397">
        <v>62</v>
      </c>
      <c r="F2397">
        <v>15</v>
      </c>
      <c r="G2397">
        <v>47</v>
      </c>
      <c r="H2397" t="s">
        <v>3489</v>
      </c>
      <c r="I2397" t="s">
        <v>3490</v>
      </c>
      <c r="J2397" t="s">
        <v>2919</v>
      </c>
    </row>
    <row r="2398" spans="1:10" x14ac:dyDescent="0.25">
      <c r="A2398" t="s">
        <v>2778</v>
      </c>
      <c r="B2398" t="s">
        <v>122</v>
      </c>
      <c r="C2398">
        <v>8</v>
      </c>
      <c r="D2398" t="s">
        <v>3296</v>
      </c>
      <c r="E2398">
        <v>77</v>
      </c>
      <c r="F2398">
        <v>15</v>
      </c>
      <c r="G2398">
        <v>62</v>
      </c>
      <c r="H2398" t="s">
        <v>3494</v>
      </c>
      <c r="I2398" t="s">
        <v>3490</v>
      </c>
      <c r="J2398" t="s">
        <v>2919</v>
      </c>
    </row>
    <row r="2399" spans="1:10" x14ac:dyDescent="0.25">
      <c r="A2399" t="s">
        <v>2778</v>
      </c>
      <c r="B2399" t="s">
        <v>122</v>
      </c>
      <c r="C2399">
        <v>8</v>
      </c>
      <c r="D2399" t="s">
        <v>3298</v>
      </c>
      <c r="E2399">
        <v>34</v>
      </c>
      <c r="F2399">
        <v>10</v>
      </c>
      <c r="G2399">
        <v>24</v>
      </c>
      <c r="H2399" t="s">
        <v>3491</v>
      </c>
      <c r="I2399" t="s">
        <v>3492</v>
      </c>
      <c r="J2399" t="s">
        <v>2919</v>
      </c>
    </row>
    <row r="2400" spans="1:10" x14ac:dyDescent="0.25">
      <c r="A2400" t="s">
        <v>2778</v>
      </c>
      <c r="B2400" t="s">
        <v>122</v>
      </c>
      <c r="C2400">
        <v>8</v>
      </c>
      <c r="D2400" t="s">
        <v>3300</v>
      </c>
      <c r="E2400">
        <v>90</v>
      </c>
      <c r="F2400">
        <v>29</v>
      </c>
      <c r="G2400">
        <v>61</v>
      </c>
      <c r="H2400" t="s">
        <v>3495</v>
      </c>
      <c r="I2400" t="s">
        <v>3490</v>
      </c>
      <c r="J2400" t="s">
        <v>2919</v>
      </c>
    </row>
    <row r="2401" spans="1:10" x14ac:dyDescent="0.25">
      <c r="A2401" t="s">
        <v>2778</v>
      </c>
      <c r="B2401" t="s">
        <v>122</v>
      </c>
      <c r="C2401">
        <v>8</v>
      </c>
      <c r="D2401" t="s">
        <v>3302</v>
      </c>
      <c r="E2401">
        <v>51</v>
      </c>
      <c r="F2401">
        <v>25</v>
      </c>
      <c r="G2401">
        <v>26</v>
      </c>
      <c r="H2401" t="s">
        <v>3493</v>
      </c>
      <c r="I2401" t="s">
        <v>3490</v>
      </c>
      <c r="J2401" t="s">
        <v>2919</v>
      </c>
    </row>
    <row r="2402" spans="1:10" x14ac:dyDescent="0.25">
      <c r="A2402" t="s">
        <v>2783</v>
      </c>
      <c r="B2402" t="s">
        <v>122</v>
      </c>
      <c r="C2402">
        <v>8</v>
      </c>
      <c r="D2402" t="s">
        <v>3294</v>
      </c>
      <c r="E2402">
        <v>80</v>
      </c>
      <c r="F2402">
        <v>14</v>
      </c>
      <c r="G2402">
        <v>66</v>
      </c>
      <c r="H2402" t="s">
        <v>196</v>
      </c>
      <c r="I2402" t="s">
        <v>3490</v>
      </c>
      <c r="J2402" t="s">
        <v>2919</v>
      </c>
    </row>
    <row r="2403" spans="1:10" x14ac:dyDescent="0.25">
      <c r="A2403" t="s">
        <v>2783</v>
      </c>
      <c r="B2403" t="s">
        <v>122</v>
      </c>
      <c r="C2403">
        <v>8</v>
      </c>
      <c r="D2403" t="s">
        <v>3296</v>
      </c>
      <c r="E2403">
        <v>41</v>
      </c>
      <c r="F2403">
        <v>12</v>
      </c>
      <c r="G2403">
        <v>29</v>
      </c>
      <c r="H2403" t="s">
        <v>3491</v>
      </c>
      <c r="I2403" t="s">
        <v>3492</v>
      </c>
      <c r="J2403" t="s">
        <v>2919</v>
      </c>
    </row>
    <row r="2404" spans="1:10" x14ac:dyDescent="0.25">
      <c r="A2404" t="s">
        <v>2783</v>
      </c>
      <c r="B2404" t="s">
        <v>122</v>
      </c>
      <c r="C2404">
        <v>8</v>
      </c>
      <c r="D2404" t="s">
        <v>3298</v>
      </c>
      <c r="E2404">
        <v>43</v>
      </c>
      <c r="F2404">
        <v>19</v>
      </c>
      <c r="G2404">
        <v>24</v>
      </c>
      <c r="H2404" t="s">
        <v>3491</v>
      </c>
      <c r="I2404" t="s">
        <v>3492</v>
      </c>
      <c r="J2404" t="s">
        <v>2919</v>
      </c>
    </row>
    <row r="2405" spans="1:10" x14ac:dyDescent="0.25">
      <c r="A2405" t="s">
        <v>2783</v>
      </c>
      <c r="B2405" t="s">
        <v>122</v>
      </c>
      <c r="C2405">
        <v>8</v>
      </c>
      <c r="D2405" t="s">
        <v>3300</v>
      </c>
      <c r="E2405">
        <v>72</v>
      </c>
      <c r="F2405">
        <v>16</v>
      </c>
      <c r="G2405">
        <v>56</v>
      </c>
      <c r="H2405" t="s">
        <v>3494</v>
      </c>
      <c r="I2405" t="s">
        <v>3490</v>
      </c>
      <c r="J2405" t="s">
        <v>2919</v>
      </c>
    </row>
    <row r="2406" spans="1:10" x14ac:dyDescent="0.25">
      <c r="A2406" t="s">
        <v>2783</v>
      </c>
      <c r="B2406" t="s">
        <v>122</v>
      </c>
      <c r="C2406">
        <v>8</v>
      </c>
      <c r="D2406" t="s">
        <v>3302</v>
      </c>
      <c r="E2406">
        <v>85</v>
      </c>
      <c r="F2406">
        <v>17</v>
      </c>
      <c r="G2406">
        <v>68</v>
      </c>
      <c r="H2406" t="s">
        <v>196</v>
      </c>
      <c r="I2406" t="s">
        <v>3490</v>
      </c>
      <c r="J2406" t="s">
        <v>2919</v>
      </c>
    </row>
    <row r="2407" spans="1:10" x14ac:dyDescent="0.25">
      <c r="A2407" t="s">
        <v>2788</v>
      </c>
      <c r="B2407" t="s">
        <v>105</v>
      </c>
      <c r="C2407">
        <v>4</v>
      </c>
      <c r="D2407" t="s">
        <v>3154</v>
      </c>
      <c r="E2407">
        <v>82</v>
      </c>
      <c r="F2407">
        <v>23</v>
      </c>
      <c r="G2407">
        <v>59</v>
      </c>
      <c r="H2407" t="s">
        <v>196</v>
      </c>
      <c r="I2407" t="s">
        <v>3490</v>
      </c>
      <c r="J2407" t="s">
        <v>2908</v>
      </c>
    </row>
    <row r="2408" spans="1:10" x14ac:dyDescent="0.25">
      <c r="A2408" t="s">
        <v>2788</v>
      </c>
      <c r="B2408" t="s">
        <v>105</v>
      </c>
      <c r="C2408">
        <v>4</v>
      </c>
      <c r="D2408" t="s">
        <v>3156</v>
      </c>
      <c r="E2408">
        <v>71</v>
      </c>
      <c r="F2408">
        <v>22</v>
      </c>
      <c r="G2408">
        <v>49</v>
      </c>
      <c r="H2408" t="s">
        <v>3494</v>
      </c>
      <c r="I2408" t="s">
        <v>3490</v>
      </c>
      <c r="J2408" t="s">
        <v>2908</v>
      </c>
    </row>
    <row r="2409" spans="1:10" x14ac:dyDescent="0.25">
      <c r="A2409" t="s">
        <v>2788</v>
      </c>
      <c r="B2409" t="s">
        <v>105</v>
      </c>
      <c r="C2409">
        <v>4</v>
      </c>
      <c r="D2409" t="s">
        <v>3158</v>
      </c>
      <c r="E2409">
        <v>83</v>
      </c>
      <c r="F2409">
        <v>27</v>
      </c>
      <c r="G2409">
        <v>56</v>
      </c>
      <c r="H2409" t="s">
        <v>196</v>
      </c>
      <c r="I2409" t="s">
        <v>3490</v>
      </c>
      <c r="J2409" t="s">
        <v>2908</v>
      </c>
    </row>
    <row r="2410" spans="1:10" x14ac:dyDescent="0.25">
      <c r="A2410" t="s">
        <v>2788</v>
      </c>
      <c r="B2410" t="s">
        <v>105</v>
      </c>
      <c r="C2410">
        <v>4</v>
      </c>
      <c r="D2410" t="s">
        <v>3160</v>
      </c>
      <c r="E2410">
        <v>79</v>
      </c>
      <c r="F2410">
        <v>30</v>
      </c>
      <c r="G2410">
        <v>49</v>
      </c>
      <c r="H2410" t="s">
        <v>3494</v>
      </c>
      <c r="I2410" t="s">
        <v>3490</v>
      </c>
      <c r="J2410" t="s">
        <v>2908</v>
      </c>
    </row>
    <row r="2411" spans="1:10" x14ac:dyDescent="0.25">
      <c r="A2411" t="s">
        <v>2788</v>
      </c>
      <c r="B2411" t="s">
        <v>105</v>
      </c>
      <c r="C2411">
        <v>4</v>
      </c>
      <c r="D2411" t="s">
        <v>3162</v>
      </c>
      <c r="E2411">
        <v>44</v>
      </c>
      <c r="F2411">
        <v>22</v>
      </c>
      <c r="G2411">
        <v>22</v>
      </c>
      <c r="H2411" t="s">
        <v>3491</v>
      </c>
      <c r="I2411" t="s">
        <v>3492</v>
      </c>
      <c r="J2411" t="s">
        <v>2908</v>
      </c>
    </row>
    <row r="2412" spans="1:10" x14ac:dyDescent="0.25">
      <c r="A2412" t="s">
        <v>2793</v>
      </c>
      <c r="B2412" t="s">
        <v>105</v>
      </c>
      <c r="C2412">
        <v>4</v>
      </c>
      <c r="D2412" t="s">
        <v>3154</v>
      </c>
      <c r="E2412">
        <v>81</v>
      </c>
      <c r="F2412">
        <v>28</v>
      </c>
      <c r="G2412">
        <v>53</v>
      </c>
      <c r="H2412" t="s">
        <v>196</v>
      </c>
      <c r="I2412" t="s">
        <v>3490</v>
      </c>
      <c r="J2412" t="s">
        <v>2908</v>
      </c>
    </row>
    <row r="2413" spans="1:10" x14ac:dyDescent="0.25">
      <c r="A2413" t="s">
        <v>2793</v>
      </c>
      <c r="B2413" t="s">
        <v>105</v>
      </c>
      <c r="C2413">
        <v>4</v>
      </c>
      <c r="D2413" t="s">
        <v>3156</v>
      </c>
      <c r="E2413">
        <v>58</v>
      </c>
      <c r="F2413">
        <v>25</v>
      </c>
      <c r="G2413">
        <v>33</v>
      </c>
      <c r="H2413" t="s">
        <v>3493</v>
      </c>
      <c r="I2413" t="s">
        <v>3490</v>
      </c>
      <c r="J2413" t="s">
        <v>2908</v>
      </c>
    </row>
    <row r="2414" spans="1:10" x14ac:dyDescent="0.25">
      <c r="A2414" t="s">
        <v>2793</v>
      </c>
      <c r="B2414" t="s">
        <v>105</v>
      </c>
      <c r="C2414">
        <v>4</v>
      </c>
      <c r="D2414" t="s">
        <v>3158</v>
      </c>
      <c r="E2414">
        <v>42</v>
      </c>
      <c r="F2414">
        <v>12</v>
      </c>
      <c r="G2414">
        <v>30</v>
      </c>
      <c r="H2414" t="s">
        <v>3491</v>
      </c>
      <c r="I2414" t="s">
        <v>3492</v>
      </c>
      <c r="J2414" t="s">
        <v>2908</v>
      </c>
    </row>
    <row r="2415" spans="1:10" x14ac:dyDescent="0.25">
      <c r="A2415" t="s">
        <v>2793</v>
      </c>
      <c r="B2415" t="s">
        <v>105</v>
      </c>
      <c r="C2415">
        <v>4</v>
      </c>
      <c r="D2415" t="s">
        <v>3160</v>
      </c>
      <c r="E2415">
        <v>74</v>
      </c>
      <c r="F2415">
        <v>23</v>
      </c>
      <c r="G2415">
        <v>51</v>
      </c>
      <c r="H2415" t="s">
        <v>3494</v>
      </c>
      <c r="I2415" t="s">
        <v>3490</v>
      </c>
      <c r="J2415" t="s">
        <v>2908</v>
      </c>
    </row>
    <row r="2416" spans="1:10" x14ac:dyDescent="0.25">
      <c r="A2416" t="s">
        <v>2793</v>
      </c>
      <c r="B2416" t="s">
        <v>105</v>
      </c>
      <c r="C2416">
        <v>4</v>
      </c>
      <c r="D2416" t="s">
        <v>3162</v>
      </c>
      <c r="E2416">
        <v>59</v>
      </c>
      <c r="F2416">
        <v>25</v>
      </c>
      <c r="G2416">
        <v>34</v>
      </c>
      <c r="H2416" t="s">
        <v>3493</v>
      </c>
      <c r="I2416" t="s">
        <v>3490</v>
      </c>
      <c r="J2416" t="s">
        <v>2908</v>
      </c>
    </row>
    <row r="2417" spans="1:10" x14ac:dyDescent="0.25">
      <c r="A2417" t="s">
        <v>2798</v>
      </c>
      <c r="B2417" t="s">
        <v>63</v>
      </c>
      <c r="C2417">
        <v>4</v>
      </c>
      <c r="D2417" t="s">
        <v>3394</v>
      </c>
      <c r="E2417">
        <v>70</v>
      </c>
      <c r="F2417">
        <v>12</v>
      </c>
      <c r="G2417">
        <v>58</v>
      </c>
      <c r="H2417" t="s">
        <v>3494</v>
      </c>
      <c r="I2417" t="s">
        <v>3490</v>
      </c>
      <c r="J2417" t="s">
        <v>2932</v>
      </c>
    </row>
    <row r="2418" spans="1:10" x14ac:dyDescent="0.25">
      <c r="A2418" t="s">
        <v>2798</v>
      </c>
      <c r="B2418" t="s">
        <v>63</v>
      </c>
      <c r="C2418">
        <v>4</v>
      </c>
      <c r="D2418" t="s">
        <v>3396</v>
      </c>
      <c r="E2418">
        <v>43</v>
      </c>
      <c r="F2418">
        <v>15</v>
      </c>
      <c r="G2418">
        <v>28</v>
      </c>
      <c r="H2418" t="s">
        <v>3491</v>
      </c>
      <c r="I2418" t="s">
        <v>3492</v>
      </c>
      <c r="J2418" t="s">
        <v>2932</v>
      </c>
    </row>
    <row r="2419" spans="1:10" x14ac:dyDescent="0.25">
      <c r="A2419" t="s">
        <v>2798</v>
      </c>
      <c r="B2419" t="s">
        <v>63</v>
      </c>
      <c r="C2419">
        <v>4</v>
      </c>
      <c r="D2419" t="s">
        <v>3398</v>
      </c>
      <c r="E2419">
        <v>85</v>
      </c>
      <c r="F2419">
        <v>24</v>
      </c>
      <c r="G2419">
        <v>61</v>
      </c>
      <c r="H2419" t="s">
        <v>196</v>
      </c>
      <c r="I2419" t="s">
        <v>3490</v>
      </c>
      <c r="J2419" t="s">
        <v>2932</v>
      </c>
    </row>
    <row r="2420" spans="1:10" x14ac:dyDescent="0.25">
      <c r="A2420" t="s">
        <v>2798</v>
      </c>
      <c r="B2420" t="s">
        <v>63</v>
      </c>
      <c r="C2420">
        <v>4</v>
      </c>
      <c r="D2420" t="s">
        <v>3400</v>
      </c>
      <c r="E2420">
        <v>85</v>
      </c>
      <c r="F2420">
        <v>22</v>
      </c>
      <c r="G2420">
        <v>63</v>
      </c>
      <c r="H2420" t="s">
        <v>196</v>
      </c>
      <c r="I2420" t="s">
        <v>3490</v>
      </c>
      <c r="J2420" t="s">
        <v>2932</v>
      </c>
    </row>
    <row r="2421" spans="1:10" x14ac:dyDescent="0.25">
      <c r="A2421" t="s">
        <v>2798</v>
      </c>
      <c r="B2421" t="s">
        <v>63</v>
      </c>
      <c r="C2421">
        <v>4</v>
      </c>
      <c r="D2421" t="s">
        <v>3402</v>
      </c>
      <c r="E2421">
        <v>59</v>
      </c>
      <c r="F2421">
        <v>10</v>
      </c>
      <c r="G2421">
        <v>49</v>
      </c>
      <c r="H2421" t="s">
        <v>3493</v>
      </c>
      <c r="I2421" t="s">
        <v>3490</v>
      </c>
      <c r="J2421" t="s">
        <v>2932</v>
      </c>
    </row>
    <row r="2422" spans="1:10" x14ac:dyDescent="0.25">
      <c r="A2422" t="s">
        <v>2803</v>
      </c>
      <c r="B2422" t="s">
        <v>105</v>
      </c>
      <c r="C2422">
        <v>6</v>
      </c>
      <c r="D2422" t="s">
        <v>3174</v>
      </c>
      <c r="E2422">
        <v>84</v>
      </c>
      <c r="F2422">
        <v>20</v>
      </c>
      <c r="G2422">
        <v>64</v>
      </c>
      <c r="H2422" t="s">
        <v>196</v>
      </c>
      <c r="I2422" t="s">
        <v>3490</v>
      </c>
      <c r="J2422" t="s">
        <v>2908</v>
      </c>
    </row>
    <row r="2423" spans="1:10" x14ac:dyDescent="0.25">
      <c r="A2423" t="s">
        <v>2803</v>
      </c>
      <c r="B2423" t="s">
        <v>105</v>
      </c>
      <c r="C2423">
        <v>6</v>
      </c>
      <c r="D2423" t="s">
        <v>3176</v>
      </c>
      <c r="E2423">
        <v>81</v>
      </c>
      <c r="F2423">
        <v>28</v>
      </c>
      <c r="G2423">
        <v>53</v>
      </c>
      <c r="H2423" t="s">
        <v>196</v>
      </c>
      <c r="I2423" t="s">
        <v>3490</v>
      </c>
      <c r="J2423" t="s">
        <v>2908</v>
      </c>
    </row>
    <row r="2424" spans="1:10" x14ac:dyDescent="0.25">
      <c r="A2424" t="s">
        <v>2803</v>
      </c>
      <c r="B2424" t="s">
        <v>105</v>
      </c>
      <c r="C2424">
        <v>6</v>
      </c>
      <c r="D2424" t="s">
        <v>3178</v>
      </c>
      <c r="E2424">
        <v>86</v>
      </c>
      <c r="F2424">
        <v>27</v>
      </c>
      <c r="G2424">
        <v>59</v>
      </c>
      <c r="H2424" t="s">
        <v>196</v>
      </c>
      <c r="I2424" t="s">
        <v>3490</v>
      </c>
      <c r="J2424" t="s">
        <v>2908</v>
      </c>
    </row>
    <row r="2425" spans="1:10" x14ac:dyDescent="0.25">
      <c r="A2425" t="s">
        <v>2803</v>
      </c>
      <c r="B2425" t="s">
        <v>105</v>
      </c>
      <c r="C2425">
        <v>6</v>
      </c>
      <c r="D2425" t="s">
        <v>3180</v>
      </c>
      <c r="E2425">
        <v>86</v>
      </c>
      <c r="F2425">
        <v>25</v>
      </c>
      <c r="G2425">
        <v>61</v>
      </c>
      <c r="H2425" t="s">
        <v>196</v>
      </c>
      <c r="I2425" t="s">
        <v>3490</v>
      </c>
      <c r="J2425" t="s">
        <v>2908</v>
      </c>
    </row>
    <row r="2426" spans="1:10" x14ac:dyDescent="0.25">
      <c r="A2426" t="s">
        <v>2803</v>
      </c>
      <c r="B2426" t="s">
        <v>105</v>
      </c>
      <c r="C2426">
        <v>6</v>
      </c>
      <c r="D2426" t="s">
        <v>3182</v>
      </c>
      <c r="E2426">
        <v>73</v>
      </c>
      <c r="F2426">
        <v>27</v>
      </c>
      <c r="G2426">
        <v>46</v>
      </c>
      <c r="H2426" t="s">
        <v>3494</v>
      </c>
      <c r="I2426" t="s">
        <v>3490</v>
      </c>
      <c r="J2426" t="s">
        <v>2908</v>
      </c>
    </row>
    <row r="2427" spans="1:10" x14ac:dyDescent="0.25">
      <c r="A2427" t="s">
        <v>2808</v>
      </c>
      <c r="B2427" t="s">
        <v>30</v>
      </c>
      <c r="C2427">
        <v>4</v>
      </c>
      <c r="D2427" t="s">
        <v>3334</v>
      </c>
      <c r="E2427">
        <v>56</v>
      </c>
      <c r="F2427">
        <v>21</v>
      </c>
      <c r="G2427">
        <v>35</v>
      </c>
      <c r="H2427" t="s">
        <v>3493</v>
      </c>
      <c r="I2427" t="s">
        <v>3490</v>
      </c>
      <c r="J2427" t="s">
        <v>2895</v>
      </c>
    </row>
    <row r="2428" spans="1:10" x14ac:dyDescent="0.25">
      <c r="A2428" t="s">
        <v>2808</v>
      </c>
      <c r="B2428" t="s">
        <v>30</v>
      </c>
      <c r="C2428">
        <v>4</v>
      </c>
      <c r="D2428" t="s">
        <v>3336</v>
      </c>
      <c r="E2428">
        <v>63</v>
      </c>
      <c r="F2428">
        <v>30</v>
      </c>
      <c r="G2428">
        <v>33</v>
      </c>
      <c r="H2428" t="s">
        <v>3489</v>
      </c>
      <c r="I2428" t="s">
        <v>3490</v>
      </c>
      <c r="J2428" t="s">
        <v>2895</v>
      </c>
    </row>
    <row r="2429" spans="1:10" x14ac:dyDescent="0.25">
      <c r="A2429" t="s">
        <v>2808</v>
      </c>
      <c r="B2429" t="s">
        <v>30</v>
      </c>
      <c r="C2429">
        <v>4</v>
      </c>
      <c r="D2429" t="s">
        <v>3338</v>
      </c>
      <c r="E2429">
        <v>93</v>
      </c>
      <c r="F2429">
        <v>30</v>
      </c>
      <c r="G2429">
        <v>63</v>
      </c>
      <c r="H2429" t="s">
        <v>3495</v>
      </c>
      <c r="I2429" t="s">
        <v>3490</v>
      </c>
      <c r="J2429" t="s">
        <v>2895</v>
      </c>
    </row>
    <row r="2430" spans="1:10" x14ac:dyDescent="0.25">
      <c r="A2430" t="s">
        <v>2808</v>
      </c>
      <c r="B2430" t="s">
        <v>30</v>
      </c>
      <c r="C2430">
        <v>4</v>
      </c>
      <c r="D2430" t="s">
        <v>3340</v>
      </c>
      <c r="E2430">
        <v>92</v>
      </c>
      <c r="F2430">
        <v>28</v>
      </c>
      <c r="G2430">
        <v>64</v>
      </c>
      <c r="H2430" t="s">
        <v>3495</v>
      </c>
      <c r="I2430" t="s">
        <v>3490</v>
      </c>
      <c r="J2430" t="s">
        <v>2895</v>
      </c>
    </row>
    <row r="2431" spans="1:10" x14ac:dyDescent="0.25">
      <c r="A2431" t="s">
        <v>2808</v>
      </c>
      <c r="B2431" t="s">
        <v>30</v>
      </c>
      <c r="C2431">
        <v>4</v>
      </c>
      <c r="D2431" t="s">
        <v>3342</v>
      </c>
      <c r="E2431">
        <v>51</v>
      </c>
      <c r="F2431">
        <v>19</v>
      </c>
      <c r="G2431">
        <v>32</v>
      </c>
      <c r="H2431" t="s">
        <v>3493</v>
      </c>
      <c r="I2431" t="s">
        <v>3490</v>
      </c>
      <c r="J2431" t="s">
        <v>2895</v>
      </c>
    </row>
    <row r="2432" spans="1:10" x14ac:dyDescent="0.25">
      <c r="A2432" t="s">
        <v>2813</v>
      </c>
      <c r="B2432" t="s">
        <v>159</v>
      </c>
      <c r="C2432">
        <v>4</v>
      </c>
      <c r="D2432" t="s">
        <v>3094</v>
      </c>
      <c r="E2432">
        <v>71</v>
      </c>
      <c r="F2432">
        <v>13</v>
      </c>
      <c r="G2432">
        <v>58</v>
      </c>
      <c r="H2432" t="s">
        <v>3494</v>
      </c>
      <c r="I2432" t="s">
        <v>3490</v>
      </c>
      <c r="J2432" t="s">
        <v>2902</v>
      </c>
    </row>
    <row r="2433" spans="1:10" x14ac:dyDescent="0.25">
      <c r="A2433" t="s">
        <v>2813</v>
      </c>
      <c r="B2433" t="s">
        <v>159</v>
      </c>
      <c r="C2433">
        <v>4</v>
      </c>
      <c r="D2433" t="s">
        <v>3096</v>
      </c>
      <c r="E2433">
        <v>72</v>
      </c>
      <c r="F2433">
        <v>12</v>
      </c>
      <c r="G2433">
        <v>60</v>
      </c>
      <c r="H2433" t="s">
        <v>3494</v>
      </c>
      <c r="I2433" t="s">
        <v>3490</v>
      </c>
      <c r="J2433" t="s">
        <v>2902</v>
      </c>
    </row>
    <row r="2434" spans="1:10" x14ac:dyDescent="0.25">
      <c r="A2434" t="s">
        <v>2813</v>
      </c>
      <c r="B2434" t="s">
        <v>159</v>
      </c>
      <c r="C2434">
        <v>4</v>
      </c>
      <c r="D2434" t="s">
        <v>3098</v>
      </c>
      <c r="E2434">
        <v>63</v>
      </c>
      <c r="F2434">
        <v>22</v>
      </c>
      <c r="G2434">
        <v>41</v>
      </c>
      <c r="H2434" t="s">
        <v>3489</v>
      </c>
      <c r="I2434" t="s">
        <v>3490</v>
      </c>
      <c r="J2434" t="s">
        <v>2902</v>
      </c>
    </row>
    <row r="2435" spans="1:10" x14ac:dyDescent="0.25">
      <c r="A2435" t="s">
        <v>2813</v>
      </c>
      <c r="B2435" t="s">
        <v>159</v>
      </c>
      <c r="C2435">
        <v>4</v>
      </c>
      <c r="D2435" t="s">
        <v>3100</v>
      </c>
      <c r="E2435">
        <v>51</v>
      </c>
      <c r="F2435">
        <v>19</v>
      </c>
      <c r="G2435">
        <v>32</v>
      </c>
      <c r="H2435" t="s">
        <v>3493</v>
      </c>
      <c r="I2435" t="s">
        <v>3490</v>
      </c>
      <c r="J2435" t="s">
        <v>2902</v>
      </c>
    </row>
    <row r="2436" spans="1:10" x14ac:dyDescent="0.25">
      <c r="A2436" t="s">
        <v>2813</v>
      </c>
      <c r="B2436" t="s">
        <v>159</v>
      </c>
      <c r="C2436">
        <v>4</v>
      </c>
      <c r="D2436" t="s">
        <v>3102</v>
      </c>
      <c r="E2436">
        <v>62</v>
      </c>
      <c r="F2436">
        <v>10</v>
      </c>
      <c r="G2436">
        <v>52</v>
      </c>
      <c r="H2436" t="s">
        <v>3489</v>
      </c>
      <c r="I2436" t="s">
        <v>3490</v>
      </c>
      <c r="J2436" t="s">
        <v>2902</v>
      </c>
    </row>
    <row r="2437" spans="1:10" x14ac:dyDescent="0.25">
      <c r="A2437" t="s">
        <v>2817</v>
      </c>
      <c r="B2437" t="s">
        <v>63</v>
      </c>
      <c r="C2437">
        <v>8</v>
      </c>
      <c r="D2437" t="s">
        <v>3414</v>
      </c>
      <c r="E2437">
        <v>88</v>
      </c>
      <c r="F2437">
        <v>28</v>
      </c>
      <c r="G2437">
        <v>60</v>
      </c>
      <c r="H2437" t="s">
        <v>196</v>
      </c>
      <c r="I2437" t="s">
        <v>3490</v>
      </c>
      <c r="J2437" t="s">
        <v>2932</v>
      </c>
    </row>
    <row r="2438" spans="1:10" x14ac:dyDescent="0.25">
      <c r="A2438" t="s">
        <v>2817</v>
      </c>
      <c r="B2438" t="s">
        <v>63</v>
      </c>
      <c r="C2438">
        <v>8</v>
      </c>
      <c r="D2438" t="s">
        <v>3416</v>
      </c>
      <c r="E2438">
        <v>51</v>
      </c>
      <c r="F2438">
        <v>20</v>
      </c>
      <c r="G2438">
        <v>31</v>
      </c>
      <c r="H2438" t="s">
        <v>3493</v>
      </c>
      <c r="I2438" t="s">
        <v>3490</v>
      </c>
      <c r="J2438" t="s">
        <v>2932</v>
      </c>
    </row>
    <row r="2439" spans="1:10" x14ac:dyDescent="0.25">
      <c r="A2439" t="s">
        <v>2817</v>
      </c>
      <c r="B2439" t="s">
        <v>63</v>
      </c>
      <c r="C2439">
        <v>8</v>
      </c>
      <c r="D2439" t="s">
        <v>3418</v>
      </c>
      <c r="E2439">
        <v>44</v>
      </c>
      <c r="F2439">
        <v>17</v>
      </c>
      <c r="G2439">
        <v>27</v>
      </c>
      <c r="H2439" t="s">
        <v>3491</v>
      </c>
      <c r="I2439" t="s">
        <v>3492</v>
      </c>
      <c r="J2439" t="s">
        <v>2932</v>
      </c>
    </row>
    <row r="2440" spans="1:10" x14ac:dyDescent="0.25">
      <c r="A2440" t="s">
        <v>2817</v>
      </c>
      <c r="B2440" t="s">
        <v>63</v>
      </c>
      <c r="C2440">
        <v>8</v>
      </c>
      <c r="D2440" t="s">
        <v>3420</v>
      </c>
      <c r="E2440">
        <v>36</v>
      </c>
      <c r="F2440">
        <v>14</v>
      </c>
      <c r="G2440">
        <v>22</v>
      </c>
      <c r="H2440" t="s">
        <v>3491</v>
      </c>
      <c r="I2440" t="s">
        <v>3492</v>
      </c>
      <c r="J2440" t="s">
        <v>2932</v>
      </c>
    </row>
    <row r="2441" spans="1:10" x14ac:dyDescent="0.25">
      <c r="A2441" t="s">
        <v>2817</v>
      </c>
      <c r="B2441" t="s">
        <v>63</v>
      </c>
      <c r="C2441">
        <v>8</v>
      </c>
      <c r="D2441" t="s">
        <v>3422</v>
      </c>
      <c r="E2441">
        <v>42</v>
      </c>
      <c r="F2441">
        <v>15</v>
      </c>
      <c r="G2441">
        <v>27</v>
      </c>
      <c r="H2441" t="s">
        <v>3491</v>
      </c>
      <c r="I2441" t="s">
        <v>3492</v>
      </c>
      <c r="J2441" t="s">
        <v>2932</v>
      </c>
    </row>
    <row r="2442" spans="1:10" x14ac:dyDescent="0.25">
      <c r="A2442" t="s">
        <v>2823</v>
      </c>
      <c r="B2442" t="s">
        <v>75</v>
      </c>
      <c r="C2442">
        <v>6</v>
      </c>
      <c r="D2442" t="s">
        <v>3054</v>
      </c>
      <c r="E2442">
        <v>52</v>
      </c>
      <c r="F2442">
        <v>28</v>
      </c>
      <c r="G2442">
        <v>24</v>
      </c>
      <c r="H2442" t="s">
        <v>3493</v>
      </c>
      <c r="I2442" t="s">
        <v>3490</v>
      </c>
      <c r="J2442" t="s">
        <v>2961</v>
      </c>
    </row>
    <row r="2443" spans="1:10" x14ac:dyDescent="0.25">
      <c r="A2443" t="s">
        <v>2823</v>
      </c>
      <c r="B2443" t="s">
        <v>75</v>
      </c>
      <c r="C2443">
        <v>6</v>
      </c>
      <c r="D2443" t="s">
        <v>3056</v>
      </c>
      <c r="E2443">
        <v>42</v>
      </c>
      <c r="F2443">
        <v>21</v>
      </c>
      <c r="G2443">
        <v>21</v>
      </c>
      <c r="H2443" t="s">
        <v>3491</v>
      </c>
      <c r="I2443" t="s">
        <v>3492</v>
      </c>
      <c r="J2443" t="s">
        <v>2961</v>
      </c>
    </row>
    <row r="2444" spans="1:10" x14ac:dyDescent="0.25">
      <c r="A2444" t="s">
        <v>2823</v>
      </c>
      <c r="B2444" t="s">
        <v>75</v>
      </c>
      <c r="C2444">
        <v>6</v>
      </c>
      <c r="D2444" t="s">
        <v>3058</v>
      </c>
      <c r="E2444">
        <v>72</v>
      </c>
      <c r="F2444">
        <v>21</v>
      </c>
      <c r="G2444">
        <v>51</v>
      </c>
      <c r="H2444" t="s">
        <v>3494</v>
      </c>
      <c r="I2444" t="s">
        <v>3490</v>
      </c>
      <c r="J2444" t="s">
        <v>2961</v>
      </c>
    </row>
    <row r="2445" spans="1:10" x14ac:dyDescent="0.25">
      <c r="A2445" t="s">
        <v>2823</v>
      </c>
      <c r="B2445" t="s">
        <v>75</v>
      </c>
      <c r="C2445">
        <v>6</v>
      </c>
      <c r="D2445" t="s">
        <v>3060</v>
      </c>
      <c r="E2445">
        <v>59</v>
      </c>
      <c r="F2445">
        <v>22</v>
      </c>
      <c r="G2445">
        <v>37</v>
      </c>
      <c r="H2445" t="s">
        <v>3493</v>
      </c>
      <c r="I2445" t="s">
        <v>3490</v>
      </c>
      <c r="J2445" t="s">
        <v>2961</v>
      </c>
    </row>
    <row r="2446" spans="1:10" x14ac:dyDescent="0.25">
      <c r="A2446" t="s">
        <v>2823</v>
      </c>
      <c r="B2446" t="s">
        <v>75</v>
      </c>
      <c r="C2446">
        <v>6</v>
      </c>
      <c r="D2446" t="s">
        <v>3062</v>
      </c>
      <c r="E2446">
        <v>75</v>
      </c>
      <c r="F2446">
        <v>19</v>
      </c>
      <c r="G2446">
        <v>56</v>
      </c>
      <c r="H2446" t="s">
        <v>3494</v>
      </c>
      <c r="I2446" t="s">
        <v>3490</v>
      </c>
      <c r="J2446" t="s">
        <v>2961</v>
      </c>
    </row>
    <row r="2447" spans="1:10" x14ac:dyDescent="0.25">
      <c r="A2447" t="s">
        <v>2828</v>
      </c>
      <c r="B2447" t="s">
        <v>212</v>
      </c>
      <c r="C2447">
        <v>4</v>
      </c>
      <c r="D2447" t="s">
        <v>3454</v>
      </c>
      <c r="E2447">
        <v>79</v>
      </c>
      <c r="F2447">
        <v>30</v>
      </c>
      <c r="G2447">
        <v>49</v>
      </c>
      <c r="H2447" t="s">
        <v>3494</v>
      </c>
      <c r="I2447" t="s">
        <v>3490</v>
      </c>
      <c r="J2447" t="s">
        <v>3001</v>
      </c>
    </row>
    <row r="2448" spans="1:10" x14ac:dyDescent="0.25">
      <c r="A2448" t="s">
        <v>2828</v>
      </c>
      <c r="B2448" t="s">
        <v>212</v>
      </c>
      <c r="C2448">
        <v>4</v>
      </c>
      <c r="D2448" t="s">
        <v>3456</v>
      </c>
      <c r="E2448">
        <v>69</v>
      </c>
      <c r="F2448">
        <v>19</v>
      </c>
      <c r="G2448">
        <v>50</v>
      </c>
      <c r="H2448" t="s">
        <v>3489</v>
      </c>
      <c r="I2448" t="s">
        <v>3490</v>
      </c>
      <c r="J2448" t="s">
        <v>3001</v>
      </c>
    </row>
    <row r="2449" spans="1:10" x14ac:dyDescent="0.25">
      <c r="A2449" t="s">
        <v>2828</v>
      </c>
      <c r="B2449" t="s">
        <v>212</v>
      </c>
      <c r="C2449">
        <v>4</v>
      </c>
      <c r="D2449" t="s">
        <v>3458</v>
      </c>
      <c r="E2449">
        <v>75</v>
      </c>
      <c r="F2449">
        <v>10</v>
      </c>
      <c r="G2449">
        <v>65</v>
      </c>
      <c r="H2449" t="s">
        <v>3494</v>
      </c>
      <c r="I2449" t="s">
        <v>3490</v>
      </c>
      <c r="J2449" t="s">
        <v>3001</v>
      </c>
    </row>
    <row r="2450" spans="1:10" x14ac:dyDescent="0.25">
      <c r="A2450" t="s">
        <v>2828</v>
      </c>
      <c r="B2450" t="s">
        <v>212</v>
      </c>
      <c r="C2450">
        <v>4</v>
      </c>
      <c r="D2450" t="s">
        <v>3460</v>
      </c>
      <c r="E2450">
        <v>31</v>
      </c>
      <c r="F2450">
        <v>11</v>
      </c>
      <c r="G2450">
        <v>20</v>
      </c>
      <c r="H2450" t="s">
        <v>3491</v>
      </c>
      <c r="I2450" t="s">
        <v>3492</v>
      </c>
      <c r="J2450" t="s">
        <v>3001</v>
      </c>
    </row>
    <row r="2451" spans="1:10" x14ac:dyDescent="0.25">
      <c r="A2451" t="s">
        <v>2828</v>
      </c>
      <c r="B2451" t="s">
        <v>212</v>
      </c>
      <c r="C2451">
        <v>4</v>
      </c>
      <c r="D2451" t="s">
        <v>3462</v>
      </c>
      <c r="E2451">
        <v>60</v>
      </c>
      <c r="F2451">
        <v>14</v>
      </c>
      <c r="G2451">
        <v>46</v>
      </c>
      <c r="H2451" t="s">
        <v>3489</v>
      </c>
      <c r="I2451" t="s">
        <v>3490</v>
      </c>
      <c r="J2451" t="s">
        <v>3001</v>
      </c>
    </row>
    <row r="2452" spans="1:10" x14ac:dyDescent="0.25">
      <c r="A2452" t="s">
        <v>2833</v>
      </c>
      <c r="B2452" t="s">
        <v>159</v>
      </c>
      <c r="C2452">
        <v>4</v>
      </c>
      <c r="D2452" t="s">
        <v>3094</v>
      </c>
      <c r="E2452">
        <v>76</v>
      </c>
      <c r="F2452">
        <v>27</v>
      </c>
      <c r="G2452">
        <v>49</v>
      </c>
      <c r="H2452" t="s">
        <v>3494</v>
      </c>
      <c r="I2452" t="s">
        <v>3490</v>
      </c>
      <c r="J2452" t="s">
        <v>2902</v>
      </c>
    </row>
    <row r="2453" spans="1:10" x14ac:dyDescent="0.25">
      <c r="A2453" t="s">
        <v>2833</v>
      </c>
      <c r="B2453" t="s">
        <v>159</v>
      </c>
      <c r="C2453">
        <v>4</v>
      </c>
      <c r="D2453" t="s">
        <v>3096</v>
      </c>
      <c r="E2453">
        <v>61</v>
      </c>
      <c r="F2453">
        <v>22</v>
      </c>
      <c r="G2453">
        <v>39</v>
      </c>
      <c r="H2453" t="s">
        <v>3489</v>
      </c>
      <c r="I2453" t="s">
        <v>3490</v>
      </c>
      <c r="J2453" t="s">
        <v>2902</v>
      </c>
    </row>
    <row r="2454" spans="1:10" x14ac:dyDescent="0.25">
      <c r="A2454" t="s">
        <v>2833</v>
      </c>
      <c r="B2454" t="s">
        <v>159</v>
      </c>
      <c r="C2454">
        <v>4</v>
      </c>
      <c r="D2454" t="s">
        <v>3098</v>
      </c>
      <c r="E2454">
        <v>73</v>
      </c>
      <c r="F2454">
        <v>19</v>
      </c>
      <c r="G2454">
        <v>54</v>
      </c>
      <c r="H2454" t="s">
        <v>3494</v>
      </c>
      <c r="I2454" t="s">
        <v>3490</v>
      </c>
      <c r="J2454" t="s">
        <v>2902</v>
      </c>
    </row>
    <row r="2455" spans="1:10" x14ac:dyDescent="0.25">
      <c r="A2455" t="s">
        <v>2833</v>
      </c>
      <c r="B2455" t="s">
        <v>159</v>
      </c>
      <c r="C2455">
        <v>4</v>
      </c>
      <c r="D2455" t="s">
        <v>3100</v>
      </c>
      <c r="E2455">
        <v>74</v>
      </c>
      <c r="F2455">
        <v>23</v>
      </c>
      <c r="G2455">
        <v>51</v>
      </c>
      <c r="H2455" t="s">
        <v>3494</v>
      </c>
      <c r="I2455" t="s">
        <v>3490</v>
      </c>
      <c r="J2455" t="s">
        <v>2902</v>
      </c>
    </row>
    <row r="2456" spans="1:10" x14ac:dyDescent="0.25">
      <c r="A2456" t="s">
        <v>2833</v>
      </c>
      <c r="B2456" t="s">
        <v>159</v>
      </c>
      <c r="C2456">
        <v>4</v>
      </c>
      <c r="D2456" t="s">
        <v>3102</v>
      </c>
      <c r="E2456">
        <v>61</v>
      </c>
      <c r="F2456">
        <v>22</v>
      </c>
      <c r="G2456">
        <v>39</v>
      </c>
      <c r="H2456" t="s">
        <v>3489</v>
      </c>
      <c r="I2456" t="s">
        <v>3490</v>
      </c>
      <c r="J2456" t="s">
        <v>2902</v>
      </c>
    </row>
    <row r="2457" spans="1:10" x14ac:dyDescent="0.25">
      <c r="A2457" t="s">
        <v>2838</v>
      </c>
      <c r="B2457" t="s">
        <v>122</v>
      </c>
      <c r="C2457">
        <v>8</v>
      </c>
      <c r="D2457" t="s">
        <v>3294</v>
      </c>
      <c r="E2457">
        <v>76</v>
      </c>
      <c r="F2457">
        <v>28</v>
      </c>
      <c r="G2457">
        <v>48</v>
      </c>
      <c r="H2457" t="s">
        <v>3494</v>
      </c>
      <c r="I2457" t="s">
        <v>3490</v>
      </c>
      <c r="J2457" t="s">
        <v>2919</v>
      </c>
    </row>
    <row r="2458" spans="1:10" x14ac:dyDescent="0.25">
      <c r="A2458" t="s">
        <v>2838</v>
      </c>
      <c r="B2458" t="s">
        <v>122</v>
      </c>
      <c r="C2458">
        <v>8</v>
      </c>
      <c r="D2458" t="s">
        <v>3296</v>
      </c>
      <c r="E2458">
        <v>76</v>
      </c>
      <c r="F2458">
        <v>28</v>
      </c>
      <c r="G2458">
        <v>48</v>
      </c>
      <c r="H2458" t="s">
        <v>3494</v>
      </c>
      <c r="I2458" t="s">
        <v>3490</v>
      </c>
      <c r="J2458" t="s">
        <v>2919</v>
      </c>
    </row>
    <row r="2459" spans="1:10" x14ac:dyDescent="0.25">
      <c r="A2459" t="s">
        <v>2838</v>
      </c>
      <c r="B2459" t="s">
        <v>122</v>
      </c>
      <c r="C2459">
        <v>8</v>
      </c>
      <c r="D2459" t="s">
        <v>3298</v>
      </c>
      <c r="E2459">
        <v>44</v>
      </c>
      <c r="F2459">
        <v>19</v>
      </c>
      <c r="G2459">
        <v>25</v>
      </c>
      <c r="H2459" t="s">
        <v>3491</v>
      </c>
      <c r="I2459" t="s">
        <v>3492</v>
      </c>
      <c r="J2459" t="s">
        <v>2919</v>
      </c>
    </row>
    <row r="2460" spans="1:10" x14ac:dyDescent="0.25">
      <c r="A2460" t="s">
        <v>2838</v>
      </c>
      <c r="B2460" t="s">
        <v>122</v>
      </c>
      <c r="C2460">
        <v>8</v>
      </c>
      <c r="D2460" t="s">
        <v>3300</v>
      </c>
      <c r="E2460">
        <v>55</v>
      </c>
      <c r="F2460">
        <v>23</v>
      </c>
      <c r="G2460">
        <v>32</v>
      </c>
      <c r="H2460" t="s">
        <v>3493</v>
      </c>
      <c r="I2460" t="s">
        <v>3490</v>
      </c>
      <c r="J2460" t="s">
        <v>2919</v>
      </c>
    </row>
    <row r="2461" spans="1:10" x14ac:dyDescent="0.25">
      <c r="A2461" t="s">
        <v>2838</v>
      </c>
      <c r="B2461" t="s">
        <v>122</v>
      </c>
      <c r="C2461">
        <v>8</v>
      </c>
      <c r="D2461" t="s">
        <v>3302</v>
      </c>
      <c r="E2461">
        <v>64</v>
      </c>
      <c r="F2461">
        <v>22</v>
      </c>
      <c r="G2461">
        <v>42</v>
      </c>
      <c r="H2461" t="s">
        <v>3489</v>
      </c>
      <c r="I2461" t="s">
        <v>3490</v>
      </c>
      <c r="J2461" t="s">
        <v>2919</v>
      </c>
    </row>
    <row r="2462" spans="1:10" x14ac:dyDescent="0.25">
      <c r="A2462" t="s">
        <v>2843</v>
      </c>
      <c r="B2462" t="s">
        <v>30</v>
      </c>
      <c r="C2462">
        <v>8</v>
      </c>
      <c r="D2462" t="s">
        <v>3354</v>
      </c>
      <c r="E2462">
        <v>87</v>
      </c>
      <c r="F2462">
        <v>23</v>
      </c>
      <c r="G2462">
        <v>64</v>
      </c>
      <c r="H2462" t="s">
        <v>196</v>
      </c>
      <c r="I2462" t="s">
        <v>3490</v>
      </c>
      <c r="J2462" t="s">
        <v>2895</v>
      </c>
    </row>
    <row r="2463" spans="1:10" x14ac:dyDescent="0.25">
      <c r="A2463" t="s">
        <v>2843</v>
      </c>
      <c r="B2463" t="s">
        <v>30</v>
      </c>
      <c r="C2463">
        <v>8</v>
      </c>
      <c r="D2463" t="s">
        <v>3356</v>
      </c>
      <c r="E2463">
        <v>47</v>
      </c>
      <c r="F2463">
        <v>11</v>
      </c>
      <c r="G2463">
        <v>36</v>
      </c>
      <c r="H2463" t="s">
        <v>3491</v>
      </c>
      <c r="I2463" t="s">
        <v>3492</v>
      </c>
      <c r="J2463" t="s">
        <v>2895</v>
      </c>
    </row>
    <row r="2464" spans="1:10" x14ac:dyDescent="0.25">
      <c r="A2464" t="s">
        <v>2843</v>
      </c>
      <c r="B2464" t="s">
        <v>30</v>
      </c>
      <c r="C2464">
        <v>8</v>
      </c>
      <c r="D2464" t="s">
        <v>3358</v>
      </c>
      <c r="E2464">
        <v>42</v>
      </c>
      <c r="F2464">
        <v>20</v>
      </c>
      <c r="G2464">
        <v>22</v>
      </c>
      <c r="H2464" t="s">
        <v>3491</v>
      </c>
      <c r="I2464" t="s">
        <v>3492</v>
      </c>
      <c r="J2464" t="s">
        <v>2895</v>
      </c>
    </row>
    <row r="2465" spans="1:10" x14ac:dyDescent="0.25">
      <c r="A2465" t="s">
        <v>2843</v>
      </c>
      <c r="B2465" t="s">
        <v>30</v>
      </c>
      <c r="C2465">
        <v>8</v>
      </c>
      <c r="D2465" t="s">
        <v>3360</v>
      </c>
      <c r="E2465">
        <v>56</v>
      </c>
      <c r="F2465">
        <v>10</v>
      </c>
      <c r="G2465">
        <v>46</v>
      </c>
      <c r="H2465" t="s">
        <v>3493</v>
      </c>
      <c r="I2465" t="s">
        <v>3490</v>
      </c>
      <c r="J2465" t="s">
        <v>2895</v>
      </c>
    </row>
    <row r="2466" spans="1:10" x14ac:dyDescent="0.25">
      <c r="A2466" t="s">
        <v>2843</v>
      </c>
      <c r="B2466" t="s">
        <v>30</v>
      </c>
      <c r="C2466">
        <v>8</v>
      </c>
      <c r="D2466" t="s">
        <v>3362</v>
      </c>
      <c r="E2466">
        <v>59</v>
      </c>
      <c r="F2466">
        <v>17</v>
      </c>
      <c r="G2466">
        <v>42</v>
      </c>
      <c r="H2466" t="s">
        <v>3493</v>
      </c>
      <c r="I2466" t="s">
        <v>3490</v>
      </c>
      <c r="J2466" t="s">
        <v>2895</v>
      </c>
    </row>
    <row r="2467" spans="1:10" x14ac:dyDescent="0.25">
      <c r="A2467" t="s">
        <v>2848</v>
      </c>
      <c r="B2467" t="s">
        <v>105</v>
      </c>
      <c r="C2467">
        <v>6</v>
      </c>
      <c r="D2467" t="s">
        <v>3174</v>
      </c>
      <c r="E2467">
        <v>84</v>
      </c>
      <c r="F2467">
        <v>20</v>
      </c>
      <c r="G2467">
        <v>64</v>
      </c>
      <c r="H2467" t="s">
        <v>196</v>
      </c>
      <c r="I2467" t="s">
        <v>3490</v>
      </c>
      <c r="J2467" t="s">
        <v>2908</v>
      </c>
    </row>
    <row r="2468" spans="1:10" x14ac:dyDescent="0.25">
      <c r="A2468" t="s">
        <v>2848</v>
      </c>
      <c r="B2468" t="s">
        <v>105</v>
      </c>
      <c r="C2468">
        <v>6</v>
      </c>
      <c r="D2468" t="s">
        <v>3176</v>
      </c>
      <c r="E2468">
        <v>67</v>
      </c>
      <c r="F2468">
        <v>17</v>
      </c>
      <c r="G2468">
        <v>50</v>
      </c>
      <c r="H2468" t="s">
        <v>3489</v>
      </c>
      <c r="I2468" t="s">
        <v>3490</v>
      </c>
      <c r="J2468" t="s">
        <v>2908</v>
      </c>
    </row>
    <row r="2469" spans="1:10" x14ac:dyDescent="0.25">
      <c r="A2469" t="s">
        <v>2848</v>
      </c>
      <c r="B2469" t="s">
        <v>105</v>
      </c>
      <c r="C2469">
        <v>6</v>
      </c>
      <c r="D2469" t="s">
        <v>3178</v>
      </c>
      <c r="E2469">
        <v>38</v>
      </c>
      <c r="F2469">
        <v>16</v>
      </c>
      <c r="G2469">
        <v>22</v>
      </c>
      <c r="H2469" t="s">
        <v>3491</v>
      </c>
      <c r="I2469" t="s">
        <v>3492</v>
      </c>
      <c r="J2469" t="s">
        <v>2908</v>
      </c>
    </row>
    <row r="2470" spans="1:10" x14ac:dyDescent="0.25">
      <c r="A2470" t="s">
        <v>2848</v>
      </c>
      <c r="B2470" t="s">
        <v>105</v>
      </c>
      <c r="C2470">
        <v>6</v>
      </c>
      <c r="D2470" t="s">
        <v>3180</v>
      </c>
      <c r="E2470">
        <v>95</v>
      </c>
      <c r="F2470">
        <v>28</v>
      </c>
      <c r="G2470">
        <v>67</v>
      </c>
      <c r="H2470" t="s">
        <v>3495</v>
      </c>
      <c r="I2470" t="s">
        <v>3490</v>
      </c>
      <c r="J2470" t="s">
        <v>2908</v>
      </c>
    </row>
    <row r="2471" spans="1:10" x14ac:dyDescent="0.25">
      <c r="A2471" t="s">
        <v>2848</v>
      </c>
      <c r="B2471" t="s">
        <v>105</v>
      </c>
      <c r="C2471">
        <v>6</v>
      </c>
      <c r="D2471" t="s">
        <v>3182</v>
      </c>
      <c r="E2471">
        <v>59</v>
      </c>
      <c r="F2471">
        <v>22</v>
      </c>
      <c r="G2471">
        <v>37</v>
      </c>
      <c r="H2471" t="s">
        <v>3493</v>
      </c>
      <c r="I2471" t="s">
        <v>3490</v>
      </c>
      <c r="J2471" t="s">
        <v>2908</v>
      </c>
    </row>
    <row r="2472" spans="1:10" x14ac:dyDescent="0.25">
      <c r="A2472" t="s">
        <v>2853</v>
      </c>
      <c r="B2472" t="s">
        <v>212</v>
      </c>
      <c r="C2472">
        <v>8</v>
      </c>
      <c r="D2472" t="s">
        <v>3474</v>
      </c>
      <c r="E2472">
        <v>75</v>
      </c>
      <c r="F2472">
        <v>28</v>
      </c>
      <c r="G2472">
        <v>47</v>
      </c>
      <c r="H2472" t="s">
        <v>3494</v>
      </c>
      <c r="I2472" t="s">
        <v>3490</v>
      </c>
      <c r="J2472" t="s">
        <v>3001</v>
      </c>
    </row>
    <row r="2473" spans="1:10" x14ac:dyDescent="0.25">
      <c r="A2473" t="s">
        <v>2853</v>
      </c>
      <c r="B2473" t="s">
        <v>212</v>
      </c>
      <c r="C2473">
        <v>8</v>
      </c>
      <c r="D2473" t="s">
        <v>3476</v>
      </c>
      <c r="E2473">
        <v>60</v>
      </c>
      <c r="F2473">
        <v>29</v>
      </c>
      <c r="G2473">
        <v>31</v>
      </c>
      <c r="H2473" t="s">
        <v>3489</v>
      </c>
      <c r="I2473" t="s">
        <v>3490</v>
      </c>
      <c r="J2473" t="s">
        <v>3001</v>
      </c>
    </row>
    <row r="2474" spans="1:10" x14ac:dyDescent="0.25">
      <c r="A2474" t="s">
        <v>2853</v>
      </c>
      <c r="B2474" t="s">
        <v>212</v>
      </c>
      <c r="C2474">
        <v>8</v>
      </c>
      <c r="D2474" t="s">
        <v>3478</v>
      </c>
      <c r="E2474">
        <v>72</v>
      </c>
      <c r="F2474">
        <v>24</v>
      </c>
      <c r="G2474">
        <v>48</v>
      </c>
      <c r="H2474" t="s">
        <v>3494</v>
      </c>
      <c r="I2474" t="s">
        <v>3490</v>
      </c>
      <c r="J2474" t="s">
        <v>3001</v>
      </c>
    </row>
    <row r="2475" spans="1:10" x14ac:dyDescent="0.25">
      <c r="A2475" t="s">
        <v>2853</v>
      </c>
      <c r="B2475" t="s">
        <v>212</v>
      </c>
      <c r="C2475">
        <v>8</v>
      </c>
      <c r="D2475" t="s">
        <v>3480</v>
      </c>
      <c r="E2475">
        <v>39</v>
      </c>
      <c r="F2475">
        <v>12</v>
      </c>
      <c r="G2475">
        <v>27</v>
      </c>
      <c r="H2475" t="s">
        <v>3491</v>
      </c>
      <c r="I2475" t="s">
        <v>3492</v>
      </c>
      <c r="J2475" t="s">
        <v>3001</v>
      </c>
    </row>
    <row r="2476" spans="1:10" x14ac:dyDescent="0.25">
      <c r="A2476" t="s">
        <v>2853</v>
      </c>
      <c r="B2476" t="s">
        <v>212</v>
      </c>
      <c r="C2476">
        <v>8</v>
      </c>
      <c r="D2476" t="s">
        <v>3482</v>
      </c>
      <c r="E2476">
        <v>86</v>
      </c>
      <c r="F2476">
        <v>30</v>
      </c>
      <c r="G2476">
        <v>56</v>
      </c>
      <c r="H2476" t="s">
        <v>196</v>
      </c>
      <c r="I2476" t="s">
        <v>3490</v>
      </c>
      <c r="J2476" t="s">
        <v>3001</v>
      </c>
    </row>
    <row r="2477" spans="1:10" x14ac:dyDescent="0.25">
      <c r="A2477" t="s">
        <v>2858</v>
      </c>
      <c r="B2477" t="s">
        <v>75</v>
      </c>
      <c r="C2477">
        <v>8</v>
      </c>
      <c r="D2477" t="s">
        <v>3054</v>
      </c>
      <c r="E2477">
        <v>72</v>
      </c>
      <c r="F2477">
        <v>30</v>
      </c>
      <c r="G2477">
        <v>42</v>
      </c>
      <c r="H2477" t="s">
        <v>3494</v>
      </c>
      <c r="I2477" t="s">
        <v>3490</v>
      </c>
      <c r="J2477" t="s">
        <v>2961</v>
      </c>
    </row>
    <row r="2478" spans="1:10" x14ac:dyDescent="0.25">
      <c r="A2478" t="s">
        <v>2858</v>
      </c>
      <c r="B2478" t="s">
        <v>75</v>
      </c>
      <c r="C2478">
        <v>8</v>
      </c>
      <c r="D2478" t="s">
        <v>3056</v>
      </c>
      <c r="E2478">
        <v>70</v>
      </c>
      <c r="F2478">
        <v>14</v>
      </c>
      <c r="G2478">
        <v>56</v>
      </c>
      <c r="H2478" t="s">
        <v>3494</v>
      </c>
      <c r="I2478" t="s">
        <v>3490</v>
      </c>
      <c r="J2478" t="s">
        <v>2961</v>
      </c>
    </row>
    <row r="2479" spans="1:10" x14ac:dyDescent="0.25">
      <c r="A2479" t="s">
        <v>2858</v>
      </c>
      <c r="B2479" t="s">
        <v>75</v>
      </c>
      <c r="C2479">
        <v>8</v>
      </c>
      <c r="D2479" t="s">
        <v>3058</v>
      </c>
      <c r="E2479">
        <v>56</v>
      </c>
      <c r="F2479">
        <v>22</v>
      </c>
      <c r="G2479">
        <v>34</v>
      </c>
      <c r="H2479" t="s">
        <v>3493</v>
      </c>
      <c r="I2479" t="s">
        <v>3490</v>
      </c>
      <c r="J2479" t="s">
        <v>2961</v>
      </c>
    </row>
    <row r="2480" spans="1:10" x14ac:dyDescent="0.25">
      <c r="A2480" t="s">
        <v>2858</v>
      </c>
      <c r="B2480" t="s">
        <v>75</v>
      </c>
      <c r="C2480">
        <v>8</v>
      </c>
      <c r="D2480" t="s">
        <v>3060</v>
      </c>
      <c r="E2480">
        <v>53</v>
      </c>
      <c r="F2480">
        <v>20</v>
      </c>
      <c r="G2480">
        <v>33</v>
      </c>
      <c r="H2480" t="s">
        <v>3493</v>
      </c>
      <c r="I2480" t="s">
        <v>3490</v>
      </c>
      <c r="J2480" t="s">
        <v>2961</v>
      </c>
    </row>
    <row r="2481" spans="1:10" x14ac:dyDescent="0.25">
      <c r="A2481" t="s">
        <v>2858</v>
      </c>
      <c r="B2481" t="s">
        <v>75</v>
      </c>
      <c r="C2481">
        <v>8</v>
      </c>
      <c r="D2481" t="s">
        <v>3062</v>
      </c>
      <c r="E2481">
        <v>75</v>
      </c>
      <c r="F2481">
        <v>11</v>
      </c>
      <c r="G2481">
        <v>64</v>
      </c>
      <c r="H2481" t="s">
        <v>3494</v>
      </c>
      <c r="I2481" t="s">
        <v>3490</v>
      </c>
      <c r="J2481" t="s">
        <v>2961</v>
      </c>
    </row>
    <row r="2482" spans="1:10" x14ac:dyDescent="0.25">
      <c r="A2482" t="s">
        <v>2862</v>
      </c>
      <c r="B2482" t="s">
        <v>75</v>
      </c>
      <c r="C2482">
        <v>8</v>
      </c>
      <c r="D2482" t="s">
        <v>3054</v>
      </c>
      <c r="E2482">
        <v>78</v>
      </c>
      <c r="F2482">
        <v>21</v>
      </c>
      <c r="G2482">
        <v>57</v>
      </c>
      <c r="H2482" t="s">
        <v>3494</v>
      </c>
      <c r="I2482" t="s">
        <v>3490</v>
      </c>
      <c r="J2482" t="s">
        <v>2961</v>
      </c>
    </row>
    <row r="2483" spans="1:10" x14ac:dyDescent="0.25">
      <c r="A2483" t="s">
        <v>2862</v>
      </c>
      <c r="B2483" t="s">
        <v>75</v>
      </c>
      <c r="C2483">
        <v>8</v>
      </c>
      <c r="D2483" t="s">
        <v>3056</v>
      </c>
      <c r="E2483">
        <v>90</v>
      </c>
      <c r="F2483">
        <v>24</v>
      </c>
      <c r="G2483">
        <v>66</v>
      </c>
      <c r="H2483" t="s">
        <v>3495</v>
      </c>
      <c r="I2483" t="s">
        <v>3490</v>
      </c>
      <c r="J2483" t="s">
        <v>2961</v>
      </c>
    </row>
    <row r="2484" spans="1:10" x14ac:dyDescent="0.25">
      <c r="A2484" t="s">
        <v>2862</v>
      </c>
      <c r="B2484" t="s">
        <v>75</v>
      </c>
      <c r="C2484">
        <v>8</v>
      </c>
      <c r="D2484" t="s">
        <v>3058</v>
      </c>
      <c r="E2484">
        <v>41</v>
      </c>
      <c r="F2484">
        <v>10</v>
      </c>
      <c r="G2484">
        <v>31</v>
      </c>
      <c r="H2484" t="s">
        <v>3491</v>
      </c>
      <c r="I2484" t="s">
        <v>3492</v>
      </c>
      <c r="J2484" t="s">
        <v>2961</v>
      </c>
    </row>
    <row r="2485" spans="1:10" x14ac:dyDescent="0.25">
      <c r="A2485" t="s">
        <v>2862</v>
      </c>
      <c r="B2485" t="s">
        <v>75</v>
      </c>
      <c r="C2485">
        <v>8</v>
      </c>
      <c r="D2485" t="s">
        <v>3060</v>
      </c>
      <c r="E2485">
        <v>63</v>
      </c>
      <c r="F2485">
        <v>21</v>
      </c>
      <c r="G2485">
        <v>42</v>
      </c>
      <c r="H2485" t="s">
        <v>3489</v>
      </c>
      <c r="I2485" t="s">
        <v>3490</v>
      </c>
      <c r="J2485" t="s">
        <v>2961</v>
      </c>
    </row>
    <row r="2486" spans="1:10" x14ac:dyDescent="0.25">
      <c r="A2486" t="s">
        <v>2862</v>
      </c>
      <c r="B2486" t="s">
        <v>75</v>
      </c>
      <c r="C2486">
        <v>8</v>
      </c>
      <c r="D2486" t="s">
        <v>3062</v>
      </c>
      <c r="E2486">
        <v>43</v>
      </c>
      <c r="F2486">
        <v>13</v>
      </c>
      <c r="G2486">
        <v>30</v>
      </c>
      <c r="H2486" t="s">
        <v>3491</v>
      </c>
      <c r="I2486" t="s">
        <v>3492</v>
      </c>
      <c r="J2486" t="s">
        <v>2961</v>
      </c>
    </row>
    <row r="2487" spans="1:10" x14ac:dyDescent="0.25">
      <c r="A2487" t="s">
        <v>2867</v>
      </c>
      <c r="B2487" t="s">
        <v>105</v>
      </c>
      <c r="C2487">
        <v>6</v>
      </c>
      <c r="D2487" t="s">
        <v>3174</v>
      </c>
      <c r="E2487">
        <v>56</v>
      </c>
      <c r="F2487">
        <v>26</v>
      </c>
      <c r="G2487">
        <v>30</v>
      </c>
      <c r="H2487" t="s">
        <v>3493</v>
      </c>
      <c r="I2487" t="s">
        <v>3490</v>
      </c>
      <c r="J2487" t="s">
        <v>2908</v>
      </c>
    </row>
    <row r="2488" spans="1:10" x14ac:dyDescent="0.25">
      <c r="A2488" t="s">
        <v>2867</v>
      </c>
      <c r="B2488" t="s">
        <v>105</v>
      </c>
      <c r="C2488">
        <v>6</v>
      </c>
      <c r="D2488" t="s">
        <v>3176</v>
      </c>
      <c r="E2488">
        <v>70</v>
      </c>
      <c r="F2488">
        <v>24</v>
      </c>
      <c r="G2488">
        <v>46</v>
      </c>
      <c r="H2488" t="s">
        <v>3494</v>
      </c>
      <c r="I2488" t="s">
        <v>3490</v>
      </c>
      <c r="J2488" t="s">
        <v>2908</v>
      </c>
    </row>
    <row r="2489" spans="1:10" x14ac:dyDescent="0.25">
      <c r="A2489" t="s">
        <v>2867</v>
      </c>
      <c r="B2489" t="s">
        <v>105</v>
      </c>
      <c r="C2489">
        <v>6</v>
      </c>
      <c r="D2489" t="s">
        <v>3178</v>
      </c>
      <c r="E2489">
        <v>63</v>
      </c>
      <c r="F2489">
        <v>16</v>
      </c>
      <c r="G2489">
        <v>47</v>
      </c>
      <c r="H2489" t="s">
        <v>3489</v>
      </c>
      <c r="I2489" t="s">
        <v>3490</v>
      </c>
      <c r="J2489" t="s">
        <v>2908</v>
      </c>
    </row>
    <row r="2490" spans="1:10" x14ac:dyDescent="0.25">
      <c r="A2490" t="s">
        <v>2867</v>
      </c>
      <c r="B2490" t="s">
        <v>105</v>
      </c>
      <c r="C2490">
        <v>6</v>
      </c>
      <c r="D2490" t="s">
        <v>3180</v>
      </c>
      <c r="E2490">
        <v>54</v>
      </c>
      <c r="F2490">
        <v>19</v>
      </c>
      <c r="G2490">
        <v>35</v>
      </c>
      <c r="H2490" t="s">
        <v>3493</v>
      </c>
      <c r="I2490" t="s">
        <v>3490</v>
      </c>
      <c r="J2490" t="s">
        <v>2908</v>
      </c>
    </row>
    <row r="2491" spans="1:10" x14ac:dyDescent="0.25">
      <c r="A2491" t="s">
        <v>2867</v>
      </c>
      <c r="B2491" t="s">
        <v>105</v>
      </c>
      <c r="C2491">
        <v>6</v>
      </c>
      <c r="D2491" t="s">
        <v>3182</v>
      </c>
      <c r="E2491">
        <v>52</v>
      </c>
      <c r="F2491">
        <v>12</v>
      </c>
      <c r="G2491">
        <v>40</v>
      </c>
      <c r="H2491" t="s">
        <v>3493</v>
      </c>
      <c r="I2491" t="s">
        <v>3490</v>
      </c>
      <c r="J2491" t="s">
        <v>2908</v>
      </c>
    </row>
    <row r="2492" spans="1:10" x14ac:dyDescent="0.25">
      <c r="A2492" t="s">
        <v>2872</v>
      </c>
      <c r="B2492" t="s">
        <v>75</v>
      </c>
      <c r="C2492">
        <v>6</v>
      </c>
      <c r="D2492" t="s">
        <v>3054</v>
      </c>
      <c r="E2492">
        <v>67</v>
      </c>
      <c r="F2492">
        <v>29</v>
      </c>
      <c r="G2492">
        <v>38</v>
      </c>
      <c r="H2492" t="s">
        <v>3489</v>
      </c>
      <c r="I2492" t="s">
        <v>3490</v>
      </c>
      <c r="J2492" t="s">
        <v>2961</v>
      </c>
    </row>
    <row r="2493" spans="1:10" x14ac:dyDescent="0.25">
      <c r="A2493" t="s">
        <v>2872</v>
      </c>
      <c r="B2493" t="s">
        <v>75</v>
      </c>
      <c r="C2493">
        <v>6</v>
      </c>
      <c r="D2493" t="s">
        <v>3056</v>
      </c>
      <c r="E2493">
        <v>85</v>
      </c>
      <c r="F2493">
        <v>26</v>
      </c>
      <c r="G2493">
        <v>59</v>
      </c>
      <c r="H2493" t="s">
        <v>196</v>
      </c>
      <c r="I2493" t="s">
        <v>3490</v>
      </c>
      <c r="J2493" t="s">
        <v>2961</v>
      </c>
    </row>
    <row r="2494" spans="1:10" x14ac:dyDescent="0.25">
      <c r="A2494" t="s">
        <v>2872</v>
      </c>
      <c r="B2494" t="s">
        <v>75</v>
      </c>
      <c r="C2494">
        <v>6</v>
      </c>
      <c r="D2494" t="s">
        <v>3058</v>
      </c>
      <c r="E2494">
        <v>83</v>
      </c>
      <c r="F2494">
        <v>27</v>
      </c>
      <c r="G2494">
        <v>56</v>
      </c>
      <c r="H2494" t="s">
        <v>196</v>
      </c>
      <c r="I2494" t="s">
        <v>3490</v>
      </c>
      <c r="J2494" t="s">
        <v>2961</v>
      </c>
    </row>
    <row r="2495" spans="1:10" x14ac:dyDescent="0.25">
      <c r="A2495" t="s">
        <v>2872</v>
      </c>
      <c r="B2495" t="s">
        <v>75</v>
      </c>
      <c r="C2495">
        <v>6</v>
      </c>
      <c r="D2495" t="s">
        <v>3060</v>
      </c>
      <c r="E2495">
        <v>79</v>
      </c>
      <c r="F2495">
        <v>20</v>
      </c>
      <c r="G2495">
        <v>59</v>
      </c>
      <c r="H2495" t="s">
        <v>3494</v>
      </c>
      <c r="I2495" t="s">
        <v>3490</v>
      </c>
      <c r="J2495" t="s">
        <v>2961</v>
      </c>
    </row>
    <row r="2496" spans="1:10" x14ac:dyDescent="0.25">
      <c r="A2496" t="s">
        <v>2872</v>
      </c>
      <c r="B2496" t="s">
        <v>75</v>
      </c>
      <c r="C2496">
        <v>6</v>
      </c>
      <c r="D2496" t="s">
        <v>3062</v>
      </c>
      <c r="E2496">
        <v>64</v>
      </c>
      <c r="F2496">
        <v>22</v>
      </c>
      <c r="G2496">
        <v>42</v>
      </c>
      <c r="H2496" t="s">
        <v>3489</v>
      </c>
      <c r="I2496" t="s">
        <v>3490</v>
      </c>
      <c r="J2496" t="s">
        <v>2961</v>
      </c>
    </row>
    <row r="2497" spans="1:10" x14ac:dyDescent="0.25">
      <c r="A2497" t="s">
        <v>2877</v>
      </c>
      <c r="B2497" t="s">
        <v>30</v>
      </c>
      <c r="C2497">
        <v>6</v>
      </c>
      <c r="D2497" t="s">
        <v>3354</v>
      </c>
      <c r="E2497">
        <v>65</v>
      </c>
      <c r="F2497">
        <v>19</v>
      </c>
      <c r="G2497">
        <v>46</v>
      </c>
      <c r="H2497" t="s">
        <v>3489</v>
      </c>
      <c r="I2497" t="s">
        <v>3490</v>
      </c>
      <c r="J2497" t="s">
        <v>2895</v>
      </c>
    </row>
    <row r="2498" spans="1:10" x14ac:dyDescent="0.25">
      <c r="A2498" t="s">
        <v>2877</v>
      </c>
      <c r="B2498" t="s">
        <v>30</v>
      </c>
      <c r="C2498">
        <v>6</v>
      </c>
      <c r="D2498" t="s">
        <v>3356</v>
      </c>
      <c r="E2498">
        <v>58</v>
      </c>
      <c r="F2498">
        <v>23</v>
      </c>
      <c r="G2498">
        <v>35</v>
      </c>
      <c r="H2498" t="s">
        <v>3493</v>
      </c>
      <c r="I2498" t="s">
        <v>3490</v>
      </c>
      <c r="J2498" t="s">
        <v>2895</v>
      </c>
    </row>
    <row r="2499" spans="1:10" x14ac:dyDescent="0.25">
      <c r="A2499" t="s">
        <v>2877</v>
      </c>
      <c r="B2499" t="s">
        <v>30</v>
      </c>
      <c r="C2499">
        <v>6</v>
      </c>
      <c r="D2499" t="s">
        <v>3358</v>
      </c>
      <c r="E2499">
        <v>60</v>
      </c>
      <c r="F2499">
        <v>19</v>
      </c>
      <c r="G2499">
        <v>41</v>
      </c>
      <c r="H2499" t="s">
        <v>3489</v>
      </c>
      <c r="I2499" t="s">
        <v>3490</v>
      </c>
      <c r="J2499" t="s">
        <v>2895</v>
      </c>
    </row>
    <row r="2500" spans="1:10" x14ac:dyDescent="0.25">
      <c r="A2500" t="s">
        <v>2877</v>
      </c>
      <c r="B2500" t="s">
        <v>30</v>
      </c>
      <c r="C2500">
        <v>6</v>
      </c>
      <c r="D2500" t="s">
        <v>3360</v>
      </c>
      <c r="E2500">
        <v>56</v>
      </c>
      <c r="F2500">
        <v>18</v>
      </c>
      <c r="G2500">
        <v>38</v>
      </c>
      <c r="H2500" t="s">
        <v>3493</v>
      </c>
      <c r="I2500" t="s">
        <v>3490</v>
      </c>
      <c r="J2500" t="s">
        <v>2895</v>
      </c>
    </row>
    <row r="2501" spans="1:10" x14ac:dyDescent="0.25">
      <c r="A2501" t="s">
        <v>2877</v>
      </c>
      <c r="B2501" t="s">
        <v>30</v>
      </c>
      <c r="C2501">
        <v>6</v>
      </c>
      <c r="D2501" t="s">
        <v>3362</v>
      </c>
      <c r="E2501">
        <v>56</v>
      </c>
      <c r="F2501">
        <v>17</v>
      </c>
      <c r="G2501">
        <v>39</v>
      </c>
      <c r="H2501" t="s">
        <v>3493</v>
      </c>
      <c r="I2501" t="s">
        <v>3490</v>
      </c>
      <c r="J2501" t="s">
        <v>2895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1"/>
  <sheetViews>
    <sheetView workbookViewId="0">
      <selection sqref="A1:J41"/>
    </sheetView>
  </sheetViews>
  <sheetFormatPr defaultRowHeight="15" x14ac:dyDescent="0.25"/>
  <cols>
    <col min="1" max="1" width="7.85546875" bestFit="1" customWidth="1"/>
    <col min="2" max="2" width="35.42578125" bestFit="1" customWidth="1"/>
    <col min="3" max="3" width="18.85546875" bestFit="1" customWidth="1"/>
    <col min="4" max="4" width="14" bestFit="1" customWidth="1"/>
    <col min="5" max="5" width="18.42578125" bestFit="1" customWidth="1"/>
    <col min="6" max="7" width="10.42578125" bestFit="1" customWidth="1"/>
    <col min="8" max="8" width="18" bestFit="1" customWidth="1"/>
    <col min="9" max="9" width="13.7109375" bestFit="1" customWidth="1"/>
    <col min="10" max="10" width="10.42578125" bestFit="1" customWidth="1"/>
  </cols>
  <sheetData>
    <row r="1" spans="1:10" x14ac:dyDescent="0.25">
      <c r="A1" s="1" t="s">
        <v>3496</v>
      </c>
      <c r="B1" s="1" t="s">
        <v>3497</v>
      </c>
      <c r="C1" s="1" t="s">
        <v>3498</v>
      </c>
      <c r="D1" s="13" t="s">
        <v>3499</v>
      </c>
      <c r="E1" s="1" t="s">
        <v>3500</v>
      </c>
      <c r="F1" s="1" t="s">
        <v>3501</v>
      </c>
      <c r="G1" s="1" t="s">
        <v>3502</v>
      </c>
      <c r="H1" s="1" t="s">
        <v>3503</v>
      </c>
      <c r="I1" s="1" t="s">
        <v>3504</v>
      </c>
      <c r="J1" s="1" t="s">
        <v>3505</v>
      </c>
    </row>
    <row r="2" spans="1:10" x14ac:dyDescent="0.25">
      <c r="A2" t="s">
        <v>3506</v>
      </c>
      <c r="B2" t="s">
        <v>3507</v>
      </c>
      <c r="C2" t="s">
        <v>3508</v>
      </c>
      <c r="D2" t="s">
        <v>3509</v>
      </c>
      <c r="E2" t="s">
        <v>3510</v>
      </c>
      <c r="F2" s="2">
        <v>45646</v>
      </c>
      <c r="G2" s="2">
        <v>45648</v>
      </c>
      <c r="H2" t="s">
        <v>3511</v>
      </c>
      <c r="I2" t="s">
        <v>3512</v>
      </c>
      <c r="J2">
        <v>97212</v>
      </c>
    </row>
    <row r="3" spans="1:10" x14ac:dyDescent="0.25">
      <c r="A3" t="s">
        <v>3513</v>
      </c>
      <c r="B3" t="s">
        <v>3514</v>
      </c>
      <c r="C3" t="s">
        <v>3515</v>
      </c>
      <c r="D3" t="s">
        <v>3509</v>
      </c>
      <c r="E3" t="s">
        <v>3510</v>
      </c>
      <c r="F3" s="2">
        <v>45740</v>
      </c>
      <c r="G3" s="2">
        <v>45741</v>
      </c>
      <c r="H3" t="s">
        <v>3516</v>
      </c>
      <c r="I3" t="s">
        <v>3517</v>
      </c>
      <c r="J3">
        <v>49676</v>
      </c>
    </row>
    <row r="4" spans="1:10" x14ac:dyDescent="0.25">
      <c r="A4" t="s">
        <v>3518</v>
      </c>
      <c r="B4" t="s">
        <v>3519</v>
      </c>
      <c r="C4" t="s">
        <v>3508</v>
      </c>
      <c r="D4" t="s">
        <v>3520</v>
      </c>
      <c r="E4" t="s">
        <v>3521</v>
      </c>
      <c r="F4" s="2">
        <v>45518</v>
      </c>
      <c r="G4" s="2">
        <v>45518</v>
      </c>
      <c r="H4" t="s">
        <v>3522</v>
      </c>
      <c r="I4" t="s">
        <v>3512</v>
      </c>
      <c r="J4">
        <v>97767</v>
      </c>
    </row>
    <row r="5" spans="1:10" x14ac:dyDescent="0.25">
      <c r="A5" t="s">
        <v>3523</v>
      </c>
      <c r="B5" t="s">
        <v>3524</v>
      </c>
      <c r="C5" t="s">
        <v>3525</v>
      </c>
      <c r="D5" t="s">
        <v>3520</v>
      </c>
      <c r="E5" t="s">
        <v>3526</v>
      </c>
      <c r="F5" s="2">
        <v>45738</v>
      </c>
      <c r="G5" s="2">
        <v>45740</v>
      </c>
      <c r="H5" t="s">
        <v>3527</v>
      </c>
      <c r="I5" t="s">
        <v>3517</v>
      </c>
      <c r="J5">
        <v>120995</v>
      </c>
    </row>
    <row r="6" spans="1:10" x14ac:dyDescent="0.25">
      <c r="A6" t="s">
        <v>3528</v>
      </c>
      <c r="B6" t="s">
        <v>3519</v>
      </c>
      <c r="C6" t="s">
        <v>3508</v>
      </c>
      <c r="D6" t="s">
        <v>3509</v>
      </c>
      <c r="E6" t="s">
        <v>3510</v>
      </c>
      <c r="F6" s="2">
        <v>45497</v>
      </c>
      <c r="G6" s="2">
        <v>45497</v>
      </c>
      <c r="H6" t="s">
        <v>3511</v>
      </c>
      <c r="I6" t="s">
        <v>3512</v>
      </c>
      <c r="J6">
        <v>78398</v>
      </c>
    </row>
    <row r="7" spans="1:10" x14ac:dyDescent="0.25">
      <c r="A7" t="s">
        <v>3529</v>
      </c>
      <c r="B7" t="s">
        <v>3530</v>
      </c>
      <c r="C7" t="s">
        <v>3531</v>
      </c>
      <c r="D7" t="s">
        <v>3509</v>
      </c>
      <c r="E7" t="s">
        <v>3510</v>
      </c>
      <c r="F7" s="2">
        <v>45884</v>
      </c>
      <c r="G7" s="2">
        <v>45885</v>
      </c>
      <c r="H7" t="s">
        <v>3522</v>
      </c>
      <c r="I7" t="s">
        <v>3512</v>
      </c>
      <c r="J7">
        <v>82774</v>
      </c>
    </row>
    <row r="8" spans="1:10" x14ac:dyDescent="0.25">
      <c r="A8" t="s">
        <v>3532</v>
      </c>
      <c r="B8" t="s">
        <v>3524</v>
      </c>
      <c r="C8" t="s">
        <v>3525</v>
      </c>
      <c r="D8" t="s">
        <v>3520</v>
      </c>
      <c r="E8" t="s">
        <v>3533</v>
      </c>
      <c r="F8" s="2">
        <v>45590</v>
      </c>
      <c r="G8" s="2">
        <v>45591</v>
      </c>
      <c r="H8" t="s">
        <v>3516</v>
      </c>
      <c r="I8" t="s">
        <v>3512</v>
      </c>
      <c r="J8">
        <v>64129</v>
      </c>
    </row>
    <row r="9" spans="1:10" x14ac:dyDescent="0.25">
      <c r="A9" t="s">
        <v>3534</v>
      </c>
      <c r="B9" t="s">
        <v>3535</v>
      </c>
      <c r="C9" t="s">
        <v>3536</v>
      </c>
      <c r="D9" t="s">
        <v>3509</v>
      </c>
      <c r="E9" t="s">
        <v>3510</v>
      </c>
      <c r="F9" s="2">
        <v>45569</v>
      </c>
      <c r="G9" s="2">
        <v>45569</v>
      </c>
      <c r="H9" t="s">
        <v>3522</v>
      </c>
      <c r="I9" t="s">
        <v>3512</v>
      </c>
      <c r="J9">
        <v>59553</v>
      </c>
    </row>
    <row r="10" spans="1:10" x14ac:dyDescent="0.25">
      <c r="A10" t="s">
        <v>3537</v>
      </c>
      <c r="B10" t="s">
        <v>3507</v>
      </c>
      <c r="C10" t="s">
        <v>3508</v>
      </c>
      <c r="D10" t="s">
        <v>3520</v>
      </c>
      <c r="E10" t="s">
        <v>3521</v>
      </c>
      <c r="F10" s="2">
        <v>45519</v>
      </c>
      <c r="G10" s="2">
        <v>45521</v>
      </c>
      <c r="H10" t="s">
        <v>3538</v>
      </c>
      <c r="I10" t="s">
        <v>3512</v>
      </c>
      <c r="J10">
        <v>94261</v>
      </c>
    </row>
    <row r="11" spans="1:10" x14ac:dyDescent="0.25">
      <c r="A11" t="s">
        <v>3539</v>
      </c>
      <c r="B11" t="s">
        <v>3540</v>
      </c>
      <c r="C11" t="s">
        <v>3541</v>
      </c>
      <c r="D11" t="s">
        <v>3509</v>
      </c>
      <c r="E11" t="s">
        <v>3510</v>
      </c>
      <c r="F11" s="2">
        <v>45498</v>
      </c>
      <c r="G11" s="2">
        <v>45498</v>
      </c>
      <c r="H11" t="s">
        <v>3522</v>
      </c>
      <c r="I11" t="s">
        <v>3512</v>
      </c>
      <c r="J11">
        <v>46743</v>
      </c>
    </row>
    <row r="12" spans="1:10" x14ac:dyDescent="0.25">
      <c r="A12" t="s">
        <v>3542</v>
      </c>
      <c r="B12" t="s">
        <v>3543</v>
      </c>
      <c r="C12" t="s">
        <v>3536</v>
      </c>
      <c r="D12" t="s">
        <v>3520</v>
      </c>
      <c r="E12" t="s">
        <v>3544</v>
      </c>
      <c r="F12" s="2">
        <v>45541</v>
      </c>
      <c r="G12" s="2">
        <v>45541</v>
      </c>
      <c r="H12" t="s">
        <v>3511</v>
      </c>
      <c r="I12" t="s">
        <v>3512</v>
      </c>
      <c r="J12">
        <v>64221</v>
      </c>
    </row>
    <row r="13" spans="1:10" x14ac:dyDescent="0.25">
      <c r="A13" t="s">
        <v>3545</v>
      </c>
      <c r="B13" t="s">
        <v>3546</v>
      </c>
      <c r="C13" t="s">
        <v>3536</v>
      </c>
      <c r="D13" t="s">
        <v>3509</v>
      </c>
      <c r="E13" t="s">
        <v>3510</v>
      </c>
      <c r="F13" s="2">
        <v>45737</v>
      </c>
      <c r="G13" s="2">
        <v>45739</v>
      </c>
      <c r="H13" t="s">
        <v>3538</v>
      </c>
      <c r="I13" t="s">
        <v>3517</v>
      </c>
      <c r="J13">
        <v>143782</v>
      </c>
    </row>
    <row r="14" spans="1:10" x14ac:dyDescent="0.25">
      <c r="A14" t="s">
        <v>3547</v>
      </c>
      <c r="B14" t="s">
        <v>3548</v>
      </c>
      <c r="C14" t="s">
        <v>3549</v>
      </c>
      <c r="D14" t="s">
        <v>3520</v>
      </c>
      <c r="E14" t="s">
        <v>3550</v>
      </c>
      <c r="F14" s="2">
        <v>45540</v>
      </c>
      <c r="G14" s="2">
        <v>45540</v>
      </c>
      <c r="H14" t="s">
        <v>3527</v>
      </c>
      <c r="I14" t="s">
        <v>3512</v>
      </c>
      <c r="J14">
        <v>62894</v>
      </c>
    </row>
    <row r="15" spans="1:10" x14ac:dyDescent="0.25">
      <c r="A15" t="s">
        <v>3551</v>
      </c>
      <c r="B15" t="s">
        <v>3552</v>
      </c>
      <c r="C15" t="s">
        <v>3553</v>
      </c>
      <c r="D15" t="s">
        <v>3520</v>
      </c>
      <c r="E15" t="s">
        <v>3526</v>
      </c>
      <c r="F15" s="2">
        <v>45558</v>
      </c>
      <c r="G15" s="2">
        <v>45560</v>
      </c>
      <c r="H15" t="s">
        <v>3511</v>
      </c>
      <c r="I15" t="s">
        <v>3512</v>
      </c>
      <c r="J15">
        <v>68625</v>
      </c>
    </row>
    <row r="16" spans="1:10" x14ac:dyDescent="0.25">
      <c r="A16" t="s">
        <v>3554</v>
      </c>
      <c r="B16" t="s">
        <v>3555</v>
      </c>
      <c r="C16" t="s">
        <v>3541</v>
      </c>
      <c r="D16" t="s">
        <v>3509</v>
      </c>
      <c r="E16" t="s">
        <v>3510</v>
      </c>
      <c r="F16" s="2">
        <v>45541</v>
      </c>
      <c r="G16" s="2">
        <v>45542</v>
      </c>
      <c r="H16" t="s">
        <v>3538</v>
      </c>
      <c r="I16" t="s">
        <v>3512</v>
      </c>
      <c r="J16">
        <v>142262</v>
      </c>
    </row>
    <row r="17" spans="1:10" x14ac:dyDescent="0.25">
      <c r="A17" t="s">
        <v>3556</v>
      </c>
      <c r="B17" t="s">
        <v>3557</v>
      </c>
      <c r="C17" t="s">
        <v>3531</v>
      </c>
      <c r="D17" t="s">
        <v>3509</v>
      </c>
      <c r="E17" t="s">
        <v>3510</v>
      </c>
      <c r="F17" s="2">
        <v>45602</v>
      </c>
      <c r="G17" s="2">
        <v>45603</v>
      </c>
      <c r="H17" t="s">
        <v>3516</v>
      </c>
      <c r="I17" t="s">
        <v>3512</v>
      </c>
      <c r="J17">
        <v>44000</v>
      </c>
    </row>
    <row r="18" spans="1:10" x14ac:dyDescent="0.25">
      <c r="A18" t="s">
        <v>3558</v>
      </c>
      <c r="B18" t="s">
        <v>3559</v>
      </c>
      <c r="C18" t="s">
        <v>3508</v>
      </c>
      <c r="D18" t="s">
        <v>3520</v>
      </c>
      <c r="E18" t="s">
        <v>3526</v>
      </c>
      <c r="F18" s="2">
        <v>45598</v>
      </c>
      <c r="G18" s="2">
        <v>45598</v>
      </c>
      <c r="H18" t="s">
        <v>3527</v>
      </c>
      <c r="I18" t="s">
        <v>3512</v>
      </c>
      <c r="J18">
        <v>79082</v>
      </c>
    </row>
    <row r="19" spans="1:10" x14ac:dyDescent="0.25">
      <c r="A19" t="s">
        <v>3560</v>
      </c>
      <c r="B19" t="s">
        <v>3552</v>
      </c>
      <c r="C19" t="s">
        <v>3553</v>
      </c>
      <c r="D19" t="s">
        <v>3520</v>
      </c>
      <c r="E19" t="s">
        <v>3533</v>
      </c>
      <c r="F19" s="2">
        <v>45726</v>
      </c>
      <c r="G19" s="2">
        <v>45726</v>
      </c>
      <c r="H19" t="s">
        <v>3527</v>
      </c>
      <c r="I19" t="s">
        <v>3517</v>
      </c>
      <c r="J19">
        <v>112778</v>
      </c>
    </row>
    <row r="20" spans="1:10" x14ac:dyDescent="0.25">
      <c r="A20" t="s">
        <v>3561</v>
      </c>
      <c r="B20" t="s">
        <v>3557</v>
      </c>
      <c r="C20" t="s">
        <v>3531</v>
      </c>
      <c r="D20" t="s">
        <v>3520</v>
      </c>
      <c r="E20" t="s">
        <v>3544</v>
      </c>
      <c r="F20" s="2">
        <v>45856</v>
      </c>
      <c r="G20" s="2">
        <v>45856</v>
      </c>
      <c r="H20" t="s">
        <v>3527</v>
      </c>
      <c r="I20" t="s">
        <v>3512</v>
      </c>
      <c r="J20">
        <v>106856</v>
      </c>
    </row>
    <row r="21" spans="1:10" x14ac:dyDescent="0.25">
      <c r="A21" t="s">
        <v>3562</v>
      </c>
      <c r="B21" t="s">
        <v>3563</v>
      </c>
      <c r="C21" t="s">
        <v>3536</v>
      </c>
      <c r="D21" t="s">
        <v>3520</v>
      </c>
      <c r="E21" t="s">
        <v>3521</v>
      </c>
      <c r="F21" s="2">
        <v>45578</v>
      </c>
      <c r="G21" s="2">
        <v>45578</v>
      </c>
      <c r="H21" t="s">
        <v>3522</v>
      </c>
      <c r="I21" t="s">
        <v>3512</v>
      </c>
      <c r="J21">
        <v>59596</v>
      </c>
    </row>
    <row r="22" spans="1:10" x14ac:dyDescent="0.25">
      <c r="A22" t="s">
        <v>3564</v>
      </c>
      <c r="B22" t="s">
        <v>3565</v>
      </c>
      <c r="C22" t="s">
        <v>3515</v>
      </c>
      <c r="D22" t="s">
        <v>3520</v>
      </c>
      <c r="E22" t="s">
        <v>3566</v>
      </c>
      <c r="F22" s="2">
        <v>45718</v>
      </c>
      <c r="G22" s="2">
        <v>45718</v>
      </c>
      <c r="H22" t="s">
        <v>3522</v>
      </c>
      <c r="I22" t="s">
        <v>3517</v>
      </c>
      <c r="J22">
        <v>41413</v>
      </c>
    </row>
    <row r="23" spans="1:10" x14ac:dyDescent="0.25">
      <c r="A23" t="s">
        <v>3567</v>
      </c>
      <c r="B23" t="s">
        <v>3568</v>
      </c>
      <c r="C23" t="s">
        <v>3531</v>
      </c>
      <c r="D23" t="s">
        <v>3520</v>
      </c>
      <c r="E23" t="s">
        <v>3544</v>
      </c>
      <c r="F23" s="2">
        <v>45536</v>
      </c>
      <c r="G23" s="2">
        <v>45537</v>
      </c>
      <c r="H23" t="s">
        <v>3516</v>
      </c>
      <c r="I23" t="s">
        <v>3512</v>
      </c>
      <c r="J23">
        <v>115660</v>
      </c>
    </row>
    <row r="24" spans="1:10" x14ac:dyDescent="0.25">
      <c r="A24" t="s">
        <v>3569</v>
      </c>
      <c r="B24" t="s">
        <v>3557</v>
      </c>
      <c r="C24" t="s">
        <v>3531</v>
      </c>
      <c r="D24" t="s">
        <v>3509</v>
      </c>
      <c r="E24" t="s">
        <v>3510</v>
      </c>
      <c r="F24" s="2">
        <v>45710</v>
      </c>
      <c r="G24" s="2">
        <v>45710</v>
      </c>
      <c r="H24" t="s">
        <v>3511</v>
      </c>
      <c r="I24" t="s">
        <v>3517</v>
      </c>
      <c r="J24">
        <v>123967</v>
      </c>
    </row>
    <row r="25" spans="1:10" x14ac:dyDescent="0.25">
      <c r="A25" t="s">
        <v>3570</v>
      </c>
      <c r="B25" t="s">
        <v>3571</v>
      </c>
      <c r="C25" t="s">
        <v>3515</v>
      </c>
      <c r="D25" t="s">
        <v>3509</v>
      </c>
      <c r="E25" t="s">
        <v>3510</v>
      </c>
      <c r="F25" s="2">
        <v>45512</v>
      </c>
      <c r="G25" s="2">
        <v>45512</v>
      </c>
      <c r="H25" t="s">
        <v>3572</v>
      </c>
      <c r="I25" t="s">
        <v>3512</v>
      </c>
      <c r="J25">
        <v>95185</v>
      </c>
    </row>
    <row r="26" spans="1:10" x14ac:dyDescent="0.25">
      <c r="A26" t="s">
        <v>3573</v>
      </c>
      <c r="B26" t="s">
        <v>3574</v>
      </c>
      <c r="C26" t="s">
        <v>3549</v>
      </c>
      <c r="D26" t="s">
        <v>3509</v>
      </c>
      <c r="E26" t="s">
        <v>3510</v>
      </c>
      <c r="F26" s="2">
        <v>45561</v>
      </c>
      <c r="G26" s="2">
        <v>45561</v>
      </c>
      <c r="H26" t="s">
        <v>3538</v>
      </c>
      <c r="I26" t="s">
        <v>3512</v>
      </c>
      <c r="J26">
        <v>45856</v>
      </c>
    </row>
    <row r="27" spans="1:10" x14ac:dyDescent="0.25">
      <c r="A27" t="s">
        <v>3575</v>
      </c>
      <c r="B27" t="s">
        <v>3507</v>
      </c>
      <c r="C27" t="s">
        <v>3508</v>
      </c>
      <c r="D27" t="s">
        <v>3520</v>
      </c>
      <c r="E27" t="s">
        <v>3544</v>
      </c>
      <c r="F27" s="2">
        <v>45819</v>
      </c>
      <c r="G27" s="2">
        <v>45819</v>
      </c>
      <c r="H27" t="s">
        <v>3527</v>
      </c>
      <c r="I27" t="s">
        <v>3512</v>
      </c>
      <c r="J27">
        <v>138083</v>
      </c>
    </row>
    <row r="28" spans="1:10" x14ac:dyDescent="0.25">
      <c r="A28" t="s">
        <v>3576</v>
      </c>
      <c r="B28" t="s">
        <v>3577</v>
      </c>
      <c r="C28" t="s">
        <v>3553</v>
      </c>
      <c r="D28" t="s">
        <v>3520</v>
      </c>
      <c r="E28" t="s">
        <v>3521</v>
      </c>
      <c r="F28" s="2">
        <v>45882</v>
      </c>
      <c r="G28" s="2">
        <v>45883</v>
      </c>
      <c r="H28" t="s">
        <v>3538</v>
      </c>
      <c r="I28" t="s">
        <v>3512</v>
      </c>
      <c r="J28">
        <v>121699</v>
      </c>
    </row>
    <row r="29" spans="1:10" x14ac:dyDescent="0.25">
      <c r="A29" t="s">
        <v>3578</v>
      </c>
      <c r="B29" t="s">
        <v>3535</v>
      </c>
      <c r="C29" t="s">
        <v>3536</v>
      </c>
      <c r="D29" t="s">
        <v>3520</v>
      </c>
      <c r="E29" t="s">
        <v>3521</v>
      </c>
      <c r="F29" s="2">
        <v>45532</v>
      </c>
      <c r="G29" s="2">
        <v>45532</v>
      </c>
      <c r="H29" t="s">
        <v>3527</v>
      </c>
      <c r="I29" t="s">
        <v>3512</v>
      </c>
      <c r="J29">
        <v>68522</v>
      </c>
    </row>
    <row r="30" spans="1:10" x14ac:dyDescent="0.25">
      <c r="A30" t="s">
        <v>3579</v>
      </c>
      <c r="B30" t="s">
        <v>3565</v>
      </c>
      <c r="C30" t="s">
        <v>3515</v>
      </c>
      <c r="D30" t="s">
        <v>3509</v>
      </c>
      <c r="E30" t="s">
        <v>3510</v>
      </c>
      <c r="F30" s="2">
        <v>45562</v>
      </c>
      <c r="G30" s="2">
        <v>45564</v>
      </c>
      <c r="H30" t="s">
        <v>3511</v>
      </c>
      <c r="I30" t="s">
        <v>3512</v>
      </c>
      <c r="J30">
        <v>120870</v>
      </c>
    </row>
    <row r="31" spans="1:10" x14ac:dyDescent="0.25">
      <c r="A31" t="s">
        <v>3580</v>
      </c>
      <c r="B31" t="s">
        <v>3559</v>
      </c>
      <c r="C31" t="s">
        <v>3508</v>
      </c>
      <c r="D31" t="s">
        <v>3520</v>
      </c>
      <c r="E31" t="s">
        <v>3526</v>
      </c>
      <c r="F31" s="2">
        <v>45554</v>
      </c>
      <c r="G31" s="2">
        <v>45554</v>
      </c>
      <c r="H31" t="s">
        <v>3527</v>
      </c>
      <c r="I31" t="s">
        <v>3512</v>
      </c>
      <c r="J31">
        <v>140310</v>
      </c>
    </row>
    <row r="32" spans="1:10" x14ac:dyDescent="0.25">
      <c r="A32" t="s">
        <v>3581</v>
      </c>
      <c r="B32" t="s">
        <v>3582</v>
      </c>
      <c r="C32" t="s">
        <v>3531</v>
      </c>
      <c r="D32" t="s">
        <v>3509</v>
      </c>
      <c r="E32" t="s">
        <v>3510</v>
      </c>
      <c r="F32" s="2">
        <v>45678</v>
      </c>
      <c r="G32" s="2">
        <v>45678</v>
      </c>
      <c r="H32" t="s">
        <v>3511</v>
      </c>
      <c r="I32" t="s">
        <v>3517</v>
      </c>
      <c r="J32">
        <v>126102</v>
      </c>
    </row>
    <row r="33" spans="1:10" x14ac:dyDescent="0.25">
      <c r="A33" t="s">
        <v>3583</v>
      </c>
      <c r="B33" t="s">
        <v>3555</v>
      </c>
      <c r="C33" t="s">
        <v>3541</v>
      </c>
      <c r="D33" t="s">
        <v>3509</v>
      </c>
      <c r="E33" t="s">
        <v>3510</v>
      </c>
      <c r="F33" s="2">
        <v>45527</v>
      </c>
      <c r="G33" s="2">
        <v>45527</v>
      </c>
      <c r="H33" t="s">
        <v>3516</v>
      </c>
      <c r="I33" t="s">
        <v>3512</v>
      </c>
      <c r="J33">
        <v>26831</v>
      </c>
    </row>
    <row r="34" spans="1:10" x14ac:dyDescent="0.25">
      <c r="A34" t="s">
        <v>3584</v>
      </c>
      <c r="B34" t="s">
        <v>3585</v>
      </c>
      <c r="C34" t="s">
        <v>3525</v>
      </c>
      <c r="D34" t="s">
        <v>3509</v>
      </c>
      <c r="E34" t="s">
        <v>3510</v>
      </c>
      <c r="F34" s="2">
        <v>45869</v>
      </c>
      <c r="G34" s="2">
        <v>45869</v>
      </c>
      <c r="H34" t="s">
        <v>3527</v>
      </c>
      <c r="I34" t="s">
        <v>3512</v>
      </c>
      <c r="J34">
        <v>135749</v>
      </c>
    </row>
    <row r="35" spans="1:10" x14ac:dyDescent="0.25">
      <c r="A35" t="s">
        <v>3586</v>
      </c>
      <c r="B35" t="s">
        <v>3543</v>
      </c>
      <c r="C35" t="s">
        <v>3536</v>
      </c>
      <c r="D35" t="s">
        <v>3509</v>
      </c>
      <c r="E35" t="s">
        <v>3510</v>
      </c>
      <c r="F35" s="2">
        <v>45608</v>
      </c>
      <c r="G35" s="2">
        <v>45608</v>
      </c>
      <c r="H35" t="s">
        <v>3572</v>
      </c>
      <c r="I35" t="s">
        <v>3512</v>
      </c>
      <c r="J35">
        <v>33876</v>
      </c>
    </row>
    <row r="36" spans="1:10" x14ac:dyDescent="0.25">
      <c r="A36" t="s">
        <v>3587</v>
      </c>
      <c r="B36" t="s">
        <v>3568</v>
      </c>
      <c r="C36" t="s">
        <v>3531</v>
      </c>
      <c r="D36" t="s">
        <v>3520</v>
      </c>
      <c r="E36" t="s">
        <v>3566</v>
      </c>
      <c r="F36" s="2">
        <v>45771</v>
      </c>
      <c r="G36" s="2">
        <v>45773</v>
      </c>
      <c r="H36" t="s">
        <v>3538</v>
      </c>
      <c r="I36" t="s">
        <v>3517</v>
      </c>
      <c r="J36">
        <v>90362</v>
      </c>
    </row>
    <row r="37" spans="1:10" x14ac:dyDescent="0.25">
      <c r="A37" t="s">
        <v>3588</v>
      </c>
      <c r="B37" t="s">
        <v>3589</v>
      </c>
      <c r="C37" t="s">
        <v>3536</v>
      </c>
      <c r="D37" t="s">
        <v>3509</v>
      </c>
      <c r="E37" t="s">
        <v>3510</v>
      </c>
      <c r="F37" s="2">
        <v>45617</v>
      </c>
      <c r="G37" s="2">
        <v>45619</v>
      </c>
      <c r="H37" t="s">
        <v>3522</v>
      </c>
      <c r="I37" t="s">
        <v>3512</v>
      </c>
      <c r="J37">
        <v>43577</v>
      </c>
    </row>
    <row r="38" spans="1:10" x14ac:dyDescent="0.25">
      <c r="A38" t="s">
        <v>3590</v>
      </c>
      <c r="B38" t="s">
        <v>3582</v>
      </c>
      <c r="C38" t="s">
        <v>3531</v>
      </c>
      <c r="D38" t="s">
        <v>3520</v>
      </c>
      <c r="E38" t="s">
        <v>3533</v>
      </c>
      <c r="F38" s="2">
        <v>45641</v>
      </c>
      <c r="G38" s="2">
        <v>45642</v>
      </c>
      <c r="H38" t="s">
        <v>3511</v>
      </c>
      <c r="I38" t="s">
        <v>3512</v>
      </c>
      <c r="J38">
        <v>56929</v>
      </c>
    </row>
    <row r="39" spans="1:10" x14ac:dyDescent="0.25">
      <c r="A39" t="s">
        <v>3591</v>
      </c>
      <c r="B39" t="s">
        <v>3592</v>
      </c>
      <c r="C39" t="s">
        <v>3508</v>
      </c>
      <c r="D39" t="s">
        <v>3509</v>
      </c>
      <c r="E39" t="s">
        <v>3510</v>
      </c>
      <c r="F39" s="2">
        <v>45571</v>
      </c>
      <c r="G39" s="2">
        <v>45571</v>
      </c>
      <c r="H39" t="s">
        <v>3572</v>
      </c>
      <c r="I39" t="s">
        <v>3512</v>
      </c>
      <c r="J39">
        <v>95157</v>
      </c>
    </row>
    <row r="40" spans="1:10" x14ac:dyDescent="0.25">
      <c r="A40" t="s">
        <v>3593</v>
      </c>
      <c r="B40" t="s">
        <v>3594</v>
      </c>
      <c r="C40" t="s">
        <v>3549</v>
      </c>
      <c r="D40" t="s">
        <v>3509</v>
      </c>
      <c r="E40" t="s">
        <v>3510</v>
      </c>
      <c r="F40" s="2">
        <v>45487</v>
      </c>
      <c r="G40" s="2">
        <v>45487</v>
      </c>
      <c r="H40" t="s">
        <v>3522</v>
      </c>
      <c r="I40" t="s">
        <v>3512</v>
      </c>
      <c r="J40">
        <v>35627</v>
      </c>
    </row>
    <row r="41" spans="1:10" x14ac:dyDescent="0.25">
      <c r="A41" t="s">
        <v>3595</v>
      </c>
      <c r="B41" t="s">
        <v>3596</v>
      </c>
      <c r="C41" t="s">
        <v>3536</v>
      </c>
      <c r="D41" t="s">
        <v>3509</v>
      </c>
      <c r="E41" t="s">
        <v>3510</v>
      </c>
      <c r="F41" s="2">
        <v>45796</v>
      </c>
      <c r="G41" s="2">
        <v>45798</v>
      </c>
      <c r="H41" t="s">
        <v>3572</v>
      </c>
      <c r="I41" t="s">
        <v>3517</v>
      </c>
      <c r="J41">
        <v>125819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832"/>
  <sheetViews>
    <sheetView workbookViewId="0">
      <selection activeCell="E1" sqref="E1:E2832"/>
    </sheetView>
  </sheetViews>
  <sheetFormatPr defaultRowHeight="15" x14ac:dyDescent="0.25"/>
  <cols>
    <col min="1" max="1" width="7.85546875" bestFit="1" customWidth="1"/>
    <col min="2" max="2" width="15" bestFit="1" customWidth="1"/>
    <col min="3" max="3" width="12.42578125" bestFit="1" customWidth="1"/>
    <col min="4" max="4" width="11.5703125" bestFit="1" customWidth="1"/>
    <col min="5" max="5" width="16.85546875" bestFit="1" customWidth="1"/>
  </cols>
  <sheetData>
    <row r="1" spans="1:5" x14ac:dyDescent="0.25">
      <c r="A1" s="1" t="s">
        <v>3496</v>
      </c>
      <c r="B1" s="1" t="s">
        <v>3597</v>
      </c>
      <c r="C1" s="1" t="s">
        <v>3598</v>
      </c>
      <c r="D1" s="1" t="s">
        <v>3599</v>
      </c>
      <c r="E1" s="1" t="s">
        <v>3600</v>
      </c>
    </row>
    <row r="2" spans="1:5" x14ac:dyDescent="0.25">
      <c r="A2" t="s">
        <v>3506</v>
      </c>
      <c r="B2" t="s">
        <v>3601</v>
      </c>
      <c r="C2" t="s">
        <v>2188</v>
      </c>
      <c r="D2" t="s">
        <v>3602</v>
      </c>
      <c r="E2" t="s">
        <v>3603</v>
      </c>
    </row>
    <row r="3" spans="1:5" x14ac:dyDescent="0.25">
      <c r="A3" t="s">
        <v>3506</v>
      </c>
      <c r="B3" t="s">
        <v>3601</v>
      </c>
      <c r="C3" t="s">
        <v>587</v>
      </c>
      <c r="D3" t="s">
        <v>3603</v>
      </c>
      <c r="E3" t="s">
        <v>3603</v>
      </c>
    </row>
    <row r="4" spans="1:5" x14ac:dyDescent="0.25">
      <c r="A4" t="s">
        <v>3506</v>
      </c>
      <c r="B4" t="s">
        <v>3601</v>
      </c>
      <c r="C4" t="s">
        <v>2254</v>
      </c>
      <c r="D4" t="s">
        <v>3603</v>
      </c>
      <c r="E4" t="s">
        <v>3604</v>
      </c>
    </row>
    <row r="5" spans="1:5" x14ac:dyDescent="0.25">
      <c r="A5" t="s">
        <v>3506</v>
      </c>
      <c r="B5" t="s">
        <v>3601</v>
      </c>
      <c r="C5" t="s">
        <v>1095</v>
      </c>
      <c r="D5" t="s">
        <v>3602</v>
      </c>
      <c r="E5" t="s">
        <v>3605</v>
      </c>
    </row>
    <row r="6" spans="1:5" x14ac:dyDescent="0.25">
      <c r="A6" t="s">
        <v>3506</v>
      </c>
      <c r="B6" t="s">
        <v>3601</v>
      </c>
      <c r="C6" t="s">
        <v>789</v>
      </c>
      <c r="D6" t="s">
        <v>3606</v>
      </c>
      <c r="E6" t="s">
        <v>3604</v>
      </c>
    </row>
    <row r="7" spans="1:5" x14ac:dyDescent="0.25">
      <c r="A7" t="s">
        <v>3506</v>
      </c>
      <c r="B7" t="s">
        <v>3601</v>
      </c>
      <c r="C7" t="s">
        <v>2350</v>
      </c>
      <c r="D7" t="s">
        <v>3602</v>
      </c>
      <c r="E7" t="s">
        <v>3604</v>
      </c>
    </row>
    <row r="8" spans="1:5" x14ac:dyDescent="0.25">
      <c r="A8" t="s">
        <v>3506</v>
      </c>
      <c r="B8" t="s">
        <v>3601</v>
      </c>
      <c r="C8" t="s">
        <v>2267</v>
      </c>
      <c r="D8" t="s">
        <v>3607</v>
      </c>
      <c r="E8" t="s">
        <v>3608</v>
      </c>
    </row>
    <row r="9" spans="1:5" x14ac:dyDescent="0.25">
      <c r="A9" t="s">
        <v>3506</v>
      </c>
      <c r="B9" t="s">
        <v>3601</v>
      </c>
      <c r="C9" t="s">
        <v>909</v>
      </c>
      <c r="D9" t="s">
        <v>3607</v>
      </c>
      <c r="E9" t="s">
        <v>3608</v>
      </c>
    </row>
    <row r="10" spans="1:5" x14ac:dyDescent="0.25">
      <c r="A10" t="s">
        <v>3506</v>
      </c>
      <c r="B10" t="s">
        <v>3601</v>
      </c>
      <c r="C10" t="s">
        <v>556</v>
      </c>
      <c r="D10" t="s">
        <v>3603</v>
      </c>
      <c r="E10" t="s">
        <v>3603</v>
      </c>
    </row>
    <row r="11" spans="1:5" x14ac:dyDescent="0.25">
      <c r="A11" t="s">
        <v>3506</v>
      </c>
      <c r="B11" t="s">
        <v>3601</v>
      </c>
      <c r="C11" t="s">
        <v>2633</v>
      </c>
      <c r="D11" t="s">
        <v>3606</v>
      </c>
      <c r="E11" t="s">
        <v>3605</v>
      </c>
    </row>
    <row r="12" spans="1:5" x14ac:dyDescent="0.25">
      <c r="A12" t="s">
        <v>3506</v>
      </c>
      <c r="B12" t="s">
        <v>3601</v>
      </c>
      <c r="C12" t="s">
        <v>115</v>
      </c>
      <c r="D12" t="s">
        <v>3606</v>
      </c>
      <c r="E12" t="s">
        <v>3609</v>
      </c>
    </row>
    <row r="13" spans="1:5" x14ac:dyDescent="0.25">
      <c r="A13" t="s">
        <v>3506</v>
      </c>
      <c r="B13" t="s">
        <v>3601</v>
      </c>
      <c r="C13" t="s">
        <v>1311</v>
      </c>
      <c r="D13" t="s">
        <v>3603</v>
      </c>
      <c r="E13" t="s">
        <v>3604</v>
      </c>
    </row>
    <row r="14" spans="1:5" x14ac:dyDescent="0.25">
      <c r="A14" t="s">
        <v>3506</v>
      </c>
      <c r="B14" t="s">
        <v>3601</v>
      </c>
      <c r="C14" t="s">
        <v>2409</v>
      </c>
      <c r="D14" t="s">
        <v>3606</v>
      </c>
      <c r="E14" t="s">
        <v>3605</v>
      </c>
    </row>
    <row r="15" spans="1:5" x14ac:dyDescent="0.25">
      <c r="A15" t="s">
        <v>3506</v>
      </c>
      <c r="B15" t="s">
        <v>3601</v>
      </c>
      <c r="C15" t="s">
        <v>664</v>
      </c>
      <c r="D15" t="s">
        <v>3603</v>
      </c>
      <c r="E15" t="s">
        <v>3605</v>
      </c>
    </row>
    <row r="16" spans="1:5" x14ac:dyDescent="0.25">
      <c r="A16" t="s">
        <v>3506</v>
      </c>
      <c r="B16" t="s">
        <v>3601</v>
      </c>
      <c r="C16" t="s">
        <v>2238</v>
      </c>
      <c r="D16" t="s">
        <v>3606</v>
      </c>
      <c r="E16" t="s">
        <v>3603</v>
      </c>
    </row>
    <row r="17" spans="1:5" x14ac:dyDescent="0.25">
      <c r="A17" t="s">
        <v>3506</v>
      </c>
      <c r="B17" t="s">
        <v>3601</v>
      </c>
      <c r="C17" t="s">
        <v>2320</v>
      </c>
      <c r="D17" t="s">
        <v>3607</v>
      </c>
      <c r="E17" t="s">
        <v>3608</v>
      </c>
    </row>
    <row r="18" spans="1:5" x14ac:dyDescent="0.25">
      <c r="A18" t="s">
        <v>3506</v>
      </c>
      <c r="B18" t="s">
        <v>3601</v>
      </c>
      <c r="C18" t="s">
        <v>2858</v>
      </c>
      <c r="D18" t="s">
        <v>3606</v>
      </c>
      <c r="E18" t="s">
        <v>3605</v>
      </c>
    </row>
    <row r="19" spans="1:5" x14ac:dyDescent="0.25">
      <c r="A19" t="s">
        <v>3506</v>
      </c>
      <c r="B19" t="s">
        <v>3601</v>
      </c>
      <c r="C19" t="s">
        <v>289</v>
      </c>
      <c r="D19" t="s">
        <v>3602</v>
      </c>
      <c r="E19" t="s">
        <v>3609</v>
      </c>
    </row>
    <row r="20" spans="1:5" x14ac:dyDescent="0.25">
      <c r="A20" t="s">
        <v>3506</v>
      </c>
      <c r="B20" t="s">
        <v>3601</v>
      </c>
      <c r="C20" t="s">
        <v>1953</v>
      </c>
      <c r="D20" t="s">
        <v>3606</v>
      </c>
      <c r="E20" t="s">
        <v>3609</v>
      </c>
    </row>
    <row r="21" spans="1:5" x14ac:dyDescent="0.25">
      <c r="A21" t="s">
        <v>3506</v>
      </c>
      <c r="B21" t="s">
        <v>3601</v>
      </c>
      <c r="C21" t="s">
        <v>2419</v>
      </c>
      <c r="D21" t="s">
        <v>3607</v>
      </c>
      <c r="E21" t="s">
        <v>3608</v>
      </c>
    </row>
    <row r="22" spans="1:5" x14ac:dyDescent="0.25">
      <c r="A22" t="s">
        <v>3506</v>
      </c>
      <c r="B22" t="s">
        <v>3601</v>
      </c>
      <c r="C22" t="s">
        <v>2833</v>
      </c>
      <c r="D22" t="s">
        <v>3603</v>
      </c>
      <c r="E22" t="s">
        <v>3605</v>
      </c>
    </row>
    <row r="23" spans="1:5" x14ac:dyDescent="0.25">
      <c r="A23" t="s">
        <v>3506</v>
      </c>
      <c r="B23" t="s">
        <v>3601</v>
      </c>
      <c r="C23" t="s">
        <v>2838</v>
      </c>
      <c r="D23" t="s">
        <v>3606</v>
      </c>
      <c r="E23" t="s">
        <v>3603</v>
      </c>
    </row>
    <row r="24" spans="1:5" x14ac:dyDescent="0.25">
      <c r="A24" t="s">
        <v>3506</v>
      </c>
      <c r="B24" t="s">
        <v>3601</v>
      </c>
      <c r="C24" t="s">
        <v>1769</v>
      </c>
      <c r="D24" t="s">
        <v>3606</v>
      </c>
      <c r="E24" t="s">
        <v>3605</v>
      </c>
    </row>
    <row r="25" spans="1:5" x14ac:dyDescent="0.25">
      <c r="A25" t="s">
        <v>3506</v>
      </c>
      <c r="B25" t="s">
        <v>3601</v>
      </c>
      <c r="C25" t="s">
        <v>2163</v>
      </c>
      <c r="D25" t="s">
        <v>3607</v>
      </c>
      <c r="E25" t="s">
        <v>3608</v>
      </c>
    </row>
    <row r="26" spans="1:5" x14ac:dyDescent="0.25">
      <c r="A26" t="s">
        <v>3506</v>
      </c>
      <c r="B26" t="s">
        <v>3601</v>
      </c>
      <c r="C26" t="s">
        <v>607</v>
      </c>
      <c r="D26" t="s">
        <v>3607</v>
      </c>
      <c r="E26" t="s">
        <v>3608</v>
      </c>
    </row>
    <row r="27" spans="1:5" x14ac:dyDescent="0.25">
      <c r="A27" t="s">
        <v>3506</v>
      </c>
      <c r="B27" t="s">
        <v>3601</v>
      </c>
      <c r="C27" t="s">
        <v>2689</v>
      </c>
      <c r="D27" t="s">
        <v>3602</v>
      </c>
      <c r="E27" t="s">
        <v>3604</v>
      </c>
    </row>
    <row r="28" spans="1:5" x14ac:dyDescent="0.25">
      <c r="A28" t="s">
        <v>3506</v>
      </c>
      <c r="B28" t="s">
        <v>3601</v>
      </c>
      <c r="C28" t="s">
        <v>2867</v>
      </c>
      <c r="D28" t="s">
        <v>3603</v>
      </c>
      <c r="E28" t="s">
        <v>3604</v>
      </c>
    </row>
    <row r="29" spans="1:5" x14ac:dyDescent="0.25">
      <c r="A29" t="s">
        <v>3506</v>
      </c>
      <c r="B29" t="s">
        <v>3601</v>
      </c>
      <c r="C29" t="s">
        <v>1404</v>
      </c>
      <c r="D29" t="s">
        <v>3602</v>
      </c>
      <c r="E29" t="s">
        <v>3604</v>
      </c>
    </row>
    <row r="30" spans="1:5" x14ac:dyDescent="0.25">
      <c r="A30" t="s">
        <v>3506</v>
      </c>
      <c r="B30" t="s">
        <v>3601</v>
      </c>
      <c r="C30" t="s">
        <v>771</v>
      </c>
      <c r="D30" t="s">
        <v>3603</v>
      </c>
      <c r="E30" t="s">
        <v>3603</v>
      </c>
    </row>
    <row r="31" spans="1:5" x14ac:dyDescent="0.25">
      <c r="A31" t="s">
        <v>3506</v>
      </c>
      <c r="B31" t="s">
        <v>3601</v>
      </c>
      <c r="C31" t="s">
        <v>2047</v>
      </c>
      <c r="D31" t="s">
        <v>3606</v>
      </c>
      <c r="E31" t="s">
        <v>3603</v>
      </c>
    </row>
    <row r="32" spans="1:5" x14ac:dyDescent="0.25">
      <c r="A32" t="s">
        <v>3506</v>
      </c>
      <c r="B32" t="s">
        <v>3601</v>
      </c>
      <c r="C32" t="s">
        <v>2758</v>
      </c>
      <c r="D32" t="s">
        <v>3607</v>
      </c>
      <c r="E32" t="s">
        <v>3608</v>
      </c>
    </row>
    <row r="33" spans="1:5" x14ac:dyDescent="0.25">
      <c r="A33" t="s">
        <v>3506</v>
      </c>
      <c r="B33" t="s">
        <v>3601</v>
      </c>
      <c r="C33" t="s">
        <v>2058</v>
      </c>
      <c r="D33" t="s">
        <v>3607</v>
      </c>
      <c r="E33" t="s">
        <v>3608</v>
      </c>
    </row>
    <row r="34" spans="1:5" x14ac:dyDescent="0.25">
      <c r="A34" t="s">
        <v>3506</v>
      </c>
      <c r="B34" t="s">
        <v>3601</v>
      </c>
      <c r="C34" t="s">
        <v>2583</v>
      </c>
      <c r="D34" t="s">
        <v>3607</v>
      </c>
      <c r="E34" t="s">
        <v>3608</v>
      </c>
    </row>
    <row r="35" spans="1:5" x14ac:dyDescent="0.25">
      <c r="A35" t="s">
        <v>3506</v>
      </c>
      <c r="B35" t="s">
        <v>3601</v>
      </c>
      <c r="C35" t="s">
        <v>1194</v>
      </c>
      <c r="D35" t="s">
        <v>3603</v>
      </c>
      <c r="E35" t="s">
        <v>3609</v>
      </c>
    </row>
    <row r="36" spans="1:5" x14ac:dyDescent="0.25">
      <c r="A36" t="s">
        <v>3506</v>
      </c>
      <c r="B36" t="s">
        <v>3601</v>
      </c>
      <c r="C36" t="s">
        <v>44</v>
      </c>
      <c r="D36" t="s">
        <v>3607</v>
      </c>
      <c r="E36" t="s">
        <v>3608</v>
      </c>
    </row>
    <row r="37" spans="1:5" x14ac:dyDescent="0.25">
      <c r="A37" t="s">
        <v>3506</v>
      </c>
      <c r="B37" t="s">
        <v>3601</v>
      </c>
      <c r="C37" t="s">
        <v>2042</v>
      </c>
      <c r="D37" t="s">
        <v>3603</v>
      </c>
      <c r="E37" t="s">
        <v>3609</v>
      </c>
    </row>
    <row r="38" spans="1:5" x14ac:dyDescent="0.25">
      <c r="A38" t="s">
        <v>3506</v>
      </c>
      <c r="B38" t="s">
        <v>3601</v>
      </c>
      <c r="C38" t="s">
        <v>2423</v>
      </c>
      <c r="D38" t="s">
        <v>3606</v>
      </c>
      <c r="E38" t="s">
        <v>3605</v>
      </c>
    </row>
    <row r="39" spans="1:5" x14ac:dyDescent="0.25">
      <c r="A39" t="s">
        <v>3506</v>
      </c>
      <c r="B39" t="s">
        <v>3601</v>
      </c>
      <c r="C39" t="s">
        <v>571</v>
      </c>
      <c r="D39" t="s">
        <v>3607</v>
      </c>
      <c r="E39" t="s">
        <v>3608</v>
      </c>
    </row>
    <row r="40" spans="1:5" x14ac:dyDescent="0.25">
      <c r="A40" t="s">
        <v>3506</v>
      </c>
      <c r="B40" t="s">
        <v>3601</v>
      </c>
      <c r="C40" t="s">
        <v>1394</v>
      </c>
      <c r="D40" t="s">
        <v>3606</v>
      </c>
      <c r="E40" t="s">
        <v>3604</v>
      </c>
    </row>
    <row r="41" spans="1:5" x14ac:dyDescent="0.25">
      <c r="A41" t="s">
        <v>3506</v>
      </c>
      <c r="B41" t="s">
        <v>3601</v>
      </c>
      <c r="C41" t="s">
        <v>522</v>
      </c>
      <c r="D41" t="s">
        <v>3606</v>
      </c>
      <c r="E41" t="s">
        <v>3609</v>
      </c>
    </row>
    <row r="42" spans="1:5" x14ac:dyDescent="0.25">
      <c r="A42" t="s">
        <v>3506</v>
      </c>
      <c r="B42" t="s">
        <v>3601</v>
      </c>
      <c r="C42" t="s">
        <v>2301</v>
      </c>
      <c r="D42" t="s">
        <v>3603</v>
      </c>
      <c r="E42" t="s">
        <v>3609</v>
      </c>
    </row>
    <row r="43" spans="1:5" x14ac:dyDescent="0.25">
      <c r="A43" t="s">
        <v>3506</v>
      </c>
      <c r="B43" t="s">
        <v>3601</v>
      </c>
      <c r="C43" t="s">
        <v>723</v>
      </c>
      <c r="D43" t="s">
        <v>3607</v>
      </c>
      <c r="E43" t="s">
        <v>3608</v>
      </c>
    </row>
    <row r="44" spans="1:5" x14ac:dyDescent="0.25">
      <c r="A44" t="s">
        <v>3506</v>
      </c>
      <c r="B44" t="s">
        <v>3601</v>
      </c>
      <c r="C44" t="s">
        <v>2808</v>
      </c>
      <c r="D44" t="s">
        <v>3606</v>
      </c>
      <c r="E44" t="s">
        <v>3604</v>
      </c>
    </row>
    <row r="45" spans="1:5" x14ac:dyDescent="0.25">
      <c r="A45" t="s">
        <v>3506</v>
      </c>
      <c r="B45" t="s">
        <v>3601</v>
      </c>
      <c r="C45" t="s">
        <v>1259</v>
      </c>
      <c r="D45" t="s">
        <v>3606</v>
      </c>
      <c r="E45" t="s">
        <v>3603</v>
      </c>
    </row>
    <row r="46" spans="1:5" x14ac:dyDescent="0.25">
      <c r="A46" t="s">
        <v>3506</v>
      </c>
      <c r="B46" t="s">
        <v>3601</v>
      </c>
      <c r="C46" t="s">
        <v>312</v>
      </c>
      <c r="D46" t="s">
        <v>3603</v>
      </c>
      <c r="E46" t="s">
        <v>3603</v>
      </c>
    </row>
    <row r="47" spans="1:5" x14ac:dyDescent="0.25">
      <c r="A47" t="s">
        <v>3506</v>
      </c>
      <c r="B47" t="s">
        <v>3601</v>
      </c>
      <c r="C47" t="s">
        <v>614</v>
      </c>
      <c r="D47" t="s">
        <v>3603</v>
      </c>
      <c r="E47" t="s">
        <v>3604</v>
      </c>
    </row>
    <row r="48" spans="1:5" x14ac:dyDescent="0.25">
      <c r="A48" t="s">
        <v>3506</v>
      </c>
      <c r="B48" t="s">
        <v>3601</v>
      </c>
      <c r="C48" t="s">
        <v>18</v>
      </c>
      <c r="D48" t="s">
        <v>3602</v>
      </c>
      <c r="E48" t="s">
        <v>3605</v>
      </c>
    </row>
    <row r="49" spans="1:5" x14ac:dyDescent="0.25">
      <c r="A49" t="s">
        <v>3506</v>
      </c>
      <c r="B49" t="s">
        <v>3601</v>
      </c>
      <c r="C49" t="s">
        <v>132</v>
      </c>
      <c r="D49" t="s">
        <v>3606</v>
      </c>
      <c r="E49" t="s">
        <v>3603</v>
      </c>
    </row>
    <row r="50" spans="1:5" x14ac:dyDescent="0.25">
      <c r="A50" t="s">
        <v>3506</v>
      </c>
      <c r="B50" t="s">
        <v>3601</v>
      </c>
      <c r="C50" t="s">
        <v>2454</v>
      </c>
      <c r="D50" t="s">
        <v>3607</v>
      </c>
      <c r="E50" t="s">
        <v>3608</v>
      </c>
    </row>
    <row r="51" spans="1:5" x14ac:dyDescent="0.25">
      <c r="A51" t="s">
        <v>3506</v>
      </c>
      <c r="B51" t="s">
        <v>3601</v>
      </c>
      <c r="C51" t="s">
        <v>228</v>
      </c>
      <c r="D51" t="s">
        <v>3606</v>
      </c>
      <c r="E51" t="s">
        <v>3604</v>
      </c>
    </row>
    <row r="52" spans="1:5" x14ac:dyDescent="0.25">
      <c r="A52" t="s">
        <v>3506</v>
      </c>
      <c r="B52" t="s">
        <v>3601</v>
      </c>
      <c r="C52" t="s">
        <v>582</v>
      </c>
      <c r="D52" t="s">
        <v>3602</v>
      </c>
      <c r="E52" t="s">
        <v>3603</v>
      </c>
    </row>
    <row r="53" spans="1:5" x14ac:dyDescent="0.25">
      <c r="A53" t="s">
        <v>3506</v>
      </c>
      <c r="B53" t="s">
        <v>3601</v>
      </c>
      <c r="C53" t="s">
        <v>1242</v>
      </c>
      <c r="D53" t="s">
        <v>3607</v>
      </c>
      <c r="E53" t="s">
        <v>3608</v>
      </c>
    </row>
    <row r="54" spans="1:5" x14ac:dyDescent="0.25">
      <c r="A54" t="s">
        <v>3506</v>
      </c>
      <c r="B54" t="s">
        <v>3601</v>
      </c>
      <c r="C54" t="s">
        <v>955</v>
      </c>
      <c r="D54" t="s">
        <v>3606</v>
      </c>
      <c r="E54" t="s">
        <v>3603</v>
      </c>
    </row>
    <row r="55" spans="1:5" x14ac:dyDescent="0.25">
      <c r="A55" t="s">
        <v>3506</v>
      </c>
      <c r="B55" t="s">
        <v>3601</v>
      </c>
      <c r="C55" t="s">
        <v>2428</v>
      </c>
      <c r="D55" t="s">
        <v>3606</v>
      </c>
      <c r="E55" t="s">
        <v>3604</v>
      </c>
    </row>
    <row r="56" spans="1:5" x14ac:dyDescent="0.25">
      <c r="A56" t="s">
        <v>3506</v>
      </c>
      <c r="B56" t="s">
        <v>3601</v>
      </c>
      <c r="C56" t="s">
        <v>1305</v>
      </c>
      <c r="D56" t="s">
        <v>3607</v>
      </c>
      <c r="E56" t="s">
        <v>3608</v>
      </c>
    </row>
    <row r="57" spans="1:5" x14ac:dyDescent="0.25">
      <c r="A57" t="s">
        <v>3506</v>
      </c>
      <c r="B57" t="s">
        <v>3601</v>
      </c>
      <c r="C57" t="s">
        <v>469</v>
      </c>
      <c r="D57" t="s">
        <v>3606</v>
      </c>
      <c r="E57" t="s">
        <v>3609</v>
      </c>
    </row>
    <row r="58" spans="1:5" x14ac:dyDescent="0.25">
      <c r="A58" t="s">
        <v>3506</v>
      </c>
      <c r="B58" t="s">
        <v>3601</v>
      </c>
      <c r="C58" t="s">
        <v>1053</v>
      </c>
      <c r="D58" t="s">
        <v>3606</v>
      </c>
      <c r="E58" t="s">
        <v>3609</v>
      </c>
    </row>
    <row r="59" spans="1:5" x14ac:dyDescent="0.25">
      <c r="A59" t="s">
        <v>3506</v>
      </c>
      <c r="B59" t="s">
        <v>3601</v>
      </c>
      <c r="C59" t="s">
        <v>194</v>
      </c>
      <c r="D59" t="s">
        <v>3606</v>
      </c>
      <c r="E59" t="s">
        <v>3609</v>
      </c>
    </row>
    <row r="60" spans="1:5" x14ac:dyDescent="0.25">
      <c r="A60" t="s">
        <v>3506</v>
      </c>
      <c r="B60" t="s">
        <v>3601</v>
      </c>
      <c r="C60" t="s">
        <v>1365</v>
      </c>
      <c r="D60" t="s">
        <v>3606</v>
      </c>
      <c r="E60" t="s">
        <v>3604</v>
      </c>
    </row>
    <row r="61" spans="1:5" x14ac:dyDescent="0.25">
      <c r="A61" t="s">
        <v>3506</v>
      </c>
      <c r="B61" t="s">
        <v>3601</v>
      </c>
      <c r="C61" t="s">
        <v>621</v>
      </c>
      <c r="D61" t="s">
        <v>3606</v>
      </c>
      <c r="E61" t="s">
        <v>3603</v>
      </c>
    </row>
    <row r="62" spans="1:5" x14ac:dyDescent="0.25">
      <c r="A62" t="s">
        <v>3506</v>
      </c>
      <c r="B62" t="s">
        <v>3601</v>
      </c>
      <c r="C62" t="s">
        <v>2853</v>
      </c>
      <c r="D62" t="s">
        <v>3603</v>
      </c>
      <c r="E62" t="s">
        <v>3609</v>
      </c>
    </row>
    <row r="63" spans="1:5" x14ac:dyDescent="0.25">
      <c r="A63" t="s">
        <v>3506</v>
      </c>
      <c r="B63" t="s">
        <v>3601</v>
      </c>
      <c r="C63" t="s">
        <v>1672</v>
      </c>
      <c r="D63" t="s">
        <v>3602</v>
      </c>
      <c r="E63" t="s">
        <v>3604</v>
      </c>
    </row>
    <row r="64" spans="1:5" x14ac:dyDescent="0.25">
      <c r="A64" t="s">
        <v>3506</v>
      </c>
      <c r="B64" t="s">
        <v>3601</v>
      </c>
      <c r="C64" t="s">
        <v>1990</v>
      </c>
      <c r="D64" t="s">
        <v>3607</v>
      </c>
      <c r="E64" t="s">
        <v>3608</v>
      </c>
    </row>
    <row r="65" spans="1:5" x14ac:dyDescent="0.25">
      <c r="A65" t="s">
        <v>3506</v>
      </c>
      <c r="B65" t="s">
        <v>3601</v>
      </c>
      <c r="C65" t="s">
        <v>2798</v>
      </c>
      <c r="D65" t="s">
        <v>3607</v>
      </c>
      <c r="E65" t="s">
        <v>3608</v>
      </c>
    </row>
    <row r="66" spans="1:5" x14ac:dyDescent="0.25">
      <c r="A66" t="s">
        <v>3506</v>
      </c>
      <c r="B66" t="s">
        <v>3601</v>
      </c>
      <c r="C66" t="s">
        <v>629</v>
      </c>
      <c r="D66" t="s">
        <v>3606</v>
      </c>
      <c r="E66" t="s">
        <v>3605</v>
      </c>
    </row>
    <row r="67" spans="1:5" x14ac:dyDescent="0.25">
      <c r="A67" t="s">
        <v>3506</v>
      </c>
      <c r="B67" t="s">
        <v>3601</v>
      </c>
      <c r="C67" t="s">
        <v>356</v>
      </c>
      <c r="D67" t="s">
        <v>3602</v>
      </c>
      <c r="E67" t="s">
        <v>3605</v>
      </c>
    </row>
    <row r="68" spans="1:5" x14ac:dyDescent="0.25">
      <c r="A68" t="s">
        <v>3506</v>
      </c>
      <c r="B68" t="s">
        <v>3601</v>
      </c>
      <c r="C68" t="s">
        <v>2638</v>
      </c>
      <c r="D68" t="s">
        <v>3602</v>
      </c>
      <c r="E68" t="s">
        <v>3603</v>
      </c>
    </row>
    <row r="69" spans="1:5" x14ac:dyDescent="0.25">
      <c r="A69" t="s">
        <v>3506</v>
      </c>
      <c r="B69" t="s">
        <v>3601</v>
      </c>
      <c r="C69" t="s">
        <v>407</v>
      </c>
      <c r="D69" t="s">
        <v>3607</v>
      </c>
      <c r="E69" t="s">
        <v>3608</v>
      </c>
    </row>
    <row r="70" spans="1:5" x14ac:dyDescent="0.25">
      <c r="A70" t="s">
        <v>3506</v>
      </c>
      <c r="B70" t="s">
        <v>3601</v>
      </c>
      <c r="C70" t="s">
        <v>1539</v>
      </c>
      <c r="D70" t="s">
        <v>3606</v>
      </c>
      <c r="E70" t="s">
        <v>3603</v>
      </c>
    </row>
    <row r="71" spans="1:5" x14ac:dyDescent="0.25">
      <c r="A71" t="s">
        <v>3506</v>
      </c>
      <c r="B71" t="s">
        <v>3601</v>
      </c>
      <c r="C71" t="s">
        <v>2335</v>
      </c>
      <c r="D71" t="s">
        <v>3602</v>
      </c>
      <c r="E71" t="s">
        <v>3605</v>
      </c>
    </row>
    <row r="72" spans="1:5" x14ac:dyDescent="0.25">
      <c r="A72" t="s">
        <v>3506</v>
      </c>
      <c r="B72" t="s">
        <v>3601</v>
      </c>
      <c r="C72" t="s">
        <v>2143</v>
      </c>
      <c r="D72" t="s">
        <v>3606</v>
      </c>
      <c r="E72" t="s">
        <v>3603</v>
      </c>
    </row>
    <row r="73" spans="1:5" x14ac:dyDescent="0.25">
      <c r="A73" t="s">
        <v>3506</v>
      </c>
      <c r="B73" t="s">
        <v>3601</v>
      </c>
      <c r="C73" t="s">
        <v>2086</v>
      </c>
      <c r="D73" t="s">
        <v>3606</v>
      </c>
      <c r="E73" t="s">
        <v>3603</v>
      </c>
    </row>
    <row r="74" spans="1:5" x14ac:dyDescent="0.25">
      <c r="A74" t="s">
        <v>3506</v>
      </c>
      <c r="B74" t="s">
        <v>3601</v>
      </c>
      <c r="C74" t="s">
        <v>1752</v>
      </c>
      <c r="D74" t="s">
        <v>3607</v>
      </c>
      <c r="E74" t="s">
        <v>3608</v>
      </c>
    </row>
    <row r="75" spans="1:5" x14ac:dyDescent="0.25">
      <c r="A75" t="s">
        <v>3506</v>
      </c>
      <c r="B75" t="s">
        <v>3601</v>
      </c>
      <c r="C75" t="s">
        <v>1820</v>
      </c>
      <c r="D75" t="s">
        <v>3602</v>
      </c>
      <c r="E75" t="s">
        <v>3604</v>
      </c>
    </row>
    <row r="76" spans="1:5" x14ac:dyDescent="0.25">
      <c r="A76" t="s">
        <v>3506</v>
      </c>
      <c r="B76" t="s">
        <v>3601</v>
      </c>
      <c r="C76" t="s">
        <v>1958</v>
      </c>
      <c r="D76" t="s">
        <v>3606</v>
      </c>
      <c r="E76" t="s">
        <v>3609</v>
      </c>
    </row>
    <row r="77" spans="1:5" x14ac:dyDescent="0.25">
      <c r="A77" t="s">
        <v>3506</v>
      </c>
      <c r="B77" t="s">
        <v>3601</v>
      </c>
      <c r="C77" t="s">
        <v>1892</v>
      </c>
      <c r="D77" t="s">
        <v>3603</v>
      </c>
      <c r="E77" t="s">
        <v>3609</v>
      </c>
    </row>
    <row r="78" spans="1:5" x14ac:dyDescent="0.25">
      <c r="A78" t="s">
        <v>3506</v>
      </c>
      <c r="B78" t="s">
        <v>3601</v>
      </c>
      <c r="C78" t="s">
        <v>1705</v>
      </c>
      <c r="D78" t="s">
        <v>3603</v>
      </c>
      <c r="E78" t="s">
        <v>3604</v>
      </c>
    </row>
    <row r="79" spans="1:5" x14ac:dyDescent="0.25">
      <c r="A79" t="s">
        <v>3506</v>
      </c>
      <c r="B79" t="s">
        <v>3601</v>
      </c>
      <c r="C79" t="s">
        <v>563</v>
      </c>
      <c r="D79" t="s">
        <v>3602</v>
      </c>
      <c r="E79" t="s">
        <v>3603</v>
      </c>
    </row>
    <row r="80" spans="1:5" x14ac:dyDescent="0.25">
      <c r="A80" t="s">
        <v>3506</v>
      </c>
      <c r="B80" t="s">
        <v>3601</v>
      </c>
      <c r="C80" t="s">
        <v>2659</v>
      </c>
      <c r="D80" t="s">
        <v>3602</v>
      </c>
      <c r="E80" t="s">
        <v>3604</v>
      </c>
    </row>
    <row r="81" spans="1:5" x14ac:dyDescent="0.25">
      <c r="A81" t="s">
        <v>3506</v>
      </c>
      <c r="B81" t="s">
        <v>3601</v>
      </c>
      <c r="C81" t="s">
        <v>2709</v>
      </c>
      <c r="D81" t="s">
        <v>3607</v>
      </c>
      <c r="E81" t="s">
        <v>3608</v>
      </c>
    </row>
    <row r="82" spans="1:5" x14ac:dyDescent="0.25">
      <c r="A82" t="s">
        <v>3506</v>
      </c>
      <c r="B82" t="s">
        <v>3601</v>
      </c>
      <c r="C82" t="s">
        <v>1090</v>
      </c>
      <c r="D82" t="s">
        <v>3603</v>
      </c>
      <c r="E82" t="s">
        <v>3604</v>
      </c>
    </row>
    <row r="83" spans="1:5" x14ac:dyDescent="0.25">
      <c r="A83" t="s">
        <v>3506</v>
      </c>
      <c r="B83" t="s">
        <v>3601</v>
      </c>
      <c r="C83" t="s">
        <v>650</v>
      </c>
      <c r="D83" t="s">
        <v>3607</v>
      </c>
      <c r="E83" t="s">
        <v>3608</v>
      </c>
    </row>
    <row r="84" spans="1:5" x14ac:dyDescent="0.25">
      <c r="A84" t="s">
        <v>3506</v>
      </c>
      <c r="B84" t="s">
        <v>3601</v>
      </c>
      <c r="C84" t="s">
        <v>2768</v>
      </c>
      <c r="D84" t="s">
        <v>3602</v>
      </c>
      <c r="E84" t="s">
        <v>3603</v>
      </c>
    </row>
    <row r="85" spans="1:5" x14ac:dyDescent="0.25">
      <c r="A85" t="s">
        <v>3506</v>
      </c>
      <c r="B85" t="s">
        <v>3601</v>
      </c>
      <c r="C85" t="s">
        <v>1188</v>
      </c>
      <c r="D85" t="s">
        <v>3603</v>
      </c>
      <c r="E85" t="s">
        <v>3605</v>
      </c>
    </row>
    <row r="86" spans="1:5" x14ac:dyDescent="0.25">
      <c r="A86" t="s">
        <v>3506</v>
      </c>
      <c r="B86" t="s">
        <v>3601</v>
      </c>
      <c r="C86" t="s">
        <v>1979</v>
      </c>
      <c r="D86" t="s">
        <v>3603</v>
      </c>
      <c r="E86" t="s">
        <v>3609</v>
      </c>
    </row>
    <row r="87" spans="1:5" x14ac:dyDescent="0.25">
      <c r="A87" t="s">
        <v>3506</v>
      </c>
      <c r="B87" t="s">
        <v>3601</v>
      </c>
      <c r="C87" t="s">
        <v>705</v>
      </c>
      <c r="D87" t="s">
        <v>3603</v>
      </c>
      <c r="E87" t="s">
        <v>3605</v>
      </c>
    </row>
    <row r="88" spans="1:5" x14ac:dyDescent="0.25">
      <c r="A88" t="s">
        <v>3506</v>
      </c>
      <c r="B88" t="s">
        <v>3601</v>
      </c>
      <c r="C88" t="s">
        <v>1232</v>
      </c>
      <c r="D88" t="s">
        <v>3607</v>
      </c>
      <c r="E88" t="s">
        <v>3608</v>
      </c>
    </row>
    <row r="89" spans="1:5" x14ac:dyDescent="0.25">
      <c r="A89" t="s">
        <v>3506</v>
      </c>
      <c r="B89" t="s">
        <v>3601</v>
      </c>
      <c r="C89" t="s">
        <v>2449</v>
      </c>
      <c r="D89" t="s">
        <v>3603</v>
      </c>
      <c r="E89" t="s">
        <v>3609</v>
      </c>
    </row>
    <row r="90" spans="1:5" x14ac:dyDescent="0.25">
      <c r="A90" t="s">
        <v>3506</v>
      </c>
      <c r="B90" t="s">
        <v>3601</v>
      </c>
      <c r="C90" t="s">
        <v>1932</v>
      </c>
      <c r="D90" t="s">
        <v>3607</v>
      </c>
      <c r="E90" t="s">
        <v>3608</v>
      </c>
    </row>
    <row r="91" spans="1:5" x14ac:dyDescent="0.25">
      <c r="A91" t="s">
        <v>3506</v>
      </c>
      <c r="B91" t="s">
        <v>3601</v>
      </c>
      <c r="C91" t="s">
        <v>1757</v>
      </c>
      <c r="D91" t="s">
        <v>3607</v>
      </c>
      <c r="E91" t="s">
        <v>3608</v>
      </c>
    </row>
    <row r="92" spans="1:5" x14ac:dyDescent="0.25">
      <c r="A92" t="s">
        <v>3506</v>
      </c>
      <c r="B92" t="s">
        <v>3601</v>
      </c>
      <c r="C92" t="s">
        <v>2286</v>
      </c>
      <c r="D92" t="s">
        <v>3603</v>
      </c>
      <c r="E92" t="s">
        <v>3605</v>
      </c>
    </row>
    <row r="93" spans="1:5" x14ac:dyDescent="0.25">
      <c r="A93" t="s">
        <v>3506</v>
      </c>
      <c r="B93" t="s">
        <v>3601</v>
      </c>
      <c r="C93" t="s">
        <v>2743</v>
      </c>
      <c r="D93" t="s">
        <v>3606</v>
      </c>
      <c r="E93" t="s">
        <v>3604</v>
      </c>
    </row>
    <row r="94" spans="1:5" x14ac:dyDescent="0.25">
      <c r="A94" t="s">
        <v>3506</v>
      </c>
      <c r="B94" t="s">
        <v>3601</v>
      </c>
      <c r="C94" t="s">
        <v>2193</v>
      </c>
      <c r="D94" t="s">
        <v>3606</v>
      </c>
      <c r="E94" t="s">
        <v>3603</v>
      </c>
    </row>
    <row r="95" spans="1:5" x14ac:dyDescent="0.25">
      <c r="A95" t="s">
        <v>3506</v>
      </c>
      <c r="B95" t="s">
        <v>3601</v>
      </c>
      <c r="C95" t="s">
        <v>1996</v>
      </c>
      <c r="D95" t="s">
        <v>3606</v>
      </c>
      <c r="E95" t="s">
        <v>3609</v>
      </c>
    </row>
    <row r="96" spans="1:5" x14ac:dyDescent="0.25">
      <c r="A96" t="s">
        <v>3506</v>
      </c>
      <c r="B96" t="s">
        <v>3601</v>
      </c>
      <c r="C96" t="s">
        <v>2537</v>
      </c>
      <c r="D96" t="s">
        <v>3606</v>
      </c>
      <c r="E96" t="s">
        <v>3605</v>
      </c>
    </row>
    <row r="97" spans="1:5" x14ac:dyDescent="0.25">
      <c r="A97" t="s">
        <v>3506</v>
      </c>
      <c r="B97" t="s">
        <v>3601</v>
      </c>
      <c r="C97" t="s">
        <v>2116</v>
      </c>
      <c r="D97" t="s">
        <v>3602</v>
      </c>
      <c r="E97" t="s">
        <v>3605</v>
      </c>
    </row>
    <row r="98" spans="1:5" x14ac:dyDescent="0.25">
      <c r="A98" t="s">
        <v>3506</v>
      </c>
      <c r="B98" t="s">
        <v>3601</v>
      </c>
      <c r="C98" t="s">
        <v>677</v>
      </c>
      <c r="D98" t="s">
        <v>3606</v>
      </c>
      <c r="E98" t="s">
        <v>3603</v>
      </c>
    </row>
    <row r="99" spans="1:5" x14ac:dyDescent="0.25">
      <c r="A99" t="s">
        <v>3506</v>
      </c>
      <c r="B99" t="s">
        <v>3601</v>
      </c>
      <c r="C99" t="s">
        <v>601</v>
      </c>
      <c r="D99" t="s">
        <v>3607</v>
      </c>
      <c r="E99" t="s">
        <v>3608</v>
      </c>
    </row>
    <row r="100" spans="1:5" x14ac:dyDescent="0.25">
      <c r="A100" t="s">
        <v>3506</v>
      </c>
      <c r="B100" t="s">
        <v>3601</v>
      </c>
      <c r="C100" t="s">
        <v>2573</v>
      </c>
      <c r="D100" t="s">
        <v>3602</v>
      </c>
      <c r="E100" t="s">
        <v>3604</v>
      </c>
    </row>
    <row r="101" spans="1:5" x14ac:dyDescent="0.25">
      <c r="A101" t="s">
        <v>3506</v>
      </c>
      <c r="B101" t="s">
        <v>3601</v>
      </c>
      <c r="C101" t="s">
        <v>169</v>
      </c>
      <c r="D101" t="s">
        <v>3606</v>
      </c>
      <c r="E101" t="s">
        <v>3604</v>
      </c>
    </row>
    <row r="102" spans="1:5" x14ac:dyDescent="0.25">
      <c r="A102" t="s">
        <v>3506</v>
      </c>
      <c r="B102" t="s">
        <v>3601</v>
      </c>
      <c r="C102" t="s">
        <v>1601</v>
      </c>
      <c r="D102" t="s">
        <v>3606</v>
      </c>
      <c r="E102" t="s">
        <v>3603</v>
      </c>
    </row>
    <row r="103" spans="1:5" x14ac:dyDescent="0.25">
      <c r="A103" t="s">
        <v>3506</v>
      </c>
      <c r="B103" t="s">
        <v>3601</v>
      </c>
      <c r="C103" t="s">
        <v>2547</v>
      </c>
      <c r="D103" t="s">
        <v>3607</v>
      </c>
      <c r="E103" t="s">
        <v>3608</v>
      </c>
    </row>
    <row r="104" spans="1:5" x14ac:dyDescent="0.25">
      <c r="A104" t="s">
        <v>3506</v>
      </c>
      <c r="B104" t="s">
        <v>3601</v>
      </c>
      <c r="C104" t="s">
        <v>205</v>
      </c>
      <c r="D104" t="s">
        <v>3602</v>
      </c>
      <c r="E104" t="s">
        <v>3603</v>
      </c>
    </row>
    <row r="105" spans="1:5" x14ac:dyDescent="0.25">
      <c r="A105" t="s">
        <v>3506</v>
      </c>
      <c r="B105" t="s">
        <v>3601</v>
      </c>
      <c r="C105" t="s">
        <v>1984</v>
      </c>
      <c r="D105" t="s">
        <v>3603</v>
      </c>
      <c r="E105" t="s">
        <v>3609</v>
      </c>
    </row>
    <row r="106" spans="1:5" x14ac:dyDescent="0.25">
      <c r="A106" t="s">
        <v>3506</v>
      </c>
      <c r="B106" t="s">
        <v>3601</v>
      </c>
      <c r="C106" t="s">
        <v>2037</v>
      </c>
      <c r="D106" t="s">
        <v>3606</v>
      </c>
      <c r="E106" t="s">
        <v>3609</v>
      </c>
    </row>
    <row r="107" spans="1:5" x14ac:dyDescent="0.25">
      <c r="A107" t="s">
        <v>3506</v>
      </c>
      <c r="B107" t="s">
        <v>3601</v>
      </c>
      <c r="C107" t="s">
        <v>477</v>
      </c>
      <c r="D107" t="s">
        <v>3607</v>
      </c>
      <c r="E107" t="s">
        <v>3608</v>
      </c>
    </row>
    <row r="108" spans="1:5" x14ac:dyDescent="0.25">
      <c r="A108" t="s">
        <v>3506</v>
      </c>
      <c r="B108" t="s">
        <v>3601</v>
      </c>
      <c r="C108" t="s">
        <v>1875</v>
      </c>
      <c r="D108" t="s">
        <v>3606</v>
      </c>
      <c r="E108" t="s">
        <v>3605</v>
      </c>
    </row>
    <row r="109" spans="1:5" x14ac:dyDescent="0.25">
      <c r="A109" t="s">
        <v>3506</v>
      </c>
      <c r="B109" t="s">
        <v>3601</v>
      </c>
      <c r="C109" t="s">
        <v>1492</v>
      </c>
      <c r="D109" t="s">
        <v>3602</v>
      </c>
      <c r="E109" t="s">
        <v>3603</v>
      </c>
    </row>
    <row r="110" spans="1:5" x14ac:dyDescent="0.25">
      <c r="A110" t="s">
        <v>3506</v>
      </c>
      <c r="B110" t="s">
        <v>3601</v>
      </c>
      <c r="C110" t="s">
        <v>2032</v>
      </c>
      <c r="D110" t="s">
        <v>3602</v>
      </c>
      <c r="E110" t="s">
        <v>3605</v>
      </c>
    </row>
    <row r="111" spans="1:5" x14ac:dyDescent="0.25">
      <c r="A111" t="s">
        <v>3506</v>
      </c>
      <c r="B111" t="s">
        <v>3601</v>
      </c>
      <c r="C111" t="s">
        <v>960</v>
      </c>
      <c r="D111" t="s">
        <v>3603</v>
      </c>
      <c r="E111" t="s">
        <v>3609</v>
      </c>
    </row>
    <row r="112" spans="1:5" x14ac:dyDescent="0.25">
      <c r="A112" t="s">
        <v>3506</v>
      </c>
      <c r="B112" t="s">
        <v>3601</v>
      </c>
      <c r="C112" t="s">
        <v>992</v>
      </c>
      <c r="D112" t="s">
        <v>3603</v>
      </c>
      <c r="E112" t="s">
        <v>3603</v>
      </c>
    </row>
    <row r="113" spans="1:5" x14ac:dyDescent="0.25">
      <c r="A113" t="s">
        <v>3506</v>
      </c>
      <c r="B113" t="s">
        <v>3601</v>
      </c>
      <c r="C113" t="s">
        <v>2494</v>
      </c>
      <c r="D113" t="s">
        <v>3606</v>
      </c>
      <c r="E113" t="s">
        <v>3603</v>
      </c>
    </row>
    <row r="114" spans="1:5" x14ac:dyDescent="0.25">
      <c r="A114" t="s">
        <v>3506</v>
      </c>
      <c r="B114" t="s">
        <v>3601</v>
      </c>
      <c r="C114" t="s">
        <v>2052</v>
      </c>
      <c r="D114" t="s">
        <v>3602</v>
      </c>
      <c r="E114" t="s">
        <v>3603</v>
      </c>
    </row>
    <row r="115" spans="1:5" x14ac:dyDescent="0.25">
      <c r="A115" t="s">
        <v>3506</v>
      </c>
      <c r="B115" t="s">
        <v>3601</v>
      </c>
      <c r="C115" t="s">
        <v>250</v>
      </c>
      <c r="D115" t="s">
        <v>3607</v>
      </c>
      <c r="E115" t="s">
        <v>3608</v>
      </c>
    </row>
    <row r="116" spans="1:5" x14ac:dyDescent="0.25">
      <c r="A116" t="s">
        <v>3506</v>
      </c>
      <c r="B116" t="s">
        <v>3601</v>
      </c>
      <c r="C116" t="s">
        <v>2704</v>
      </c>
      <c r="D116" t="s">
        <v>3606</v>
      </c>
      <c r="E116" t="s">
        <v>3604</v>
      </c>
    </row>
    <row r="117" spans="1:5" x14ac:dyDescent="0.25">
      <c r="A117" t="s">
        <v>3506</v>
      </c>
      <c r="B117" t="s">
        <v>3610</v>
      </c>
      <c r="C117" t="s">
        <v>2965</v>
      </c>
      <c r="D117" t="s">
        <v>3611</v>
      </c>
      <c r="E117" t="s">
        <v>3608</v>
      </c>
    </row>
    <row r="118" spans="1:5" x14ac:dyDescent="0.25">
      <c r="A118" t="s">
        <v>3506</v>
      </c>
      <c r="B118" t="s">
        <v>3610</v>
      </c>
      <c r="C118" t="s">
        <v>2918</v>
      </c>
      <c r="D118" t="s">
        <v>3607</v>
      </c>
      <c r="E118" t="s">
        <v>3608</v>
      </c>
    </row>
    <row r="119" spans="1:5" x14ac:dyDescent="0.25">
      <c r="A119" t="s">
        <v>3506</v>
      </c>
      <c r="B119" t="s">
        <v>3610</v>
      </c>
      <c r="C119" t="s">
        <v>2985</v>
      </c>
      <c r="D119" t="s">
        <v>3611</v>
      </c>
      <c r="E119" t="s">
        <v>3608</v>
      </c>
    </row>
    <row r="120" spans="1:5" x14ac:dyDescent="0.25">
      <c r="A120" t="s">
        <v>3506</v>
      </c>
      <c r="B120" t="s">
        <v>3610</v>
      </c>
      <c r="C120" t="s">
        <v>2954</v>
      </c>
      <c r="D120" t="s">
        <v>3612</v>
      </c>
      <c r="E120" t="s">
        <v>3608</v>
      </c>
    </row>
    <row r="121" spans="1:5" x14ac:dyDescent="0.25">
      <c r="A121" t="s">
        <v>3513</v>
      </c>
      <c r="B121" t="s">
        <v>3601</v>
      </c>
      <c r="C121" t="s">
        <v>1183</v>
      </c>
      <c r="D121" t="s">
        <v>3602</v>
      </c>
      <c r="E121" t="s">
        <v>3604</v>
      </c>
    </row>
    <row r="122" spans="1:5" x14ac:dyDescent="0.25">
      <c r="A122" t="s">
        <v>3513</v>
      </c>
      <c r="B122" t="s">
        <v>3601</v>
      </c>
      <c r="C122" t="s">
        <v>423</v>
      </c>
      <c r="D122" t="s">
        <v>3606</v>
      </c>
      <c r="E122" t="s">
        <v>3604</v>
      </c>
    </row>
    <row r="123" spans="1:5" x14ac:dyDescent="0.25">
      <c r="A123" t="s">
        <v>3513</v>
      </c>
      <c r="B123" t="s">
        <v>3601</v>
      </c>
      <c r="C123" t="s">
        <v>948</v>
      </c>
      <c r="D123" t="s">
        <v>3606</v>
      </c>
      <c r="E123" t="s">
        <v>3605</v>
      </c>
    </row>
    <row r="124" spans="1:5" x14ac:dyDescent="0.25">
      <c r="A124" t="s">
        <v>3513</v>
      </c>
      <c r="B124" t="s">
        <v>3601</v>
      </c>
      <c r="C124" t="s">
        <v>169</v>
      </c>
      <c r="D124" t="s">
        <v>3602</v>
      </c>
      <c r="E124" t="s">
        <v>3604</v>
      </c>
    </row>
    <row r="125" spans="1:5" x14ac:dyDescent="0.25">
      <c r="A125" t="s">
        <v>3513</v>
      </c>
      <c r="B125" t="s">
        <v>3601</v>
      </c>
      <c r="C125" t="s">
        <v>2075</v>
      </c>
      <c r="D125" t="s">
        <v>3606</v>
      </c>
      <c r="E125" t="s">
        <v>3609</v>
      </c>
    </row>
    <row r="126" spans="1:5" x14ac:dyDescent="0.25">
      <c r="A126" t="s">
        <v>3513</v>
      </c>
      <c r="B126" t="s">
        <v>3601</v>
      </c>
      <c r="C126" t="s">
        <v>971</v>
      </c>
      <c r="D126" t="s">
        <v>3606</v>
      </c>
      <c r="E126" t="s">
        <v>3603</v>
      </c>
    </row>
    <row r="127" spans="1:5" x14ac:dyDescent="0.25">
      <c r="A127" t="s">
        <v>3513</v>
      </c>
      <c r="B127" t="s">
        <v>3601</v>
      </c>
      <c r="C127" t="s">
        <v>2664</v>
      </c>
      <c r="D127" t="s">
        <v>3602</v>
      </c>
      <c r="E127" t="s">
        <v>3609</v>
      </c>
    </row>
    <row r="128" spans="1:5" x14ac:dyDescent="0.25">
      <c r="A128" t="s">
        <v>3513</v>
      </c>
      <c r="B128" t="s">
        <v>3601</v>
      </c>
      <c r="C128" t="s">
        <v>1358</v>
      </c>
      <c r="D128" t="s">
        <v>3603</v>
      </c>
      <c r="E128" t="s">
        <v>3609</v>
      </c>
    </row>
    <row r="129" spans="1:5" x14ac:dyDescent="0.25">
      <c r="A129" t="s">
        <v>3513</v>
      </c>
      <c r="B129" t="s">
        <v>3601</v>
      </c>
      <c r="C129" t="s">
        <v>2858</v>
      </c>
      <c r="D129" t="s">
        <v>3606</v>
      </c>
      <c r="E129" t="s">
        <v>3609</v>
      </c>
    </row>
    <row r="130" spans="1:5" x14ac:dyDescent="0.25">
      <c r="A130" t="s">
        <v>3513</v>
      </c>
      <c r="B130" t="s">
        <v>3601</v>
      </c>
      <c r="C130" t="s">
        <v>571</v>
      </c>
      <c r="D130" t="s">
        <v>3603</v>
      </c>
      <c r="E130" t="s">
        <v>3605</v>
      </c>
    </row>
    <row r="131" spans="1:5" x14ac:dyDescent="0.25">
      <c r="A131" t="s">
        <v>3513</v>
      </c>
      <c r="B131" t="s">
        <v>3601</v>
      </c>
      <c r="C131" t="s">
        <v>1498</v>
      </c>
      <c r="D131" t="s">
        <v>3606</v>
      </c>
      <c r="E131" t="s">
        <v>3605</v>
      </c>
    </row>
    <row r="132" spans="1:5" x14ac:dyDescent="0.25">
      <c r="A132" t="s">
        <v>3513</v>
      </c>
      <c r="B132" t="s">
        <v>3601</v>
      </c>
      <c r="C132" t="s">
        <v>2848</v>
      </c>
      <c r="D132" t="s">
        <v>3606</v>
      </c>
      <c r="E132" t="s">
        <v>3609</v>
      </c>
    </row>
    <row r="133" spans="1:5" x14ac:dyDescent="0.25">
      <c r="A133" t="s">
        <v>3513</v>
      </c>
      <c r="B133" t="s">
        <v>3601</v>
      </c>
      <c r="C133" t="s">
        <v>1752</v>
      </c>
      <c r="D133" t="s">
        <v>3606</v>
      </c>
      <c r="E133" t="s">
        <v>3605</v>
      </c>
    </row>
    <row r="134" spans="1:5" x14ac:dyDescent="0.25">
      <c r="A134" t="s">
        <v>3513</v>
      </c>
      <c r="B134" t="s">
        <v>3601</v>
      </c>
      <c r="C134" t="s">
        <v>2674</v>
      </c>
      <c r="D134" t="s">
        <v>3603</v>
      </c>
      <c r="E134" t="s">
        <v>3609</v>
      </c>
    </row>
    <row r="135" spans="1:5" x14ac:dyDescent="0.25">
      <c r="A135" t="s">
        <v>3513</v>
      </c>
      <c r="B135" t="s">
        <v>3601</v>
      </c>
      <c r="C135" t="s">
        <v>1591</v>
      </c>
      <c r="D135" t="s">
        <v>3602</v>
      </c>
      <c r="E135" t="s">
        <v>3604</v>
      </c>
    </row>
    <row r="136" spans="1:5" x14ac:dyDescent="0.25">
      <c r="A136" t="s">
        <v>3513</v>
      </c>
      <c r="B136" t="s">
        <v>3601</v>
      </c>
      <c r="C136" t="s">
        <v>858</v>
      </c>
      <c r="D136" t="s">
        <v>3602</v>
      </c>
      <c r="E136" t="s">
        <v>3609</v>
      </c>
    </row>
    <row r="137" spans="1:5" x14ac:dyDescent="0.25">
      <c r="A137" t="s">
        <v>3513</v>
      </c>
      <c r="B137" t="s">
        <v>3601</v>
      </c>
      <c r="C137" t="s">
        <v>258</v>
      </c>
      <c r="D137" t="s">
        <v>3606</v>
      </c>
      <c r="E137" t="s">
        <v>3609</v>
      </c>
    </row>
    <row r="138" spans="1:5" x14ac:dyDescent="0.25">
      <c r="A138" t="s">
        <v>3513</v>
      </c>
      <c r="B138" t="s">
        <v>3601</v>
      </c>
      <c r="C138" t="s">
        <v>2454</v>
      </c>
      <c r="D138" t="s">
        <v>3603</v>
      </c>
      <c r="E138" t="s">
        <v>3603</v>
      </c>
    </row>
    <row r="139" spans="1:5" x14ac:dyDescent="0.25">
      <c r="A139" t="s">
        <v>3513</v>
      </c>
      <c r="B139" t="s">
        <v>3601</v>
      </c>
      <c r="C139" t="s">
        <v>1866</v>
      </c>
      <c r="D139" t="s">
        <v>3606</v>
      </c>
      <c r="E139" t="s">
        <v>3609</v>
      </c>
    </row>
    <row r="140" spans="1:5" x14ac:dyDescent="0.25">
      <c r="A140" t="s">
        <v>3513</v>
      </c>
      <c r="B140" t="s">
        <v>3601</v>
      </c>
      <c r="C140" t="s">
        <v>771</v>
      </c>
      <c r="D140" t="s">
        <v>3607</v>
      </c>
      <c r="E140" t="s">
        <v>3608</v>
      </c>
    </row>
    <row r="141" spans="1:5" x14ac:dyDescent="0.25">
      <c r="A141" t="s">
        <v>3513</v>
      </c>
      <c r="B141" t="s">
        <v>3610</v>
      </c>
      <c r="C141" t="s">
        <v>2975</v>
      </c>
      <c r="D141" t="s">
        <v>3612</v>
      </c>
      <c r="E141" t="s">
        <v>3608</v>
      </c>
    </row>
    <row r="142" spans="1:5" x14ac:dyDescent="0.25">
      <c r="A142" t="s">
        <v>3513</v>
      </c>
      <c r="B142" t="s">
        <v>3610</v>
      </c>
      <c r="C142" t="s">
        <v>2943</v>
      </c>
      <c r="D142" t="s">
        <v>3612</v>
      </c>
      <c r="E142" t="s">
        <v>3608</v>
      </c>
    </row>
    <row r="143" spans="1:5" x14ac:dyDescent="0.25">
      <c r="A143" t="s">
        <v>3518</v>
      </c>
      <c r="B143" t="s">
        <v>3601</v>
      </c>
      <c r="C143" t="s">
        <v>2602</v>
      </c>
      <c r="D143" t="s">
        <v>3606</v>
      </c>
      <c r="E143" t="s">
        <v>3605</v>
      </c>
    </row>
    <row r="144" spans="1:5" x14ac:dyDescent="0.25">
      <c r="A144" t="s">
        <v>3518</v>
      </c>
      <c r="B144" t="s">
        <v>3601</v>
      </c>
      <c r="C144" t="s">
        <v>1090</v>
      </c>
      <c r="D144" t="s">
        <v>3606</v>
      </c>
      <c r="E144" t="s">
        <v>3605</v>
      </c>
    </row>
    <row r="145" spans="1:5" x14ac:dyDescent="0.25">
      <c r="A145" t="s">
        <v>3518</v>
      </c>
      <c r="B145" t="s">
        <v>3601</v>
      </c>
      <c r="C145" t="s">
        <v>1897</v>
      </c>
      <c r="D145" t="s">
        <v>3602</v>
      </c>
      <c r="E145" t="s">
        <v>3605</v>
      </c>
    </row>
    <row r="146" spans="1:5" x14ac:dyDescent="0.25">
      <c r="A146" t="s">
        <v>3518</v>
      </c>
      <c r="B146" t="s">
        <v>3601</v>
      </c>
      <c r="C146" t="s">
        <v>1116</v>
      </c>
      <c r="D146" t="s">
        <v>3607</v>
      </c>
      <c r="E146" t="s">
        <v>3608</v>
      </c>
    </row>
    <row r="147" spans="1:5" x14ac:dyDescent="0.25">
      <c r="A147" t="s">
        <v>3518</v>
      </c>
      <c r="B147" t="s">
        <v>3601</v>
      </c>
      <c r="C147" t="s">
        <v>2728</v>
      </c>
      <c r="D147" t="s">
        <v>3603</v>
      </c>
      <c r="E147" t="s">
        <v>3603</v>
      </c>
    </row>
    <row r="148" spans="1:5" x14ac:dyDescent="0.25">
      <c r="A148" t="s">
        <v>3518</v>
      </c>
      <c r="B148" t="s">
        <v>3601</v>
      </c>
      <c r="C148" t="s">
        <v>2803</v>
      </c>
      <c r="D148" t="s">
        <v>3603</v>
      </c>
      <c r="E148" t="s">
        <v>3604</v>
      </c>
    </row>
    <row r="149" spans="1:5" x14ac:dyDescent="0.25">
      <c r="A149" t="s">
        <v>3518</v>
      </c>
      <c r="B149" t="s">
        <v>3601</v>
      </c>
      <c r="C149" t="s">
        <v>77</v>
      </c>
      <c r="D149" t="s">
        <v>3602</v>
      </c>
      <c r="E149" t="s">
        <v>3609</v>
      </c>
    </row>
    <row r="150" spans="1:5" x14ac:dyDescent="0.25">
      <c r="A150" t="s">
        <v>3518</v>
      </c>
      <c r="B150" t="s">
        <v>3601</v>
      </c>
      <c r="C150" t="s">
        <v>2444</v>
      </c>
      <c r="D150" t="s">
        <v>3603</v>
      </c>
      <c r="E150" t="s">
        <v>3609</v>
      </c>
    </row>
    <row r="151" spans="1:5" x14ac:dyDescent="0.25">
      <c r="A151" t="s">
        <v>3518</v>
      </c>
      <c r="B151" t="s">
        <v>3601</v>
      </c>
      <c r="C151" t="s">
        <v>2618</v>
      </c>
      <c r="D151" t="s">
        <v>3603</v>
      </c>
      <c r="E151" t="s">
        <v>3603</v>
      </c>
    </row>
    <row r="152" spans="1:5" x14ac:dyDescent="0.25">
      <c r="A152" t="s">
        <v>3518</v>
      </c>
      <c r="B152" t="s">
        <v>3601</v>
      </c>
      <c r="C152" t="s">
        <v>2371</v>
      </c>
      <c r="D152" t="s">
        <v>3602</v>
      </c>
      <c r="E152" t="s">
        <v>3609</v>
      </c>
    </row>
    <row r="153" spans="1:5" x14ac:dyDescent="0.25">
      <c r="A153" t="s">
        <v>3518</v>
      </c>
      <c r="B153" t="s">
        <v>3601</v>
      </c>
      <c r="C153" t="s">
        <v>1757</v>
      </c>
      <c r="D153" t="s">
        <v>3607</v>
      </c>
      <c r="E153" t="s">
        <v>3608</v>
      </c>
    </row>
    <row r="154" spans="1:5" x14ac:dyDescent="0.25">
      <c r="A154" t="s">
        <v>3518</v>
      </c>
      <c r="B154" t="s">
        <v>3601</v>
      </c>
      <c r="C154" t="s">
        <v>1428</v>
      </c>
      <c r="D154" t="s">
        <v>3602</v>
      </c>
      <c r="E154" t="s">
        <v>3603</v>
      </c>
    </row>
    <row r="155" spans="1:5" x14ac:dyDescent="0.25">
      <c r="A155" t="s">
        <v>3518</v>
      </c>
      <c r="B155" t="s">
        <v>3601</v>
      </c>
      <c r="C155" t="s">
        <v>1591</v>
      </c>
      <c r="D155" t="s">
        <v>3607</v>
      </c>
      <c r="E155" t="s">
        <v>3608</v>
      </c>
    </row>
    <row r="156" spans="1:5" x14ac:dyDescent="0.25">
      <c r="A156" t="s">
        <v>3518</v>
      </c>
      <c r="B156" t="s">
        <v>3601</v>
      </c>
      <c r="C156" t="s">
        <v>2233</v>
      </c>
      <c r="D156" t="s">
        <v>3602</v>
      </c>
      <c r="E156" t="s">
        <v>3605</v>
      </c>
    </row>
    <row r="157" spans="1:5" x14ac:dyDescent="0.25">
      <c r="A157" t="s">
        <v>3518</v>
      </c>
      <c r="B157" t="s">
        <v>3601</v>
      </c>
      <c r="C157" t="s">
        <v>535</v>
      </c>
      <c r="D157" t="s">
        <v>3603</v>
      </c>
      <c r="E157" t="s">
        <v>3609</v>
      </c>
    </row>
    <row r="158" spans="1:5" x14ac:dyDescent="0.25">
      <c r="A158" t="s">
        <v>3518</v>
      </c>
      <c r="B158" t="s">
        <v>3601</v>
      </c>
      <c r="C158" t="s">
        <v>527</v>
      </c>
      <c r="D158" t="s">
        <v>3603</v>
      </c>
      <c r="E158" t="s">
        <v>3603</v>
      </c>
    </row>
    <row r="159" spans="1:5" x14ac:dyDescent="0.25">
      <c r="A159" t="s">
        <v>3518</v>
      </c>
      <c r="B159" t="s">
        <v>3601</v>
      </c>
      <c r="C159" t="s">
        <v>549</v>
      </c>
      <c r="D159" t="s">
        <v>3603</v>
      </c>
      <c r="E159" t="s">
        <v>3603</v>
      </c>
    </row>
    <row r="160" spans="1:5" x14ac:dyDescent="0.25">
      <c r="A160" t="s">
        <v>3518</v>
      </c>
      <c r="B160" t="s">
        <v>3601</v>
      </c>
      <c r="C160" t="s">
        <v>429</v>
      </c>
      <c r="D160" t="s">
        <v>3607</v>
      </c>
      <c r="E160" t="s">
        <v>3608</v>
      </c>
    </row>
    <row r="161" spans="1:5" x14ac:dyDescent="0.25">
      <c r="A161" t="s">
        <v>3518</v>
      </c>
      <c r="B161" t="s">
        <v>3601</v>
      </c>
      <c r="C161" t="s">
        <v>607</v>
      </c>
      <c r="D161" t="s">
        <v>3606</v>
      </c>
      <c r="E161" t="s">
        <v>3604</v>
      </c>
    </row>
    <row r="162" spans="1:5" x14ac:dyDescent="0.25">
      <c r="A162" t="s">
        <v>3518</v>
      </c>
      <c r="B162" t="s">
        <v>3601</v>
      </c>
      <c r="C162" t="s">
        <v>705</v>
      </c>
      <c r="D162" t="s">
        <v>3607</v>
      </c>
      <c r="E162" t="s">
        <v>3608</v>
      </c>
    </row>
    <row r="163" spans="1:5" x14ac:dyDescent="0.25">
      <c r="A163" t="s">
        <v>3518</v>
      </c>
      <c r="B163" t="s">
        <v>3601</v>
      </c>
      <c r="C163" t="s">
        <v>2778</v>
      </c>
      <c r="D163" t="s">
        <v>3606</v>
      </c>
      <c r="E163" t="s">
        <v>3603</v>
      </c>
    </row>
    <row r="164" spans="1:5" x14ac:dyDescent="0.25">
      <c r="A164" t="s">
        <v>3518</v>
      </c>
      <c r="B164" t="s">
        <v>3601</v>
      </c>
      <c r="C164" t="s">
        <v>1719</v>
      </c>
      <c r="D164" t="s">
        <v>3606</v>
      </c>
      <c r="E164" t="s">
        <v>3609</v>
      </c>
    </row>
    <row r="165" spans="1:5" x14ac:dyDescent="0.25">
      <c r="A165" t="s">
        <v>3518</v>
      </c>
      <c r="B165" t="s">
        <v>3601</v>
      </c>
      <c r="C165" t="s">
        <v>267</v>
      </c>
      <c r="D165" t="s">
        <v>3603</v>
      </c>
      <c r="E165" t="s">
        <v>3604</v>
      </c>
    </row>
    <row r="166" spans="1:5" x14ac:dyDescent="0.25">
      <c r="A166" t="s">
        <v>3518</v>
      </c>
      <c r="B166" t="s">
        <v>3601</v>
      </c>
      <c r="C166" t="s">
        <v>1646</v>
      </c>
      <c r="D166" t="s">
        <v>3603</v>
      </c>
      <c r="E166" t="s">
        <v>3609</v>
      </c>
    </row>
    <row r="167" spans="1:5" x14ac:dyDescent="0.25">
      <c r="A167" t="s">
        <v>3518</v>
      </c>
      <c r="B167" t="s">
        <v>3601</v>
      </c>
      <c r="C167" t="s">
        <v>2138</v>
      </c>
      <c r="D167" t="s">
        <v>3606</v>
      </c>
      <c r="E167" t="s">
        <v>3604</v>
      </c>
    </row>
    <row r="168" spans="1:5" x14ac:dyDescent="0.25">
      <c r="A168" t="s">
        <v>3518</v>
      </c>
      <c r="B168" t="s">
        <v>3601</v>
      </c>
      <c r="C168" t="s">
        <v>1684</v>
      </c>
      <c r="D168" t="s">
        <v>3602</v>
      </c>
      <c r="E168" t="s">
        <v>3605</v>
      </c>
    </row>
    <row r="169" spans="1:5" x14ac:dyDescent="0.25">
      <c r="A169" t="s">
        <v>3518</v>
      </c>
      <c r="B169" t="s">
        <v>3601</v>
      </c>
      <c r="C169" t="s">
        <v>717</v>
      </c>
      <c r="D169" t="s">
        <v>3607</v>
      </c>
      <c r="E169" t="s">
        <v>3608</v>
      </c>
    </row>
    <row r="170" spans="1:5" x14ac:dyDescent="0.25">
      <c r="A170" t="s">
        <v>3518</v>
      </c>
      <c r="B170" t="s">
        <v>3601</v>
      </c>
      <c r="C170" t="s">
        <v>2198</v>
      </c>
      <c r="D170" t="s">
        <v>3606</v>
      </c>
      <c r="E170" t="s">
        <v>3604</v>
      </c>
    </row>
    <row r="171" spans="1:5" x14ac:dyDescent="0.25">
      <c r="A171" t="s">
        <v>3518</v>
      </c>
      <c r="B171" t="s">
        <v>3601</v>
      </c>
      <c r="C171" t="s">
        <v>1135</v>
      </c>
      <c r="D171" t="s">
        <v>3606</v>
      </c>
      <c r="E171" t="s">
        <v>3604</v>
      </c>
    </row>
    <row r="172" spans="1:5" x14ac:dyDescent="0.25">
      <c r="A172" t="s">
        <v>3518</v>
      </c>
      <c r="B172" t="s">
        <v>3601</v>
      </c>
      <c r="C172" t="s">
        <v>1253</v>
      </c>
      <c r="D172" t="s">
        <v>3607</v>
      </c>
      <c r="E172" t="s">
        <v>3608</v>
      </c>
    </row>
    <row r="173" spans="1:5" x14ac:dyDescent="0.25">
      <c r="A173" t="s">
        <v>3518</v>
      </c>
      <c r="B173" t="s">
        <v>3601</v>
      </c>
      <c r="C173" t="s">
        <v>2168</v>
      </c>
      <c r="D173" t="s">
        <v>3607</v>
      </c>
      <c r="E173" t="s">
        <v>3608</v>
      </c>
    </row>
    <row r="174" spans="1:5" x14ac:dyDescent="0.25">
      <c r="A174" t="s">
        <v>3518</v>
      </c>
      <c r="B174" t="s">
        <v>3601</v>
      </c>
      <c r="C174" t="s">
        <v>971</v>
      </c>
      <c r="D174" t="s">
        <v>3602</v>
      </c>
      <c r="E174" t="s">
        <v>3609</v>
      </c>
    </row>
    <row r="175" spans="1:5" x14ac:dyDescent="0.25">
      <c r="A175" t="s">
        <v>3518</v>
      </c>
      <c r="B175" t="s">
        <v>3601</v>
      </c>
      <c r="C175" t="s">
        <v>143</v>
      </c>
      <c r="D175" t="s">
        <v>3607</v>
      </c>
      <c r="E175" t="s">
        <v>3608</v>
      </c>
    </row>
    <row r="176" spans="1:5" x14ac:dyDescent="0.25">
      <c r="A176" t="s">
        <v>3518</v>
      </c>
      <c r="B176" t="s">
        <v>3601</v>
      </c>
      <c r="C176" t="s">
        <v>1232</v>
      </c>
      <c r="D176" t="s">
        <v>3602</v>
      </c>
      <c r="E176" t="s">
        <v>3609</v>
      </c>
    </row>
    <row r="177" spans="1:5" x14ac:dyDescent="0.25">
      <c r="A177" t="s">
        <v>3518</v>
      </c>
      <c r="B177" t="s">
        <v>3601</v>
      </c>
      <c r="C177" t="s">
        <v>1299</v>
      </c>
      <c r="D177" t="s">
        <v>3607</v>
      </c>
      <c r="E177" t="s">
        <v>3608</v>
      </c>
    </row>
    <row r="178" spans="1:5" x14ac:dyDescent="0.25">
      <c r="A178" t="s">
        <v>3518</v>
      </c>
      <c r="B178" t="s">
        <v>3601</v>
      </c>
      <c r="C178" t="s">
        <v>2254</v>
      </c>
      <c r="D178" t="s">
        <v>3606</v>
      </c>
      <c r="E178" t="s">
        <v>3609</v>
      </c>
    </row>
    <row r="179" spans="1:5" x14ac:dyDescent="0.25">
      <c r="A179" t="s">
        <v>3518</v>
      </c>
      <c r="B179" t="s">
        <v>3601</v>
      </c>
      <c r="C179" t="s">
        <v>1294</v>
      </c>
      <c r="D179" t="s">
        <v>3603</v>
      </c>
      <c r="E179" t="s">
        <v>3604</v>
      </c>
    </row>
    <row r="180" spans="1:5" x14ac:dyDescent="0.25">
      <c r="A180" t="s">
        <v>3518</v>
      </c>
      <c r="B180" t="s">
        <v>3601</v>
      </c>
      <c r="C180" t="s">
        <v>1902</v>
      </c>
      <c r="D180" t="s">
        <v>3602</v>
      </c>
      <c r="E180" t="s">
        <v>3609</v>
      </c>
    </row>
    <row r="181" spans="1:5" x14ac:dyDescent="0.25">
      <c r="A181" t="s">
        <v>3518</v>
      </c>
      <c r="B181" t="s">
        <v>3601</v>
      </c>
      <c r="C181" t="s">
        <v>1440</v>
      </c>
      <c r="D181" t="s">
        <v>3603</v>
      </c>
      <c r="E181" t="s">
        <v>3609</v>
      </c>
    </row>
    <row r="182" spans="1:5" x14ac:dyDescent="0.25">
      <c r="A182" t="s">
        <v>3518</v>
      </c>
      <c r="B182" t="s">
        <v>3601</v>
      </c>
      <c r="C182" t="s">
        <v>2366</v>
      </c>
      <c r="D182" t="s">
        <v>3602</v>
      </c>
      <c r="E182" t="s">
        <v>3603</v>
      </c>
    </row>
    <row r="183" spans="1:5" x14ac:dyDescent="0.25">
      <c r="A183" t="s">
        <v>3518</v>
      </c>
      <c r="B183" t="s">
        <v>3601</v>
      </c>
      <c r="C183" t="s">
        <v>1740</v>
      </c>
      <c r="D183" t="s">
        <v>3603</v>
      </c>
      <c r="E183" t="s">
        <v>3604</v>
      </c>
    </row>
    <row r="184" spans="1:5" x14ac:dyDescent="0.25">
      <c r="A184" t="s">
        <v>3518</v>
      </c>
      <c r="B184" t="s">
        <v>3601</v>
      </c>
      <c r="C184" t="s">
        <v>2808</v>
      </c>
      <c r="D184" t="s">
        <v>3603</v>
      </c>
      <c r="E184" t="s">
        <v>3604</v>
      </c>
    </row>
    <row r="185" spans="1:5" x14ac:dyDescent="0.25">
      <c r="A185" t="s">
        <v>3518</v>
      </c>
      <c r="B185" t="s">
        <v>3601</v>
      </c>
      <c r="C185" t="s">
        <v>903</v>
      </c>
      <c r="D185" t="s">
        <v>3607</v>
      </c>
      <c r="E185" t="s">
        <v>3608</v>
      </c>
    </row>
    <row r="186" spans="1:5" x14ac:dyDescent="0.25">
      <c r="A186" t="s">
        <v>3518</v>
      </c>
      <c r="B186" t="s">
        <v>3601</v>
      </c>
      <c r="C186" t="s">
        <v>1282</v>
      </c>
      <c r="D186" t="s">
        <v>3603</v>
      </c>
      <c r="E186" t="s">
        <v>3604</v>
      </c>
    </row>
    <row r="187" spans="1:5" x14ac:dyDescent="0.25">
      <c r="A187" t="s">
        <v>3518</v>
      </c>
      <c r="B187" t="s">
        <v>3610</v>
      </c>
      <c r="C187" t="s">
        <v>2985</v>
      </c>
      <c r="D187" t="s">
        <v>3612</v>
      </c>
      <c r="E187" t="s">
        <v>3608</v>
      </c>
    </row>
    <row r="188" spans="1:5" x14ac:dyDescent="0.25">
      <c r="A188" t="s">
        <v>3523</v>
      </c>
      <c r="B188" t="s">
        <v>3601</v>
      </c>
      <c r="C188" t="s">
        <v>992</v>
      </c>
      <c r="D188" t="s">
        <v>3607</v>
      </c>
      <c r="E188" t="s">
        <v>3608</v>
      </c>
    </row>
    <row r="189" spans="1:5" x14ac:dyDescent="0.25">
      <c r="A189" t="s">
        <v>3523</v>
      </c>
      <c r="B189" t="s">
        <v>3601</v>
      </c>
      <c r="C189" t="s">
        <v>563</v>
      </c>
      <c r="D189" t="s">
        <v>3603</v>
      </c>
      <c r="E189" t="s">
        <v>3609</v>
      </c>
    </row>
    <row r="190" spans="1:5" x14ac:dyDescent="0.25">
      <c r="A190" t="s">
        <v>3523</v>
      </c>
      <c r="B190" t="s">
        <v>3601</v>
      </c>
      <c r="C190" t="s">
        <v>2105</v>
      </c>
      <c r="D190" t="s">
        <v>3606</v>
      </c>
      <c r="E190" t="s">
        <v>3604</v>
      </c>
    </row>
    <row r="191" spans="1:5" x14ac:dyDescent="0.25">
      <c r="A191" t="s">
        <v>3523</v>
      </c>
      <c r="B191" t="s">
        <v>3601</v>
      </c>
      <c r="C191" t="s">
        <v>2793</v>
      </c>
      <c r="D191" t="s">
        <v>3603</v>
      </c>
      <c r="E191" t="s">
        <v>3604</v>
      </c>
    </row>
    <row r="192" spans="1:5" x14ac:dyDescent="0.25">
      <c r="A192" t="s">
        <v>3523</v>
      </c>
      <c r="B192" t="s">
        <v>3601</v>
      </c>
      <c r="C192" t="s">
        <v>1836</v>
      </c>
      <c r="D192" t="s">
        <v>3606</v>
      </c>
      <c r="E192" t="s">
        <v>3609</v>
      </c>
    </row>
    <row r="193" spans="1:5" x14ac:dyDescent="0.25">
      <c r="A193" t="s">
        <v>3523</v>
      </c>
      <c r="B193" t="s">
        <v>3601</v>
      </c>
      <c r="C193" t="s">
        <v>194</v>
      </c>
      <c r="D193" t="s">
        <v>3602</v>
      </c>
      <c r="E193" t="s">
        <v>3609</v>
      </c>
    </row>
    <row r="194" spans="1:5" x14ac:dyDescent="0.25">
      <c r="A194" t="s">
        <v>3523</v>
      </c>
      <c r="B194" t="s">
        <v>3601</v>
      </c>
      <c r="C194" t="s">
        <v>2311</v>
      </c>
      <c r="D194" t="s">
        <v>3607</v>
      </c>
      <c r="E194" t="s">
        <v>3608</v>
      </c>
    </row>
    <row r="195" spans="1:5" x14ac:dyDescent="0.25">
      <c r="A195" t="s">
        <v>3523</v>
      </c>
      <c r="B195" t="s">
        <v>3601</v>
      </c>
      <c r="C195" t="s">
        <v>1178</v>
      </c>
      <c r="D195" t="s">
        <v>3607</v>
      </c>
      <c r="E195" t="s">
        <v>3608</v>
      </c>
    </row>
    <row r="196" spans="1:5" x14ac:dyDescent="0.25">
      <c r="A196" t="s">
        <v>3523</v>
      </c>
      <c r="B196" t="s">
        <v>3601</v>
      </c>
      <c r="C196" t="s">
        <v>2537</v>
      </c>
      <c r="D196" t="s">
        <v>3607</v>
      </c>
      <c r="E196" t="s">
        <v>3608</v>
      </c>
    </row>
    <row r="197" spans="1:5" x14ac:dyDescent="0.25">
      <c r="A197" t="s">
        <v>3523</v>
      </c>
      <c r="B197" t="s">
        <v>3601</v>
      </c>
      <c r="C197" t="s">
        <v>1575</v>
      </c>
      <c r="D197" t="s">
        <v>3606</v>
      </c>
      <c r="E197" t="s">
        <v>3609</v>
      </c>
    </row>
    <row r="198" spans="1:5" x14ac:dyDescent="0.25">
      <c r="A198" t="s">
        <v>3523</v>
      </c>
      <c r="B198" t="s">
        <v>3601</v>
      </c>
      <c r="C198" t="s">
        <v>870</v>
      </c>
      <c r="D198" t="s">
        <v>3602</v>
      </c>
      <c r="E198" t="s">
        <v>3604</v>
      </c>
    </row>
    <row r="199" spans="1:5" x14ac:dyDescent="0.25">
      <c r="A199" t="s">
        <v>3523</v>
      </c>
      <c r="B199" t="s">
        <v>3601</v>
      </c>
      <c r="C199" t="s">
        <v>1974</v>
      </c>
      <c r="D199" t="s">
        <v>3606</v>
      </c>
      <c r="E199" t="s">
        <v>3603</v>
      </c>
    </row>
    <row r="200" spans="1:5" x14ac:dyDescent="0.25">
      <c r="A200" t="s">
        <v>3523</v>
      </c>
      <c r="B200" t="s">
        <v>3601</v>
      </c>
      <c r="C200" t="s">
        <v>2618</v>
      </c>
      <c r="D200" t="s">
        <v>3602</v>
      </c>
      <c r="E200" t="s">
        <v>3605</v>
      </c>
    </row>
    <row r="201" spans="1:5" x14ac:dyDescent="0.25">
      <c r="A201" t="s">
        <v>3523</v>
      </c>
      <c r="B201" t="s">
        <v>3601</v>
      </c>
      <c r="C201" t="s">
        <v>1624</v>
      </c>
      <c r="D201" t="s">
        <v>3603</v>
      </c>
      <c r="E201" t="s">
        <v>3605</v>
      </c>
    </row>
    <row r="202" spans="1:5" x14ac:dyDescent="0.25">
      <c r="A202" t="s">
        <v>3523</v>
      </c>
      <c r="B202" t="s">
        <v>3601</v>
      </c>
      <c r="C202" t="s">
        <v>1253</v>
      </c>
      <c r="D202" t="s">
        <v>3603</v>
      </c>
      <c r="E202" t="s">
        <v>3603</v>
      </c>
    </row>
    <row r="203" spans="1:5" x14ac:dyDescent="0.25">
      <c r="A203" t="s">
        <v>3523</v>
      </c>
      <c r="B203" t="s">
        <v>3601</v>
      </c>
      <c r="C203" t="s">
        <v>1487</v>
      </c>
      <c r="D203" t="s">
        <v>3603</v>
      </c>
      <c r="E203" t="s">
        <v>3609</v>
      </c>
    </row>
    <row r="204" spans="1:5" x14ac:dyDescent="0.25">
      <c r="A204" t="s">
        <v>3523</v>
      </c>
      <c r="B204" t="s">
        <v>3601</v>
      </c>
      <c r="C204" t="s">
        <v>415</v>
      </c>
      <c r="D204" t="s">
        <v>3607</v>
      </c>
      <c r="E204" t="s">
        <v>3608</v>
      </c>
    </row>
    <row r="205" spans="1:5" x14ac:dyDescent="0.25">
      <c r="A205" t="s">
        <v>3523</v>
      </c>
      <c r="B205" t="s">
        <v>3601</v>
      </c>
      <c r="C205" t="s">
        <v>1796</v>
      </c>
      <c r="D205" t="s">
        <v>3602</v>
      </c>
      <c r="E205" t="s">
        <v>3605</v>
      </c>
    </row>
    <row r="206" spans="1:5" x14ac:dyDescent="0.25">
      <c r="A206" t="s">
        <v>3523</v>
      </c>
      <c r="B206" t="s">
        <v>3601</v>
      </c>
      <c r="C206" t="s">
        <v>2506</v>
      </c>
      <c r="D206" t="s">
        <v>3607</v>
      </c>
      <c r="E206" t="s">
        <v>3608</v>
      </c>
    </row>
    <row r="207" spans="1:5" x14ac:dyDescent="0.25">
      <c r="A207" t="s">
        <v>3523</v>
      </c>
      <c r="B207" t="s">
        <v>3601</v>
      </c>
      <c r="C207" t="s">
        <v>2345</v>
      </c>
      <c r="D207" t="s">
        <v>3607</v>
      </c>
      <c r="E207" t="s">
        <v>3608</v>
      </c>
    </row>
    <row r="208" spans="1:5" x14ac:dyDescent="0.25">
      <c r="A208" t="s">
        <v>3523</v>
      </c>
      <c r="B208" t="s">
        <v>3601</v>
      </c>
      <c r="C208" t="s">
        <v>2213</v>
      </c>
      <c r="D208" t="s">
        <v>3606</v>
      </c>
      <c r="E208" t="s">
        <v>3603</v>
      </c>
    </row>
    <row r="209" spans="1:5" x14ac:dyDescent="0.25">
      <c r="A209" t="s">
        <v>3523</v>
      </c>
      <c r="B209" t="s">
        <v>3601</v>
      </c>
      <c r="C209" t="s">
        <v>1002</v>
      </c>
      <c r="D209" t="s">
        <v>3606</v>
      </c>
      <c r="E209" t="s">
        <v>3603</v>
      </c>
    </row>
    <row r="210" spans="1:5" x14ac:dyDescent="0.25">
      <c r="A210" t="s">
        <v>3523</v>
      </c>
      <c r="B210" t="s">
        <v>3601</v>
      </c>
      <c r="C210" t="s">
        <v>1678</v>
      </c>
      <c r="D210" t="s">
        <v>3607</v>
      </c>
      <c r="E210" t="s">
        <v>3608</v>
      </c>
    </row>
    <row r="211" spans="1:5" x14ac:dyDescent="0.25">
      <c r="A211" t="s">
        <v>3523</v>
      </c>
      <c r="B211" t="s">
        <v>3601</v>
      </c>
      <c r="C211" t="s">
        <v>971</v>
      </c>
      <c r="D211" t="s">
        <v>3607</v>
      </c>
      <c r="E211" t="s">
        <v>3608</v>
      </c>
    </row>
    <row r="212" spans="1:5" x14ac:dyDescent="0.25">
      <c r="A212" t="s">
        <v>3523</v>
      </c>
      <c r="B212" t="s">
        <v>3601</v>
      </c>
      <c r="C212" t="s">
        <v>832</v>
      </c>
      <c r="D212" t="s">
        <v>3603</v>
      </c>
      <c r="E212" t="s">
        <v>3604</v>
      </c>
    </row>
    <row r="213" spans="1:5" x14ac:dyDescent="0.25">
      <c r="A213" t="s">
        <v>3523</v>
      </c>
      <c r="B213" t="s">
        <v>3601</v>
      </c>
      <c r="C213" t="s">
        <v>2433</v>
      </c>
      <c r="D213" t="s">
        <v>3602</v>
      </c>
      <c r="E213" t="s">
        <v>3604</v>
      </c>
    </row>
    <row r="214" spans="1:5" x14ac:dyDescent="0.25">
      <c r="A214" t="s">
        <v>3523</v>
      </c>
      <c r="B214" t="s">
        <v>3601</v>
      </c>
      <c r="C214" t="s">
        <v>477</v>
      </c>
      <c r="D214" t="s">
        <v>3603</v>
      </c>
      <c r="E214" t="s">
        <v>3605</v>
      </c>
    </row>
    <row r="215" spans="1:5" x14ac:dyDescent="0.25">
      <c r="A215" t="s">
        <v>3523</v>
      </c>
      <c r="B215" t="s">
        <v>3601</v>
      </c>
      <c r="C215" t="s">
        <v>614</v>
      </c>
      <c r="D215" t="s">
        <v>3602</v>
      </c>
      <c r="E215" t="s">
        <v>3605</v>
      </c>
    </row>
    <row r="216" spans="1:5" x14ac:dyDescent="0.25">
      <c r="A216" t="s">
        <v>3523</v>
      </c>
      <c r="B216" t="s">
        <v>3601</v>
      </c>
      <c r="C216" t="s">
        <v>2409</v>
      </c>
      <c r="D216" t="s">
        <v>3603</v>
      </c>
      <c r="E216" t="s">
        <v>3604</v>
      </c>
    </row>
    <row r="217" spans="1:5" x14ac:dyDescent="0.25">
      <c r="A217" t="s">
        <v>3523</v>
      </c>
      <c r="B217" t="s">
        <v>3601</v>
      </c>
      <c r="C217" t="s">
        <v>2562</v>
      </c>
      <c r="D217" t="s">
        <v>3602</v>
      </c>
      <c r="E217" t="s">
        <v>3603</v>
      </c>
    </row>
    <row r="218" spans="1:5" x14ac:dyDescent="0.25">
      <c r="A218" t="s">
        <v>3523</v>
      </c>
      <c r="B218" t="s">
        <v>3601</v>
      </c>
      <c r="C218" t="s">
        <v>1942</v>
      </c>
      <c r="D218" t="s">
        <v>3602</v>
      </c>
      <c r="E218" t="s">
        <v>3605</v>
      </c>
    </row>
    <row r="219" spans="1:5" x14ac:dyDescent="0.25">
      <c r="A219" t="s">
        <v>3523</v>
      </c>
      <c r="B219" t="s">
        <v>3601</v>
      </c>
      <c r="C219" t="s">
        <v>1242</v>
      </c>
      <c r="D219" t="s">
        <v>3602</v>
      </c>
      <c r="E219" t="s">
        <v>3604</v>
      </c>
    </row>
    <row r="220" spans="1:5" x14ac:dyDescent="0.25">
      <c r="A220" t="s">
        <v>3523</v>
      </c>
      <c r="B220" t="s">
        <v>3601</v>
      </c>
      <c r="C220" t="s">
        <v>527</v>
      </c>
      <c r="D220" t="s">
        <v>3603</v>
      </c>
      <c r="E220" t="s">
        <v>3609</v>
      </c>
    </row>
    <row r="221" spans="1:5" x14ac:dyDescent="0.25">
      <c r="A221" t="s">
        <v>3523</v>
      </c>
      <c r="B221" t="s">
        <v>3601</v>
      </c>
      <c r="C221" t="s">
        <v>1570</v>
      </c>
      <c r="D221" t="s">
        <v>3602</v>
      </c>
      <c r="E221" t="s">
        <v>3604</v>
      </c>
    </row>
    <row r="222" spans="1:5" x14ac:dyDescent="0.25">
      <c r="A222" t="s">
        <v>3523</v>
      </c>
      <c r="B222" t="s">
        <v>3601</v>
      </c>
      <c r="C222" t="s">
        <v>1066</v>
      </c>
      <c r="D222" t="s">
        <v>3606</v>
      </c>
      <c r="E222" t="s">
        <v>3603</v>
      </c>
    </row>
    <row r="223" spans="1:5" x14ac:dyDescent="0.25">
      <c r="A223" t="s">
        <v>3523</v>
      </c>
      <c r="B223" t="s">
        <v>3601</v>
      </c>
      <c r="C223" t="s">
        <v>377</v>
      </c>
      <c r="D223" t="s">
        <v>3607</v>
      </c>
      <c r="E223" t="s">
        <v>3608</v>
      </c>
    </row>
    <row r="224" spans="1:5" x14ac:dyDescent="0.25">
      <c r="A224" t="s">
        <v>3523</v>
      </c>
      <c r="B224" t="s">
        <v>3601</v>
      </c>
      <c r="C224" t="s">
        <v>2813</v>
      </c>
      <c r="D224" t="s">
        <v>3607</v>
      </c>
      <c r="E224" t="s">
        <v>3608</v>
      </c>
    </row>
    <row r="225" spans="1:5" x14ac:dyDescent="0.25">
      <c r="A225" t="s">
        <v>3523</v>
      </c>
      <c r="B225" t="s">
        <v>3601</v>
      </c>
      <c r="C225" t="s">
        <v>1996</v>
      </c>
      <c r="D225" t="s">
        <v>3607</v>
      </c>
      <c r="E225" t="s">
        <v>3608</v>
      </c>
    </row>
    <row r="226" spans="1:5" x14ac:dyDescent="0.25">
      <c r="A226" t="s">
        <v>3523</v>
      </c>
      <c r="B226" t="s">
        <v>3601</v>
      </c>
      <c r="C226" t="s">
        <v>809</v>
      </c>
      <c r="D226" t="s">
        <v>3603</v>
      </c>
      <c r="E226" t="s">
        <v>3604</v>
      </c>
    </row>
    <row r="227" spans="1:5" x14ac:dyDescent="0.25">
      <c r="A227" t="s">
        <v>3523</v>
      </c>
      <c r="B227" t="s">
        <v>3601</v>
      </c>
      <c r="C227" t="s">
        <v>1227</v>
      </c>
      <c r="D227" t="s">
        <v>3603</v>
      </c>
      <c r="E227" t="s">
        <v>3609</v>
      </c>
    </row>
    <row r="228" spans="1:5" x14ac:dyDescent="0.25">
      <c r="A228" t="s">
        <v>3523</v>
      </c>
      <c r="B228" t="s">
        <v>3601</v>
      </c>
      <c r="C228" t="s">
        <v>571</v>
      </c>
      <c r="D228" t="s">
        <v>3602</v>
      </c>
      <c r="E228" t="s">
        <v>3609</v>
      </c>
    </row>
    <row r="229" spans="1:5" x14ac:dyDescent="0.25">
      <c r="A229" t="s">
        <v>3523</v>
      </c>
      <c r="B229" t="s">
        <v>3601</v>
      </c>
      <c r="C229" t="s">
        <v>281</v>
      </c>
      <c r="D229" t="s">
        <v>3602</v>
      </c>
      <c r="E229" t="s">
        <v>3603</v>
      </c>
    </row>
    <row r="230" spans="1:5" x14ac:dyDescent="0.25">
      <c r="A230" t="s">
        <v>3523</v>
      </c>
      <c r="B230" t="s">
        <v>3601</v>
      </c>
      <c r="C230" t="s">
        <v>1036</v>
      </c>
      <c r="D230" t="s">
        <v>3603</v>
      </c>
      <c r="E230" t="s">
        <v>3605</v>
      </c>
    </row>
    <row r="231" spans="1:5" x14ac:dyDescent="0.25">
      <c r="A231" t="s">
        <v>3523</v>
      </c>
      <c r="B231" t="s">
        <v>3601</v>
      </c>
      <c r="C231" t="s">
        <v>1719</v>
      </c>
      <c r="D231" t="s">
        <v>3603</v>
      </c>
      <c r="E231" t="s">
        <v>3603</v>
      </c>
    </row>
    <row r="232" spans="1:5" x14ac:dyDescent="0.25">
      <c r="A232" t="s">
        <v>3523</v>
      </c>
      <c r="B232" t="s">
        <v>3601</v>
      </c>
      <c r="C232" t="s">
        <v>1902</v>
      </c>
      <c r="D232" t="s">
        <v>3602</v>
      </c>
      <c r="E232" t="s">
        <v>3603</v>
      </c>
    </row>
    <row r="233" spans="1:5" x14ac:dyDescent="0.25">
      <c r="A233" t="s">
        <v>3523</v>
      </c>
      <c r="B233" t="s">
        <v>3601</v>
      </c>
      <c r="C233" t="s">
        <v>1857</v>
      </c>
      <c r="D233" t="s">
        <v>3606</v>
      </c>
      <c r="E233" t="s">
        <v>3609</v>
      </c>
    </row>
    <row r="234" spans="1:5" x14ac:dyDescent="0.25">
      <c r="A234" t="s">
        <v>3523</v>
      </c>
      <c r="B234" t="s">
        <v>3601</v>
      </c>
      <c r="C234" t="s">
        <v>169</v>
      </c>
      <c r="D234" t="s">
        <v>3607</v>
      </c>
      <c r="E234" t="s">
        <v>3608</v>
      </c>
    </row>
    <row r="235" spans="1:5" x14ac:dyDescent="0.25">
      <c r="A235" t="s">
        <v>3523</v>
      </c>
      <c r="B235" t="s">
        <v>3601</v>
      </c>
      <c r="C235" t="s">
        <v>2552</v>
      </c>
      <c r="D235" t="s">
        <v>3602</v>
      </c>
      <c r="E235" t="s">
        <v>3605</v>
      </c>
    </row>
    <row r="236" spans="1:5" x14ac:dyDescent="0.25">
      <c r="A236" t="s">
        <v>3523</v>
      </c>
      <c r="B236" t="s">
        <v>3601</v>
      </c>
      <c r="C236" t="s">
        <v>1305</v>
      </c>
      <c r="D236" t="s">
        <v>3607</v>
      </c>
      <c r="E236" t="s">
        <v>3608</v>
      </c>
    </row>
    <row r="237" spans="1:5" x14ac:dyDescent="0.25">
      <c r="A237" t="s">
        <v>3523</v>
      </c>
      <c r="B237" t="s">
        <v>3601</v>
      </c>
      <c r="C237" t="s">
        <v>115</v>
      </c>
      <c r="D237" t="s">
        <v>3607</v>
      </c>
      <c r="E237" t="s">
        <v>3608</v>
      </c>
    </row>
    <row r="238" spans="1:5" x14ac:dyDescent="0.25">
      <c r="A238" t="s">
        <v>3523</v>
      </c>
      <c r="B238" t="s">
        <v>3601</v>
      </c>
      <c r="C238" t="s">
        <v>2296</v>
      </c>
      <c r="D238" t="s">
        <v>3606</v>
      </c>
      <c r="E238" t="s">
        <v>3603</v>
      </c>
    </row>
    <row r="239" spans="1:5" x14ac:dyDescent="0.25">
      <c r="A239" t="s">
        <v>3523</v>
      </c>
      <c r="B239" t="s">
        <v>3601</v>
      </c>
      <c r="C239" t="s">
        <v>1912</v>
      </c>
      <c r="D239" t="s">
        <v>3603</v>
      </c>
      <c r="E239" t="s">
        <v>3609</v>
      </c>
    </row>
    <row r="240" spans="1:5" x14ac:dyDescent="0.25">
      <c r="A240" t="s">
        <v>3523</v>
      </c>
      <c r="B240" t="s">
        <v>3601</v>
      </c>
      <c r="C240" t="s">
        <v>2674</v>
      </c>
      <c r="D240" t="s">
        <v>3607</v>
      </c>
      <c r="E240" t="s">
        <v>3608</v>
      </c>
    </row>
    <row r="241" spans="1:5" x14ac:dyDescent="0.25">
      <c r="A241" t="s">
        <v>3523</v>
      </c>
      <c r="B241" t="s">
        <v>3601</v>
      </c>
      <c r="C241" t="s">
        <v>2542</v>
      </c>
      <c r="D241" t="s">
        <v>3603</v>
      </c>
      <c r="E241" t="s">
        <v>3609</v>
      </c>
    </row>
    <row r="242" spans="1:5" x14ac:dyDescent="0.25">
      <c r="A242" t="s">
        <v>3523</v>
      </c>
      <c r="B242" t="s">
        <v>3601</v>
      </c>
      <c r="C242" t="s">
        <v>1012</v>
      </c>
      <c r="D242" t="s">
        <v>3607</v>
      </c>
      <c r="E242" t="s">
        <v>3608</v>
      </c>
    </row>
    <row r="243" spans="1:5" x14ac:dyDescent="0.25">
      <c r="A243" t="s">
        <v>3523</v>
      </c>
      <c r="B243" t="s">
        <v>3601</v>
      </c>
      <c r="C243" t="s">
        <v>705</v>
      </c>
      <c r="D243" t="s">
        <v>3607</v>
      </c>
      <c r="E243" t="s">
        <v>3608</v>
      </c>
    </row>
    <row r="244" spans="1:5" x14ac:dyDescent="0.25">
      <c r="A244" t="s">
        <v>3523</v>
      </c>
      <c r="B244" t="s">
        <v>3601</v>
      </c>
      <c r="C244" t="s">
        <v>935</v>
      </c>
      <c r="D244" t="s">
        <v>3603</v>
      </c>
      <c r="E244" t="s">
        <v>3605</v>
      </c>
    </row>
    <row r="245" spans="1:5" x14ac:dyDescent="0.25">
      <c r="A245" t="s">
        <v>3523</v>
      </c>
      <c r="B245" t="s">
        <v>3601</v>
      </c>
      <c r="C245" t="s">
        <v>1927</v>
      </c>
      <c r="D245" t="s">
        <v>3606</v>
      </c>
      <c r="E245" t="s">
        <v>3603</v>
      </c>
    </row>
    <row r="246" spans="1:5" x14ac:dyDescent="0.25">
      <c r="A246" t="s">
        <v>3523</v>
      </c>
      <c r="B246" t="s">
        <v>3601</v>
      </c>
      <c r="C246" t="s">
        <v>650</v>
      </c>
      <c r="D246" t="s">
        <v>3607</v>
      </c>
      <c r="E246" t="s">
        <v>3608</v>
      </c>
    </row>
    <row r="247" spans="1:5" x14ac:dyDescent="0.25">
      <c r="A247" t="s">
        <v>3523</v>
      </c>
      <c r="B247" t="s">
        <v>3601</v>
      </c>
      <c r="C247" t="s">
        <v>18</v>
      </c>
      <c r="D247" t="s">
        <v>3603</v>
      </c>
      <c r="E247" t="s">
        <v>3609</v>
      </c>
    </row>
    <row r="248" spans="1:5" x14ac:dyDescent="0.25">
      <c r="A248" t="s">
        <v>3523</v>
      </c>
      <c r="B248" t="s">
        <v>3601</v>
      </c>
      <c r="C248" t="s">
        <v>2689</v>
      </c>
      <c r="D248" t="s">
        <v>3606</v>
      </c>
      <c r="E248" t="s">
        <v>3604</v>
      </c>
    </row>
    <row r="249" spans="1:5" x14ac:dyDescent="0.25">
      <c r="A249" t="s">
        <v>3523</v>
      </c>
      <c r="B249" t="s">
        <v>3601</v>
      </c>
      <c r="C249" t="s">
        <v>2444</v>
      </c>
      <c r="D249" t="s">
        <v>3603</v>
      </c>
      <c r="E249" t="s">
        <v>3605</v>
      </c>
    </row>
    <row r="250" spans="1:5" x14ac:dyDescent="0.25">
      <c r="A250" t="s">
        <v>3523</v>
      </c>
      <c r="B250" t="s">
        <v>3601</v>
      </c>
      <c r="C250" t="s">
        <v>1023</v>
      </c>
      <c r="D250" t="s">
        <v>3606</v>
      </c>
      <c r="E250" t="s">
        <v>3605</v>
      </c>
    </row>
    <row r="251" spans="1:5" x14ac:dyDescent="0.25">
      <c r="A251" t="s">
        <v>3523</v>
      </c>
      <c r="B251" t="s">
        <v>3601</v>
      </c>
      <c r="C251" t="s">
        <v>542</v>
      </c>
      <c r="D251" t="s">
        <v>3602</v>
      </c>
      <c r="E251" t="s">
        <v>3603</v>
      </c>
    </row>
    <row r="252" spans="1:5" x14ac:dyDescent="0.25">
      <c r="A252" t="s">
        <v>3523</v>
      </c>
      <c r="B252" t="s">
        <v>3601</v>
      </c>
      <c r="C252" t="s">
        <v>909</v>
      </c>
      <c r="D252" t="s">
        <v>3607</v>
      </c>
      <c r="E252" t="s">
        <v>3608</v>
      </c>
    </row>
    <row r="253" spans="1:5" x14ac:dyDescent="0.25">
      <c r="A253" t="s">
        <v>3523</v>
      </c>
      <c r="B253" t="s">
        <v>3601</v>
      </c>
      <c r="C253" t="s">
        <v>1612</v>
      </c>
      <c r="D253" t="s">
        <v>3606</v>
      </c>
      <c r="E253" t="s">
        <v>3604</v>
      </c>
    </row>
    <row r="254" spans="1:5" x14ac:dyDescent="0.25">
      <c r="A254" t="s">
        <v>3523</v>
      </c>
      <c r="B254" t="s">
        <v>3601</v>
      </c>
      <c r="C254" t="s">
        <v>2877</v>
      </c>
      <c r="D254" t="s">
        <v>3603</v>
      </c>
      <c r="E254" t="s">
        <v>3603</v>
      </c>
    </row>
    <row r="255" spans="1:5" x14ac:dyDescent="0.25">
      <c r="A255" t="s">
        <v>3523</v>
      </c>
      <c r="B255" t="s">
        <v>3601</v>
      </c>
      <c r="C255" t="s">
        <v>1337</v>
      </c>
      <c r="D255" t="s">
        <v>3607</v>
      </c>
      <c r="E255" t="s">
        <v>3608</v>
      </c>
    </row>
    <row r="256" spans="1:5" x14ac:dyDescent="0.25">
      <c r="A256" t="s">
        <v>3523</v>
      </c>
      <c r="B256" t="s">
        <v>3601</v>
      </c>
      <c r="C256" t="s">
        <v>766</v>
      </c>
      <c r="D256" t="s">
        <v>3607</v>
      </c>
      <c r="E256" t="s">
        <v>3608</v>
      </c>
    </row>
    <row r="257" spans="1:5" x14ac:dyDescent="0.25">
      <c r="A257" t="s">
        <v>3523</v>
      </c>
      <c r="B257" t="s">
        <v>3601</v>
      </c>
      <c r="C257" t="s">
        <v>1740</v>
      </c>
      <c r="D257" t="s">
        <v>3603</v>
      </c>
      <c r="E257" t="s">
        <v>3604</v>
      </c>
    </row>
    <row r="258" spans="1:5" x14ac:dyDescent="0.25">
      <c r="A258" t="s">
        <v>3523</v>
      </c>
      <c r="B258" t="s">
        <v>3601</v>
      </c>
      <c r="C258" t="s">
        <v>1282</v>
      </c>
      <c r="D258" t="s">
        <v>3607</v>
      </c>
      <c r="E258" t="s">
        <v>3608</v>
      </c>
    </row>
    <row r="259" spans="1:5" x14ac:dyDescent="0.25">
      <c r="A259" t="s">
        <v>3523</v>
      </c>
      <c r="B259" t="s">
        <v>3601</v>
      </c>
      <c r="C259" t="s">
        <v>2439</v>
      </c>
      <c r="D259" t="s">
        <v>3607</v>
      </c>
      <c r="E259" t="s">
        <v>3608</v>
      </c>
    </row>
    <row r="260" spans="1:5" x14ac:dyDescent="0.25">
      <c r="A260" t="s">
        <v>3523</v>
      </c>
      <c r="B260" t="s">
        <v>3601</v>
      </c>
      <c r="C260" t="s">
        <v>556</v>
      </c>
      <c r="D260" t="s">
        <v>3603</v>
      </c>
      <c r="E260" t="s">
        <v>3604</v>
      </c>
    </row>
    <row r="261" spans="1:5" x14ac:dyDescent="0.25">
      <c r="A261" t="s">
        <v>3523</v>
      </c>
      <c r="B261" t="s">
        <v>3601</v>
      </c>
      <c r="C261" t="s">
        <v>929</v>
      </c>
      <c r="D261" t="s">
        <v>3606</v>
      </c>
      <c r="E261" t="s">
        <v>3603</v>
      </c>
    </row>
    <row r="262" spans="1:5" x14ac:dyDescent="0.25">
      <c r="A262" t="s">
        <v>3523</v>
      </c>
      <c r="B262" t="s">
        <v>3601</v>
      </c>
      <c r="C262" t="s">
        <v>1321</v>
      </c>
      <c r="D262" t="s">
        <v>3606</v>
      </c>
      <c r="E262" t="s">
        <v>3605</v>
      </c>
    </row>
    <row r="263" spans="1:5" x14ac:dyDescent="0.25">
      <c r="A263" t="s">
        <v>3523</v>
      </c>
      <c r="B263" t="s">
        <v>3601</v>
      </c>
      <c r="C263" t="s">
        <v>1347</v>
      </c>
      <c r="D263" t="s">
        <v>3607</v>
      </c>
      <c r="E263" t="s">
        <v>3608</v>
      </c>
    </row>
    <row r="264" spans="1:5" x14ac:dyDescent="0.25">
      <c r="A264" t="s">
        <v>3523</v>
      </c>
      <c r="B264" t="s">
        <v>3601</v>
      </c>
      <c r="C264" t="s">
        <v>2753</v>
      </c>
      <c r="D264" t="s">
        <v>3603</v>
      </c>
      <c r="E264" t="s">
        <v>3603</v>
      </c>
    </row>
    <row r="265" spans="1:5" x14ac:dyDescent="0.25">
      <c r="A265" t="s">
        <v>3523</v>
      </c>
      <c r="B265" t="s">
        <v>3601</v>
      </c>
      <c r="C265" t="s">
        <v>1409</v>
      </c>
      <c r="D265" t="s">
        <v>3606</v>
      </c>
      <c r="E265" t="s">
        <v>3604</v>
      </c>
    </row>
    <row r="266" spans="1:5" x14ac:dyDescent="0.25">
      <c r="A266" t="s">
        <v>3523</v>
      </c>
      <c r="B266" t="s">
        <v>3601</v>
      </c>
      <c r="C266" t="s">
        <v>1156</v>
      </c>
      <c r="D266" t="s">
        <v>3607</v>
      </c>
      <c r="E266" t="s">
        <v>3608</v>
      </c>
    </row>
    <row r="267" spans="1:5" x14ac:dyDescent="0.25">
      <c r="A267" t="s">
        <v>3523</v>
      </c>
      <c r="B267" t="s">
        <v>3601</v>
      </c>
      <c r="C267" t="s">
        <v>2833</v>
      </c>
      <c r="D267" t="s">
        <v>3606</v>
      </c>
      <c r="E267" t="s">
        <v>3603</v>
      </c>
    </row>
    <row r="268" spans="1:5" x14ac:dyDescent="0.25">
      <c r="A268" t="s">
        <v>3523</v>
      </c>
      <c r="B268" t="s">
        <v>3601</v>
      </c>
      <c r="C268" t="s">
        <v>1757</v>
      </c>
      <c r="D268" t="s">
        <v>3606</v>
      </c>
      <c r="E268" t="s">
        <v>3603</v>
      </c>
    </row>
    <row r="269" spans="1:5" x14ac:dyDescent="0.25">
      <c r="A269" t="s">
        <v>3523</v>
      </c>
      <c r="B269" t="s">
        <v>3601</v>
      </c>
      <c r="C269" t="s">
        <v>1503</v>
      </c>
      <c r="D269" t="s">
        <v>3602</v>
      </c>
      <c r="E269" t="s">
        <v>3605</v>
      </c>
    </row>
    <row r="270" spans="1:5" x14ac:dyDescent="0.25">
      <c r="A270" t="s">
        <v>3523</v>
      </c>
      <c r="B270" t="s">
        <v>3601</v>
      </c>
      <c r="C270" t="s">
        <v>2423</v>
      </c>
      <c r="D270" t="s">
        <v>3603</v>
      </c>
      <c r="E270" t="s">
        <v>3605</v>
      </c>
    </row>
    <row r="271" spans="1:5" x14ac:dyDescent="0.25">
      <c r="A271" t="s">
        <v>3523</v>
      </c>
      <c r="B271" t="s">
        <v>3601</v>
      </c>
      <c r="C271" t="s">
        <v>1498</v>
      </c>
      <c r="D271" t="s">
        <v>3606</v>
      </c>
      <c r="E271" t="s">
        <v>3603</v>
      </c>
    </row>
    <row r="272" spans="1:5" x14ac:dyDescent="0.25">
      <c r="A272" t="s">
        <v>3523</v>
      </c>
      <c r="B272" t="s">
        <v>3601</v>
      </c>
      <c r="C272" t="s">
        <v>2758</v>
      </c>
      <c r="D272" t="s">
        <v>3602</v>
      </c>
      <c r="E272" t="s">
        <v>3609</v>
      </c>
    </row>
    <row r="273" spans="1:5" x14ac:dyDescent="0.25">
      <c r="A273" t="s">
        <v>3523</v>
      </c>
      <c r="B273" t="s">
        <v>3610</v>
      </c>
      <c r="C273" t="s">
        <v>2918</v>
      </c>
      <c r="D273" t="s">
        <v>3611</v>
      </c>
      <c r="E273" t="s">
        <v>3608</v>
      </c>
    </row>
    <row r="274" spans="1:5" x14ac:dyDescent="0.25">
      <c r="A274" t="s">
        <v>3528</v>
      </c>
      <c r="B274" t="s">
        <v>3601</v>
      </c>
      <c r="C274" t="s">
        <v>399</v>
      </c>
      <c r="D274" t="s">
        <v>3606</v>
      </c>
      <c r="E274" t="s">
        <v>3609</v>
      </c>
    </row>
    <row r="275" spans="1:5" x14ac:dyDescent="0.25">
      <c r="A275" t="s">
        <v>3528</v>
      </c>
      <c r="B275" t="s">
        <v>3601</v>
      </c>
      <c r="C275" t="s">
        <v>220</v>
      </c>
      <c r="D275" t="s">
        <v>3603</v>
      </c>
      <c r="E275" t="s">
        <v>3605</v>
      </c>
    </row>
    <row r="276" spans="1:5" x14ac:dyDescent="0.25">
      <c r="A276" t="s">
        <v>3528</v>
      </c>
      <c r="B276" t="s">
        <v>3601</v>
      </c>
      <c r="C276" t="s">
        <v>1862</v>
      </c>
      <c r="D276" t="s">
        <v>3603</v>
      </c>
      <c r="E276" t="s">
        <v>3604</v>
      </c>
    </row>
    <row r="277" spans="1:5" x14ac:dyDescent="0.25">
      <c r="A277" t="s">
        <v>3528</v>
      </c>
      <c r="B277" t="s">
        <v>3601</v>
      </c>
      <c r="C277" t="s">
        <v>1700</v>
      </c>
      <c r="D277" t="s">
        <v>3606</v>
      </c>
      <c r="E277" t="s">
        <v>3604</v>
      </c>
    </row>
    <row r="278" spans="1:5" x14ac:dyDescent="0.25">
      <c r="A278" t="s">
        <v>3528</v>
      </c>
      <c r="B278" t="s">
        <v>3601</v>
      </c>
      <c r="C278" t="s">
        <v>363</v>
      </c>
      <c r="D278" t="s">
        <v>3607</v>
      </c>
      <c r="E278" t="s">
        <v>3608</v>
      </c>
    </row>
    <row r="279" spans="1:5" x14ac:dyDescent="0.25">
      <c r="A279" t="s">
        <v>3528</v>
      </c>
      <c r="B279" t="s">
        <v>3601</v>
      </c>
      <c r="C279" t="s">
        <v>1478</v>
      </c>
      <c r="D279" t="s">
        <v>3607</v>
      </c>
      <c r="E279" t="s">
        <v>3608</v>
      </c>
    </row>
    <row r="280" spans="1:5" x14ac:dyDescent="0.25">
      <c r="A280" t="s">
        <v>3528</v>
      </c>
      <c r="B280" t="s">
        <v>3601</v>
      </c>
      <c r="C280" t="s">
        <v>1370</v>
      </c>
      <c r="D280" t="s">
        <v>3606</v>
      </c>
      <c r="E280" t="s">
        <v>3604</v>
      </c>
    </row>
    <row r="281" spans="1:5" x14ac:dyDescent="0.25">
      <c r="A281" t="s">
        <v>3528</v>
      </c>
      <c r="B281" t="s">
        <v>3601</v>
      </c>
      <c r="C281" t="s">
        <v>684</v>
      </c>
      <c r="D281" t="s">
        <v>3606</v>
      </c>
      <c r="E281" t="s">
        <v>3604</v>
      </c>
    </row>
    <row r="282" spans="1:5" x14ac:dyDescent="0.25">
      <c r="A282" t="s">
        <v>3528</v>
      </c>
      <c r="B282" t="s">
        <v>3601</v>
      </c>
      <c r="C282" t="s">
        <v>1731</v>
      </c>
      <c r="D282" t="s">
        <v>3606</v>
      </c>
      <c r="E282" t="s">
        <v>3604</v>
      </c>
    </row>
    <row r="283" spans="1:5" x14ac:dyDescent="0.25">
      <c r="A283" t="s">
        <v>3528</v>
      </c>
      <c r="B283" t="s">
        <v>3601</v>
      </c>
      <c r="C283" t="s">
        <v>2489</v>
      </c>
      <c r="D283" t="s">
        <v>3602</v>
      </c>
      <c r="E283" t="s">
        <v>3609</v>
      </c>
    </row>
    <row r="284" spans="1:5" x14ac:dyDescent="0.25">
      <c r="A284" t="s">
        <v>3528</v>
      </c>
      <c r="B284" t="s">
        <v>3601</v>
      </c>
      <c r="C284" t="s">
        <v>636</v>
      </c>
      <c r="D284" t="s">
        <v>3602</v>
      </c>
      <c r="E284" t="s">
        <v>3604</v>
      </c>
    </row>
    <row r="285" spans="1:5" x14ac:dyDescent="0.25">
      <c r="A285" t="s">
        <v>3528</v>
      </c>
      <c r="B285" t="s">
        <v>3601</v>
      </c>
      <c r="C285" t="s">
        <v>997</v>
      </c>
      <c r="D285" t="s">
        <v>3603</v>
      </c>
      <c r="E285" t="s">
        <v>3604</v>
      </c>
    </row>
    <row r="286" spans="1:5" x14ac:dyDescent="0.25">
      <c r="A286" t="s">
        <v>3528</v>
      </c>
      <c r="B286" t="s">
        <v>3601</v>
      </c>
      <c r="C286" t="s">
        <v>2366</v>
      </c>
      <c r="D286" t="s">
        <v>3602</v>
      </c>
      <c r="E286" t="s">
        <v>3609</v>
      </c>
    </row>
    <row r="287" spans="1:5" x14ac:dyDescent="0.25">
      <c r="A287" t="s">
        <v>3528</v>
      </c>
      <c r="B287" t="s">
        <v>3601</v>
      </c>
      <c r="C287" t="s">
        <v>2858</v>
      </c>
      <c r="D287" t="s">
        <v>3602</v>
      </c>
      <c r="E287" t="s">
        <v>3603</v>
      </c>
    </row>
    <row r="288" spans="1:5" x14ac:dyDescent="0.25">
      <c r="A288" t="s">
        <v>3528</v>
      </c>
      <c r="B288" t="s">
        <v>3601</v>
      </c>
      <c r="C288" t="s">
        <v>2872</v>
      </c>
      <c r="D288" t="s">
        <v>3607</v>
      </c>
      <c r="E288" t="s">
        <v>3608</v>
      </c>
    </row>
    <row r="289" spans="1:5" x14ac:dyDescent="0.25">
      <c r="A289" t="s">
        <v>3528</v>
      </c>
      <c r="B289" t="s">
        <v>3601</v>
      </c>
      <c r="C289" t="s">
        <v>2758</v>
      </c>
      <c r="D289" t="s">
        <v>3602</v>
      </c>
      <c r="E289" t="s">
        <v>3604</v>
      </c>
    </row>
    <row r="290" spans="1:5" x14ac:dyDescent="0.25">
      <c r="A290" t="s">
        <v>3528</v>
      </c>
      <c r="B290" t="s">
        <v>3601</v>
      </c>
      <c r="C290" t="s">
        <v>1253</v>
      </c>
      <c r="D290" t="s">
        <v>3607</v>
      </c>
      <c r="E290" t="s">
        <v>3608</v>
      </c>
    </row>
    <row r="291" spans="1:5" x14ac:dyDescent="0.25">
      <c r="A291" t="s">
        <v>3528</v>
      </c>
      <c r="B291" t="s">
        <v>3601</v>
      </c>
      <c r="C291" t="s">
        <v>2763</v>
      </c>
      <c r="D291" t="s">
        <v>3607</v>
      </c>
      <c r="E291" t="s">
        <v>3608</v>
      </c>
    </row>
    <row r="292" spans="1:5" x14ac:dyDescent="0.25">
      <c r="A292" t="s">
        <v>3528</v>
      </c>
      <c r="B292" t="s">
        <v>3601</v>
      </c>
      <c r="C292" t="s">
        <v>1288</v>
      </c>
      <c r="D292" t="s">
        <v>3603</v>
      </c>
      <c r="E292" t="s">
        <v>3604</v>
      </c>
    </row>
    <row r="293" spans="1:5" x14ac:dyDescent="0.25">
      <c r="A293" t="s">
        <v>3528</v>
      </c>
      <c r="B293" t="s">
        <v>3601</v>
      </c>
      <c r="C293" t="s">
        <v>1953</v>
      </c>
      <c r="D293" t="s">
        <v>3607</v>
      </c>
      <c r="E293" t="s">
        <v>3608</v>
      </c>
    </row>
    <row r="294" spans="1:5" x14ac:dyDescent="0.25">
      <c r="A294" t="s">
        <v>3528</v>
      </c>
      <c r="B294" t="s">
        <v>3601</v>
      </c>
      <c r="C294" t="s">
        <v>2738</v>
      </c>
      <c r="D294" t="s">
        <v>3606</v>
      </c>
      <c r="E294" t="s">
        <v>3604</v>
      </c>
    </row>
    <row r="295" spans="1:5" x14ac:dyDescent="0.25">
      <c r="A295" t="s">
        <v>3528</v>
      </c>
      <c r="B295" t="s">
        <v>3601</v>
      </c>
      <c r="C295" t="s">
        <v>477</v>
      </c>
      <c r="D295" t="s">
        <v>3606</v>
      </c>
      <c r="E295" t="s">
        <v>3604</v>
      </c>
    </row>
    <row r="296" spans="1:5" x14ac:dyDescent="0.25">
      <c r="A296" t="s">
        <v>3528</v>
      </c>
      <c r="B296" t="s">
        <v>3601</v>
      </c>
      <c r="C296" t="s">
        <v>503</v>
      </c>
      <c r="D296" t="s">
        <v>3606</v>
      </c>
      <c r="E296" t="s">
        <v>3604</v>
      </c>
    </row>
    <row r="297" spans="1:5" x14ac:dyDescent="0.25">
      <c r="A297" t="s">
        <v>3528</v>
      </c>
      <c r="B297" t="s">
        <v>3601</v>
      </c>
      <c r="C297" t="s">
        <v>235</v>
      </c>
      <c r="D297" t="s">
        <v>3603</v>
      </c>
      <c r="E297" t="s">
        <v>3604</v>
      </c>
    </row>
    <row r="298" spans="1:5" x14ac:dyDescent="0.25">
      <c r="A298" t="s">
        <v>3528</v>
      </c>
      <c r="B298" t="s">
        <v>3601</v>
      </c>
      <c r="C298" t="s">
        <v>522</v>
      </c>
      <c r="D298" t="s">
        <v>3602</v>
      </c>
      <c r="E298" t="s">
        <v>3609</v>
      </c>
    </row>
    <row r="299" spans="1:5" x14ac:dyDescent="0.25">
      <c r="A299" t="s">
        <v>3528</v>
      </c>
      <c r="B299" t="s">
        <v>3601</v>
      </c>
      <c r="C299" t="s">
        <v>2249</v>
      </c>
      <c r="D299" t="s">
        <v>3602</v>
      </c>
      <c r="E299" t="s">
        <v>3604</v>
      </c>
    </row>
    <row r="300" spans="1:5" x14ac:dyDescent="0.25">
      <c r="A300" t="s">
        <v>3528</v>
      </c>
      <c r="B300" t="s">
        <v>3601</v>
      </c>
      <c r="C300" t="s">
        <v>1178</v>
      </c>
      <c r="D300" t="s">
        <v>3607</v>
      </c>
      <c r="E300" t="s">
        <v>3608</v>
      </c>
    </row>
    <row r="301" spans="1:5" x14ac:dyDescent="0.25">
      <c r="A301" t="s">
        <v>3528</v>
      </c>
      <c r="B301" t="s">
        <v>3601</v>
      </c>
      <c r="C301" t="s">
        <v>883</v>
      </c>
      <c r="D301" t="s">
        <v>3606</v>
      </c>
      <c r="E301" t="s">
        <v>3604</v>
      </c>
    </row>
    <row r="302" spans="1:5" x14ac:dyDescent="0.25">
      <c r="A302" t="s">
        <v>3528</v>
      </c>
      <c r="B302" t="s">
        <v>3601</v>
      </c>
      <c r="C302" t="s">
        <v>740</v>
      </c>
      <c r="D302" t="s">
        <v>3607</v>
      </c>
      <c r="E302" t="s">
        <v>3608</v>
      </c>
    </row>
    <row r="303" spans="1:5" x14ac:dyDescent="0.25">
      <c r="A303" t="s">
        <v>3528</v>
      </c>
      <c r="B303" t="s">
        <v>3601</v>
      </c>
      <c r="C303" t="s">
        <v>2163</v>
      </c>
      <c r="D303" t="s">
        <v>3602</v>
      </c>
      <c r="E303" t="s">
        <v>3604</v>
      </c>
    </row>
    <row r="304" spans="1:5" x14ac:dyDescent="0.25">
      <c r="A304" t="s">
        <v>3528</v>
      </c>
      <c r="B304" t="s">
        <v>3601</v>
      </c>
      <c r="C304" t="s">
        <v>1570</v>
      </c>
      <c r="D304" t="s">
        <v>3606</v>
      </c>
      <c r="E304" t="s">
        <v>3609</v>
      </c>
    </row>
    <row r="305" spans="1:5" x14ac:dyDescent="0.25">
      <c r="A305" t="s">
        <v>3528</v>
      </c>
      <c r="B305" t="s">
        <v>3601</v>
      </c>
      <c r="C305" t="s">
        <v>1237</v>
      </c>
      <c r="D305" t="s">
        <v>3602</v>
      </c>
      <c r="E305" t="s">
        <v>3605</v>
      </c>
    </row>
    <row r="306" spans="1:5" x14ac:dyDescent="0.25">
      <c r="A306" t="s">
        <v>3528</v>
      </c>
      <c r="B306" t="s">
        <v>3601</v>
      </c>
      <c r="C306" t="s">
        <v>826</v>
      </c>
      <c r="D306" t="s">
        <v>3606</v>
      </c>
      <c r="E306" t="s">
        <v>3603</v>
      </c>
    </row>
    <row r="307" spans="1:5" x14ac:dyDescent="0.25">
      <c r="A307" t="s">
        <v>3528</v>
      </c>
      <c r="B307" t="s">
        <v>3601</v>
      </c>
      <c r="C307" t="s">
        <v>275</v>
      </c>
      <c r="D307" t="s">
        <v>3606</v>
      </c>
      <c r="E307" t="s">
        <v>3609</v>
      </c>
    </row>
    <row r="308" spans="1:5" x14ac:dyDescent="0.25">
      <c r="A308" t="s">
        <v>3528</v>
      </c>
      <c r="B308" t="s">
        <v>3601</v>
      </c>
      <c r="C308" t="s">
        <v>2484</v>
      </c>
      <c r="D308" t="s">
        <v>3602</v>
      </c>
      <c r="E308" t="s">
        <v>3603</v>
      </c>
    </row>
    <row r="309" spans="1:5" x14ac:dyDescent="0.25">
      <c r="A309" t="s">
        <v>3528</v>
      </c>
      <c r="B309" t="s">
        <v>3601</v>
      </c>
      <c r="C309" t="s">
        <v>778</v>
      </c>
      <c r="D309" t="s">
        <v>3606</v>
      </c>
      <c r="E309" t="s">
        <v>3605</v>
      </c>
    </row>
    <row r="310" spans="1:5" x14ac:dyDescent="0.25">
      <c r="A310" t="s">
        <v>3528</v>
      </c>
      <c r="B310" t="s">
        <v>3601</v>
      </c>
      <c r="C310" t="s">
        <v>1128</v>
      </c>
      <c r="D310" t="s">
        <v>3606</v>
      </c>
      <c r="E310" t="s">
        <v>3609</v>
      </c>
    </row>
    <row r="311" spans="1:5" x14ac:dyDescent="0.25">
      <c r="A311" t="s">
        <v>3528</v>
      </c>
      <c r="B311" t="s">
        <v>3601</v>
      </c>
      <c r="C311" t="s">
        <v>1211</v>
      </c>
      <c r="D311" t="s">
        <v>3602</v>
      </c>
      <c r="E311" t="s">
        <v>3609</v>
      </c>
    </row>
    <row r="312" spans="1:5" x14ac:dyDescent="0.25">
      <c r="A312" t="s">
        <v>3528</v>
      </c>
      <c r="B312" t="s">
        <v>3601</v>
      </c>
      <c r="C312" t="s">
        <v>415</v>
      </c>
      <c r="D312" t="s">
        <v>3606</v>
      </c>
      <c r="E312" t="s">
        <v>3603</v>
      </c>
    </row>
    <row r="313" spans="1:5" x14ac:dyDescent="0.25">
      <c r="A313" t="s">
        <v>3528</v>
      </c>
      <c r="B313" t="s">
        <v>3601</v>
      </c>
      <c r="C313" t="s">
        <v>751</v>
      </c>
      <c r="D313" t="s">
        <v>3607</v>
      </c>
      <c r="E313" t="s">
        <v>3608</v>
      </c>
    </row>
    <row r="314" spans="1:5" x14ac:dyDescent="0.25">
      <c r="A314" t="s">
        <v>3528</v>
      </c>
      <c r="B314" t="s">
        <v>3601</v>
      </c>
      <c r="C314" t="s">
        <v>2188</v>
      </c>
      <c r="D314" t="s">
        <v>3603</v>
      </c>
      <c r="E314" t="s">
        <v>3609</v>
      </c>
    </row>
    <row r="315" spans="1:5" x14ac:dyDescent="0.25">
      <c r="A315" t="s">
        <v>3528</v>
      </c>
      <c r="B315" t="s">
        <v>3601</v>
      </c>
      <c r="C315" t="s">
        <v>1221</v>
      </c>
      <c r="D315" t="s">
        <v>3606</v>
      </c>
      <c r="E315" t="s">
        <v>3603</v>
      </c>
    </row>
    <row r="316" spans="1:5" x14ac:dyDescent="0.25">
      <c r="A316" t="s">
        <v>3528</v>
      </c>
      <c r="B316" t="s">
        <v>3601</v>
      </c>
      <c r="C316" t="s">
        <v>1458</v>
      </c>
      <c r="D316" t="s">
        <v>3607</v>
      </c>
      <c r="E316" t="s">
        <v>3608</v>
      </c>
    </row>
    <row r="317" spans="1:5" x14ac:dyDescent="0.25">
      <c r="A317" t="s">
        <v>3528</v>
      </c>
      <c r="B317" t="s">
        <v>3601</v>
      </c>
      <c r="C317" t="s">
        <v>838</v>
      </c>
      <c r="D317" t="s">
        <v>3606</v>
      </c>
      <c r="E317" t="s">
        <v>3604</v>
      </c>
    </row>
    <row r="318" spans="1:5" x14ac:dyDescent="0.25">
      <c r="A318" t="s">
        <v>3528</v>
      </c>
      <c r="B318" t="s">
        <v>3601</v>
      </c>
      <c r="C318" t="s">
        <v>2803</v>
      </c>
      <c r="D318" t="s">
        <v>3602</v>
      </c>
      <c r="E318" t="s">
        <v>3604</v>
      </c>
    </row>
    <row r="319" spans="1:5" x14ac:dyDescent="0.25">
      <c r="A319" t="s">
        <v>3528</v>
      </c>
      <c r="B319" t="s">
        <v>3601</v>
      </c>
      <c r="C319" t="s">
        <v>333</v>
      </c>
      <c r="D319" t="s">
        <v>3606</v>
      </c>
      <c r="E319" t="s">
        <v>3603</v>
      </c>
    </row>
    <row r="320" spans="1:5" x14ac:dyDescent="0.25">
      <c r="A320" t="s">
        <v>3528</v>
      </c>
      <c r="B320" t="s">
        <v>3601</v>
      </c>
      <c r="C320" t="s">
        <v>2433</v>
      </c>
      <c r="D320" t="s">
        <v>3603</v>
      </c>
      <c r="E320" t="s">
        <v>3604</v>
      </c>
    </row>
    <row r="321" spans="1:5" x14ac:dyDescent="0.25">
      <c r="A321" t="s">
        <v>3528</v>
      </c>
      <c r="B321" t="s">
        <v>3601</v>
      </c>
      <c r="C321" t="s">
        <v>2213</v>
      </c>
      <c r="D321" t="s">
        <v>3603</v>
      </c>
      <c r="E321" t="s">
        <v>3604</v>
      </c>
    </row>
    <row r="322" spans="1:5" x14ac:dyDescent="0.25">
      <c r="A322" t="s">
        <v>3528</v>
      </c>
      <c r="B322" t="s">
        <v>3601</v>
      </c>
      <c r="C322" t="s">
        <v>929</v>
      </c>
      <c r="D322" t="s">
        <v>3606</v>
      </c>
      <c r="E322" t="s">
        <v>3604</v>
      </c>
    </row>
    <row r="323" spans="1:5" x14ac:dyDescent="0.25">
      <c r="A323" t="s">
        <v>3528</v>
      </c>
      <c r="B323" t="s">
        <v>3601</v>
      </c>
      <c r="C323" t="s">
        <v>1984</v>
      </c>
      <c r="D323" t="s">
        <v>3606</v>
      </c>
      <c r="E323" t="s">
        <v>3609</v>
      </c>
    </row>
    <row r="324" spans="1:5" x14ac:dyDescent="0.25">
      <c r="A324" t="s">
        <v>3528</v>
      </c>
      <c r="B324" t="s">
        <v>3601</v>
      </c>
      <c r="C324" t="s">
        <v>490</v>
      </c>
      <c r="D324" t="s">
        <v>3602</v>
      </c>
      <c r="E324" t="s">
        <v>3603</v>
      </c>
    </row>
    <row r="325" spans="1:5" x14ac:dyDescent="0.25">
      <c r="A325" t="s">
        <v>3528</v>
      </c>
      <c r="B325" t="s">
        <v>3601</v>
      </c>
      <c r="C325" t="s">
        <v>893</v>
      </c>
      <c r="D325" t="s">
        <v>3602</v>
      </c>
      <c r="E325" t="s">
        <v>3604</v>
      </c>
    </row>
    <row r="326" spans="1:5" x14ac:dyDescent="0.25">
      <c r="A326" t="s">
        <v>3528</v>
      </c>
      <c r="B326" t="s">
        <v>3601</v>
      </c>
      <c r="C326" t="s">
        <v>2659</v>
      </c>
      <c r="D326" t="s">
        <v>3603</v>
      </c>
      <c r="E326" t="s">
        <v>3609</v>
      </c>
    </row>
    <row r="327" spans="1:5" x14ac:dyDescent="0.25">
      <c r="A327" t="s">
        <v>3528</v>
      </c>
      <c r="B327" t="s">
        <v>3601</v>
      </c>
      <c r="C327" t="s">
        <v>2474</v>
      </c>
      <c r="D327" t="s">
        <v>3606</v>
      </c>
      <c r="E327" t="s">
        <v>3604</v>
      </c>
    </row>
    <row r="328" spans="1:5" x14ac:dyDescent="0.25">
      <c r="A328" t="s">
        <v>3528</v>
      </c>
      <c r="B328" t="s">
        <v>3601</v>
      </c>
      <c r="C328" t="s">
        <v>2813</v>
      </c>
      <c r="D328" t="s">
        <v>3607</v>
      </c>
      <c r="E328" t="s">
        <v>3608</v>
      </c>
    </row>
    <row r="329" spans="1:5" x14ac:dyDescent="0.25">
      <c r="A329" t="s">
        <v>3528</v>
      </c>
      <c r="B329" t="s">
        <v>3601</v>
      </c>
      <c r="C329" t="s">
        <v>2233</v>
      </c>
      <c r="D329" t="s">
        <v>3603</v>
      </c>
      <c r="E329" t="s">
        <v>3603</v>
      </c>
    </row>
    <row r="330" spans="1:5" x14ac:dyDescent="0.25">
      <c r="A330" t="s">
        <v>3528</v>
      </c>
      <c r="B330" t="s">
        <v>3601</v>
      </c>
      <c r="C330" t="s">
        <v>1656</v>
      </c>
      <c r="D330" t="s">
        <v>3603</v>
      </c>
      <c r="E330" t="s">
        <v>3609</v>
      </c>
    </row>
    <row r="331" spans="1:5" x14ac:dyDescent="0.25">
      <c r="A331" t="s">
        <v>3528</v>
      </c>
      <c r="B331" t="s">
        <v>3601</v>
      </c>
      <c r="C331" t="s">
        <v>1524</v>
      </c>
      <c r="D331" t="s">
        <v>3603</v>
      </c>
      <c r="E331" t="s">
        <v>3605</v>
      </c>
    </row>
    <row r="332" spans="1:5" x14ac:dyDescent="0.25">
      <c r="A332" t="s">
        <v>3528</v>
      </c>
      <c r="B332" t="s">
        <v>3601</v>
      </c>
      <c r="C332" t="s">
        <v>1150</v>
      </c>
      <c r="D332" t="s">
        <v>3603</v>
      </c>
      <c r="E332" t="s">
        <v>3603</v>
      </c>
    </row>
    <row r="333" spans="1:5" x14ac:dyDescent="0.25">
      <c r="A333" t="s">
        <v>3528</v>
      </c>
      <c r="B333" t="s">
        <v>3601</v>
      </c>
      <c r="C333" t="s">
        <v>161</v>
      </c>
      <c r="D333" t="s">
        <v>3607</v>
      </c>
      <c r="E333" t="s">
        <v>3608</v>
      </c>
    </row>
    <row r="334" spans="1:5" x14ac:dyDescent="0.25">
      <c r="A334" t="s">
        <v>3528</v>
      </c>
      <c r="B334" t="s">
        <v>3601</v>
      </c>
      <c r="C334" t="s">
        <v>2439</v>
      </c>
      <c r="D334" t="s">
        <v>3606</v>
      </c>
      <c r="E334" t="s">
        <v>3609</v>
      </c>
    </row>
    <row r="335" spans="1:5" x14ac:dyDescent="0.25">
      <c r="A335" t="s">
        <v>3528</v>
      </c>
      <c r="B335" t="s">
        <v>3601</v>
      </c>
      <c r="C335" t="s">
        <v>1377</v>
      </c>
      <c r="D335" t="s">
        <v>3606</v>
      </c>
      <c r="E335" t="s">
        <v>3604</v>
      </c>
    </row>
    <row r="336" spans="1:5" x14ac:dyDescent="0.25">
      <c r="A336" t="s">
        <v>3528</v>
      </c>
      <c r="B336" t="s">
        <v>3601</v>
      </c>
      <c r="C336" t="s">
        <v>2679</v>
      </c>
      <c r="D336" t="s">
        <v>3603</v>
      </c>
      <c r="E336" t="s">
        <v>3609</v>
      </c>
    </row>
    <row r="337" spans="1:5" x14ac:dyDescent="0.25">
      <c r="A337" t="s">
        <v>3528</v>
      </c>
      <c r="B337" t="s">
        <v>3601</v>
      </c>
      <c r="C337" t="s">
        <v>1740</v>
      </c>
      <c r="D337" t="s">
        <v>3607</v>
      </c>
      <c r="E337" t="s">
        <v>3608</v>
      </c>
    </row>
    <row r="338" spans="1:5" x14ac:dyDescent="0.25">
      <c r="A338" t="s">
        <v>3528</v>
      </c>
      <c r="B338" t="s">
        <v>3601</v>
      </c>
      <c r="C338" t="s">
        <v>2414</v>
      </c>
      <c r="D338" t="s">
        <v>3602</v>
      </c>
      <c r="E338" t="s">
        <v>3603</v>
      </c>
    </row>
    <row r="339" spans="1:5" x14ac:dyDescent="0.25">
      <c r="A339" t="s">
        <v>3528</v>
      </c>
      <c r="B339" t="s">
        <v>3601</v>
      </c>
      <c r="C339" t="s">
        <v>1897</v>
      </c>
      <c r="D339" t="s">
        <v>3602</v>
      </c>
      <c r="E339" t="s">
        <v>3603</v>
      </c>
    </row>
    <row r="340" spans="1:5" x14ac:dyDescent="0.25">
      <c r="A340" t="s">
        <v>3528</v>
      </c>
      <c r="B340" t="s">
        <v>3601</v>
      </c>
      <c r="C340" t="s">
        <v>2371</v>
      </c>
      <c r="D340" t="s">
        <v>3602</v>
      </c>
      <c r="E340" t="s">
        <v>3604</v>
      </c>
    </row>
    <row r="341" spans="1:5" x14ac:dyDescent="0.25">
      <c r="A341" t="s">
        <v>3528</v>
      </c>
      <c r="B341" t="s">
        <v>3601</v>
      </c>
      <c r="C341" t="s">
        <v>1227</v>
      </c>
      <c r="D341" t="s">
        <v>3603</v>
      </c>
      <c r="E341" t="s">
        <v>3605</v>
      </c>
    </row>
    <row r="342" spans="1:5" x14ac:dyDescent="0.25">
      <c r="A342" t="s">
        <v>3528</v>
      </c>
      <c r="B342" t="s">
        <v>3601</v>
      </c>
      <c r="C342" t="s">
        <v>1719</v>
      </c>
      <c r="D342" t="s">
        <v>3602</v>
      </c>
      <c r="E342" t="s">
        <v>3605</v>
      </c>
    </row>
    <row r="343" spans="1:5" x14ac:dyDescent="0.25">
      <c r="A343" t="s">
        <v>3528</v>
      </c>
      <c r="B343" t="s">
        <v>3601</v>
      </c>
      <c r="C343" t="s">
        <v>1630</v>
      </c>
      <c r="D343" t="s">
        <v>3607</v>
      </c>
      <c r="E343" t="s">
        <v>3608</v>
      </c>
    </row>
    <row r="344" spans="1:5" x14ac:dyDescent="0.25">
      <c r="A344" t="s">
        <v>3528</v>
      </c>
      <c r="B344" t="s">
        <v>3601</v>
      </c>
      <c r="C344" t="s">
        <v>1161</v>
      </c>
      <c r="D344" t="s">
        <v>3602</v>
      </c>
      <c r="E344" t="s">
        <v>3603</v>
      </c>
    </row>
    <row r="345" spans="1:5" x14ac:dyDescent="0.25">
      <c r="A345" t="s">
        <v>3528</v>
      </c>
      <c r="B345" t="s">
        <v>3601</v>
      </c>
      <c r="C345" t="s">
        <v>832</v>
      </c>
      <c r="D345" t="s">
        <v>3603</v>
      </c>
      <c r="E345" t="s">
        <v>3604</v>
      </c>
    </row>
    <row r="346" spans="1:5" x14ac:dyDescent="0.25">
      <c r="A346" t="s">
        <v>3528</v>
      </c>
      <c r="B346" t="s">
        <v>3601</v>
      </c>
      <c r="C346" t="s">
        <v>2086</v>
      </c>
      <c r="D346" t="s">
        <v>3607</v>
      </c>
      <c r="E346" t="s">
        <v>3608</v>
      </c>
    </row>
    <row r="347" spans="1:5" x14ac:dyDescent="0.25">
      <c r="A347" t="s">
        <v>3528</v>
      </c>
      <c r="B347" t="s">
        <v>3601</v>
      </c>
      <c r="C347" t="s">
        <v>1342</v>
      </c>
      <c r="D347" t="s">
        <v>3607</v>
      </c>
      <c r="E347" t="s">
        <v>3608</v>
      </c>
    </row>
    <row r="348" spans="1:5" x14ac:dyDescent="0.25">
      <c r="A348" t="s">
        <v>3528</v>
      </c>
      <c r="B348" t="s">
        <v>3601</v>
      </c>
      <c r="C348" t="s">
        <v>1508</v>
      </c>
      <c r="D348" t="s">
        <v>3607</v>
      </c>
      <c r="E348" t="s">
        <v>3608</v>
      </c>
    </row>
    <row r="349" spans="1:5" x14ac:dyDescent="0.25">
      <c r="A349" t="s">
        <v>3528</v>
      </c>
      <c r="B349" t="s">
        <v>3601</v>
      </c>
      <c r="C349" t="s">
        <v>1842</v>
      </c>
      <c r="D349" t="s">
        <v>3603</v>
      </c>
      <c r="E349" t="s">
        <v>3604</v>
      </c>
    </row>
    <row r="350" spans="1:5" x14ac:dyDescent="0.25">
      <c r="A350" t="s">
        <v>3528</v>
      </c>
      <c r="B350" t="s">
        <v>3601</v>
      </c>
      <c r="C350" t="s">
        <v>1248</v>
      </c>
      <c r="D350" t="s">
        <v>3603</v>
      </c>
      <c r="E350" t="s">
        <v>3605</v>
      </c>
    </row>
    <row r="351" spans="1:5" x14ac:dyDescent="0.25">
      <c r="A351" t="s">
        <v>3528</v>
      </c>
      <c r="B351" t="s">
        <v>3601</v>
      </c>
      <c r="C351" t="s">
        <v>2345</v>
      </c>
      <c r="D351" t="s">
        <v>3607</v>
      </c>
      <c r="E351" t="s">
        <v>3608</v>
      </c>
    </row>
    <row r="352" spans="1:5" x14ac:dyDescent="0.25">
      <c r="A352" t="s">
        <v>3528</v>
      </c>
      <c r="B352" t="s">
        <v>3601</v>
      </c>
      <c r="C352" t="s">
        <v>2173</v>
      </c>
      <c r="D352" t="s">
        <v>3607</v>
      </c>
      <c r="E352" t="s">
        <v>3608</v>
      </c>
    </row>
    <row r="353" spans="1:5" x14ac:dyDescent="0.25">
      <c r="A353" t="s">
        <v>3528</v>
      </c>
      <c r="B353" t="s">
        <v>3601</v>
      </c>
      <c r="C353" t="s">
        <v>179</v>
      </c>
      <c r="D353" t="s">
        <v>3606</v>
      </c>
      <c r="E353" t="s">
        <v>3603</v>
      </c>
    </row>
    <row r="354" spans="1:5" x14ac:dyDescent="0.25">
      <c r="A354" t="s">
        <v>3528</v>
      </c>
      <c r="B354" t="s">
        <v>3601</v>
      </c>
      <c r="C354" t="s">
        <v>356</v>
      </c>
      <c r="D354" t="s">
        <v>3602</v>
      </c>
      <c r="E354" t="s">
        <v>3605</v>
      </c>
    </row>
    <row r="355" spans="1:5" x14ac:dyDescent="0.25">
      <c r="A355" t="s">
        <v>3528</v>
      </c>
      <c r="B355" t="s">
        <v>3601</v>
      </c>
      <c r="C355" t="s">
        <v>898</v>
      </c>
      <c r="D355" t="s">
        <v>3606</v>
      </c>
      <c r="E355" t="s">
        <v>3603</v>
      </c>
    </row>
    <row r="356" spans="1:5" x14ac:dyDescent="0.25">
      <c r="A356" t="s">
        <v>3528</v>
      </c>
      <c r="B356" t="s">
        <v>3601</v>
      </c>
      <c r="C356" t="s">
        <v>54</v>
      </c>
      <c r="D356" t="s">
        <v>3603</v>
      </c>
      <c r="E356" t="s">
        <v>3609</v>
      </c>
    </row>
    <row r="357" spans="1:5" x14ac:dyDescent="0.25">
      <c r="A357" t="s">
        <v>3528</v>
      </c>
      <c r="B357" t="s">
        <v>3601</v>
      </c>
      <c r="C357" t="s">
        <v>1266</v>
      </c>
      <c r="D357" t="s">
        <v>3602</v>
      </c>
      <c r="E357" t="s">
        <v>3605</v>
      </c>
    </row>
    <row r="358" spans="1:5" x14ac:dyDescent="0.25">
      <c r="A358" t="s">
        <v>3528</v>
      </c>
      <c r="B358" t="s">
        <v>3601</v>
      </c>
      <c r="C358" t="s">
        <v>986</v>
      </c>
      <c r="D358" t="s">
        <v>3607</v>
      </c>
      <c r="E358" t="s">
        <v>3608</v>
      </c>
    </row>
    <row r="359" spans="1:5" x14ac:dyDescent="0.25">
      <c r="A359" t="s">
        <v>3528</v>
      </c>
      <c r="B359" t="s">
        <v>3601</v>
      </c>
      <c r="C359" t="s">
        <v>1090</v>
      </c>
      <c r="D359" t="s">
        <v>3603</v>
      </c>
      <c r="E359" t="s">
        <v>3603</v>
      </c>
    </row>
    <row r="360" spans="1:5" x14ac:dyDescent="0.25">
      <c r="A360" t="s">
        <v>3528</v>
      </c>
      <c r="B360" t="s">
        <v>3601</v>
      </c>
      <c r="C360" t="s">
        <v>509</v>
      </c>
      <c r="D360" t="s">
        <v>3603</v>
      </c>
      <c r="E360" t="s">
        <v>3603</v>
      </c>
    </row>
    <row r="361" spans="1:5" x14ac:dyDescent="0.25">
      <c r="A361" t="s">
        <v>3528</v>
      </c>
      <c r="B361" t="s">
        <v>3601</v>
      </c>
      <c r="C361" t="s">
        <v>267</v>
      </c>
      <c r="D361" t="s">
        <v>3607</v>
      </c>
      <c r="E361" t="s">
        <v>3608</v>
      </c>
    </row>
    <row r="362" spans="1:5" x14ac:dyDescent="0.25">
      <c r="A362" t="s">
        <v>3528</v>
      </c>
      <c r="B362" t="s">
        <v>3601</v>
      </c>
      <c r="C362" t="s">
        <v>723</v>
      </c>
      <c r="D362" t="s">
        <v>3607</v>
      </c>
      <c r="E362" t="s">
        <v>3608</v>
      </c>
    </row>
    <row r="363" spans="1:5" x14ac:dyDescent="0.25">
      <c r="A363" t="s">
        <v>3528</v>
      </c>
      <c r="B363" t="s">
        <v>3601</v>
      </c>
      <c r="C363" t="s">
        <v>2259</v>
      </c>
      <c r="D363" t="s">
        <v>3602</v>
      </c>
      <c r="E363" t="s">
        <v>3604</v>
      </c>
    </row>
    <row r="364" spans="1:5" x14ac:dyDescent="0.25">
      <c r="A364" t="s">
        <v>3528</v>
      </c>
      <c r="B364" t="s">
        <v>3601</v>
      </c>
      <c r="C364" t="s">
        <v>1979</v>
      </c>
      <c r="D364" t="s">
        <v>3606</v>
      </c>
      <c r="E364" t="s">
        <v>3609</v>
      </c>
    </row>
    <row r="365" spans="1:5" x14ac:dyDescent="0.25">
      <c r="A365" t="s">
        <v>3528</v>
      </c>
      <c r="B365" t="s">
        <v>3601</v>
      </c>
      <c r="C365" t="s">
        <v>2423</v>
      </c>
      <c r="D365" t="s">
        <v>3603</v>
      </c>
      <c r="E365" t="s">
        <v>3605</v>
      </c>
    </row>
    <row r="366" spans="1:5" x14ac:dyDescent="0.25">
      <c r="A366" t="s">
        <v>3528</v>
      </c>
      <c r="B366" t="s">
        <v>3601</v>
      </c>
      <c r="C366" t="s">
        <v>677</v>
      </c>
      <c r="D366" t="s">
        <v>3603</v>
      </c>
      <c r="E366" t="s">
        <v>3603</v>
      </c>
    </row>
    <row r="367" spans="1:5" x14ac:dyDescent="0.25">
      <c r="A367" t="s">
        <v>3528</v>
      </c>
      <c r="B367" t="s">
        <v>3601</v>
      </c>
      <c r="C367" t="s">
        <v>2320</v>
      </c>
      <c r="D367" t="s">
        <v>3602</v>
      </c>
      <c r="E367" t="s">
        <v>3605</v>
      </c>
    </row>
    <row r="368" spans="1:5" x14ac:dyDescent="0.25">
      <c r="A368" t="s">
        <v>3528</v>
      </c>
      <c r="B368" t="s">
        <v>3601</v>
      </c>
      <c r="C368" t="s">
        <v>1048</v>
      </c>
      <c r="D368" t="s">
        <v>3606</v>
      </c>
      <c r="E368" t="s">
        <v>3603</v>
      </c>
    </row>
    <row r="369" spans="1:5" x14ac:dyDescent="0.25">
      <c r="A369" t="s">
        <v>3528</v>
      </c>
      <c r="B369" t="s">
        <v>3601</v>
      </c>
      <c r="C369" t="s">
        <v>469</v>
      </c>
      <c r="D369" t="s">
        <v>3606</v>
      </c>
      <c r="E369" t="s">
        <v>3604</v>
      </c>
    </row>
    <row r="370" spans="1:5" x14ac:dyDescent="0.25">
      <c r="A370" t="s">
        <v>3528</v>
      </c>
      <c r="B370" t="s">
        <v>3601</v>
      </c>
      <c r="C370" t="s">
        <v>1428</v>
      </c>
      <c r="D370" t="s">
        <v>3603</v>
      </c>
      <c r="E370" t="s">
        <v>3603</v>
      </c>
    </row>
    <row r="371" spans="1:5" x14ac:dyDescent="0.25">
      <c r="A371" t="s">
        <v>3528</v>
      </c>
      <c r="B371" t="s">
        <v>3601</v>
      </c>
      <c r="C371" t="s">
        <v>1596</v>
      </c>
      <c r="D371" t="s">
        <v>3602</v>
      </c>
      <c r="E371" t="s">
        <v>3605</v>
      </c>
    </row>
    <row r="372" spans="1:5" x14ac:dyDescent="0.25">
      <c r="A372" t="s">
        <v>3528</v>
      </c>
      <c r="B372" t="s">
        <v>3601</v>
      </c>
      <c r="C372" t="s">
        <v>1805</v>
      </c>
      <c r="D372" t="s">
        <v>3603</v>
      </c>
      <c r="E372" t="s">
        <v>3603</v>
      </c>
    </row>
    <row r="373" spans="1:5" x14ac:dyDescent="0.25">
      <c r="A373" t="s">
        <v>3528</v>
      </c>
      <c r="B373" t="s">
        <v>3601</v>
      </c>
      <c r="C373" t="s">
        <v>2649</v>
      </c>
      <c r="D373" t="s">
        <v>3607</v>
      </c>
      <c r="E373" t="s">
        <v>3608</v>
      </c>
    </row>
    <row r="374" spans="1:5" x14ac:dyDescent="0.25">
      <c r="A374" t="s">
        <v>3528</v>
      </c>
      <c r="B374" t="s">
        <v>3601</v>
      </c>
      <c r="C374" t="s">
        <v>2459</v>
      </c>
      <c r="D374" t="s">
        <v>3602</v>
      </c>
      <c r="E374" t="s">
        <v>3603</v>
      </c>
    </row>
    <row r="375" spans="1:5" x14ac:dyDescent="0.25">
      <c r="A375" t="s">
        <v>3528</v>
      </c>
      <c r="B375" t="s">
        <v>3601</v>
      </c>
      <c r="C375" t="s">
        <v>1762</v>
      </c>
      <c r="D375" t="s">
        <v>3606</v>
      </c>
      <c r="E375" t="s">
        <v>3603</v>
      </c>
    </row>
    <row r="376" spans="1:5" x14ac:dyDescent="0.25">
      <c r="A376" t="s">
        <v>3528</v>
      </c>
      <c r="B376" t="s">
        <v>3601</v>
      </c>
      <c r="C376" t="s">
        <v>312</v>
      </c>
      <c r="D376" t="s">
        <v>3603</v>
      </c>
      <c r="E376" t="s">
        <v>3609</v>
      </c>
    </row>
    <row r="377" spans="1:5" x14ac:dyDescent="0.25">
      <c r="A377" t="s">
        <v>3528</v>
      </c>
      <c r="B377" t="s">
        <v>3601</v>
      </c>
      <c r="C377" t="s">
        <v>2823</v>
      </c>
      <c r="D377" t="s">
        <v>3602</v>
      </c>
      <c r="E377" t="s">
        <v>3604</v>
      </c>
    </row>
    <row r="378" spans="1:5" x14ac:dyDescent="0.25">
      <c r="A378" t="s">
        <v>3528</v>
      </c>
      <c r="B378" t="s">
        <v>3601</v>
      </c>
      <c r="C378" t="s">
        <v>1327</v>
      </c>
      <c r="D378" t="s">
        <v>3607</v>
      </c>
      <c r="E378" t="s">
        <v>3608</v>
      </c>
    </row>
    <row r="379" spans="1:5" x14ac:dyDescent="0.25">
      <c r="A379" t="s">
        <v>3528</v>
      </c>
      <c r="B379" t="s">
        <v>3601</v>
      </c>
      <c r="C379" t="s">
        <v>1305</v>
      </c>
      <c r="D379" t="s">
        <v>3603</v>
      </c>
      <c r="E379" t="s">
        <v>3609</v>
      </c>
    </row>
    <row r="380" spans="1:5" x14ac:dyDescent="0.25">
      <c r="A380" t="s">
        <v>3528</v>
      </c>
      <c r="B380" t="s">
        <v>3601</v>
      </c>
      <c r="C380" t="s">
        <v>650</v>
      </c>
      <c r="D380" t="s">
        <v>3606</v>
      </c>
      <c r="E380" t="s">
        <v>3605</v>
      </c>
    </row>
    <row r="381" spans="1:5" x14ac:dyDescent="0.25">
      <c r="A381" t="s">
        <v>3528</v>
      </c>
      <c r="B381" t="s">
        <v>3601</v>
      </c>
      <c r="C381" t="s">
        <v>2218</v>
      </c>
      <c r="D381" t="s">
        <v>3607</v>
      </c>
      <c r="E381" t="s">
        <v>3608</v>
      </c>
    </row>
    <row r="382" spans="1:5" x14ac:dyDescent="0.25">
      <c r="A382" t="s">
        <v>3528</v>
      </c>
      <c r="B382" t="s">
        <v>3601</v>
      </c>
      <c r="C382" t="s">
        <v>1606</v>
      </c>
      <c r="D382" t="s">
        <v>3607</v>
      </c>
      <c r="E382" t="s">
        <v>3608</v>
      </c>
    </row>
    <row r="383" spans="1:5" x14ac:dyDescent="0.25">
      <c r="A383" t="s">
        <v>3528</v>
      </c>
      <c r="B383" t="s">
        <v>3601</v>
      </c>
      <c r="C383" t="s">
        <v>1216</v>
      </c>
      <c r="D383" t="s">
        <v>3603</v>
      </c>
      <c r="E383" t="s">
        <v>3603</v>
      </c>
    </row>
    <row r="384" spans="1:5" x14ac:dyDescent="0.25">
      <c r="A384" t="s">
        <v>3528</v>
      </c>
      <c r="B384" t="s">
        <v>3601</v>
      </c>
      <c r="C384" t="s">
        <v>2532</v>
      </c>
      <c r="D384" t="s">
        <v>3607</v>
      </c>
      <c r="E384" t="s">
        <v>3608</v>
      </c>
    </row>
    <row r="385" spans="1:5" x14ac:dyDescent="0.25">
      <c r="A385" t="s">
        <v>3528</v>
      </c>
      <c r="B385" t="s">
        <v>3601</v>
      </c>
      <c r="C385" t="s">
        <v>2105</v>
      </c>
      <c r="D385" t="s">
        <v>3606</v>
      </c>
      <c r="E385" t="s">
        <v>3609</v>
      </c>
    </row>
    <row r="386" spans="1:5" x14ac:dyDescent="0.25">
      <c r="A386" t="s">
        <v>3528</v>
      </c>
      <c r="B386" t="s">
        <v>3601</v>
      </c>
      <c r="C386" t="s">
        <v>971</v>
      </c>
      <c r="D386" t="s">
        <v>3602</v>
      </c>
      <c r="E386" t="s">
        <v>3603</v>
      </c>
    </row>
    <row r="387" spans="1:5" x14ac:dyDescent="0.25">
      <c r="A387" t="s">
        <v>3528</v>
      </c>
      <c r="B387" t="s">
        <v>3601</v>
      </c>
      <c r="C387" t="s">
        <v>1534</v>
      </c>
      <c r="D387" t="s">
        <v>3602</v>
      </c>
      <c r="E387" t="s">
        <v>3605</v>
      </c>
    </row>
    <row r="388" spans="1:5" x14ac:dyDescent="0.25">
      <c r="A388" t="s">
        <v>3528</v>
      </c>
      <c r="B388" t="s">
        <v>3601</v>
      </c>
      <c r="C388" t="s">
        <v>2597</v>
      </c>
      <c r="D388" t="s">
        <v>3602</v>
      </c>
      <c r="E388" t="s">
        <v>3603</v>
      </c>
    </row>
    <row r="389" spans="1:5" x14ac:dyDescent="0.25">
      <c r="A389" t="s">
        <v>3528</v>
      </c>
      <c r="B389" t="s">
        <v>3601</v>
      </c>
      <c r="C389" t="s">
        <v>922</v>
      </c>
      <c r="D389" t="s">
        <v>3606</v>
      </c>
      <c r="E389" t="s">
        <v>3605</v>
      </c>
    </row>
    <row r="390" spans="1:5" x14ac:dyDescent="0.25">
      <c r="A390" t="s">
        <v>3528</v>
      </c>
      <c r="B390" t="s">
        <v>3601</v>
      </c>
      <c r="C390" t="s">
        <v>2409</v>
      </c>
      <c r="D390" t="s">
        <v>3603</v>
      </c>
      <c r="E390" t="s">
        <v>3604</v>
      </c>
    </row>
    <row r="391" spans="1:5" x14ac:dyDescent="0.25">
      <c r="A391" t="s">
        <v>3528</v>
      </c>
      <c r="B391" t="s">
        <v>3601</v>
      </c>
      <c r="C391" t="s">
        <v>186</v>
      </c>
      <c r="D391" t="s">
        <v>3606</v>
      </c>
      <c r="E391" t="s">
        <v>3604</v>
      </c>
    </row>
    <row r="392" spans="1:5" x14ac:dyDescent="0.25">
      <c r="A392" t="s">
        <v>3528</v>
      </c>
      <c r="B392" t="s">
        <v>3601</v>
      </c>
      <c r="C392" t="s">
        <v>2654</v>
      </c>
      <c r="D392" t="s">
        <v>3607</v>
      </c>
      <c r="E392" t="s">
        <v>3608</v>
      </c>
    </row>
    <row r="393" spans="1:5" x14ac:dyDescent="0.25">
      <c r="A393" t="s">
        <v>3528</v>
      </c>
      <c r="B393" t="s">
        <v>3610</v>
      </c>
      <c r="C393" t="s">
        <v>2918</v>
      </c>
      <c r="D393" t="s">
        <v>3611</v>
      </c>
      <c r="E393" t="s">
        <v>3608</v>
      </c>
    </row>
    <row r="394" spans="1:5" x14ac:dyDescent="0.25">
      <c r="A394" t="s">
        <v>3528</v>
      </c>
      <c r="B394" t="s">
        <v>3610</v>
      </c>
      <c r="C394" t="s">
        <v>2894</v>
      </c>
      <c r="D394" t="s">
        <v>3607</v>
      </c>
      <c r="E394" t="s">
        <v>3608</v>
      </c>
    </row>
    <row r="395" spans="1:5" x14ac:dyDescent="0.25">
      <c r="A395" t="s">
        <v>3528</v>
      </c>
      <c r="B395" t="s">
        <v>3610</v>
      </c>
      <c r="C395" t="s">
        <v>2907</v>
      </c>
      <c r="D395" t="s">
        <v>3612</v>
      </c>
      <c r="E395" t="s">
        <v>3608</v>
      </c>
    </row>
    <row r="396" spans="1:5" x14ac:dyDescent="0.25">
      <c r="A396" t="s">
        <v>3528</v>
      </c>
      <c r="B396" t="s">
        <v>3610</v>
      </c>
      <c r="C396" t="s">
        <v>2980</v>
      </c>
      <c r="D396" t="s">
        <v>3612</v>
      </c>
      <c r="E396" t="s">
        <v>3608</v>
      </c>
    </row>
    <row r="397" spans="1:5" x14ac:dyDescent="0.25">
      <c r="A397" t="s">
        <v>3528</v>
      </c>
      <c r="B397" t="s">
        <v>3610</v>
      </c>
      <c r="C397" t="s">
        <v>2948</v>
      </c>
      <c r="D397" t="s">
        <v>3606</v>
      </c>
      <c r="E397" t="s">
        <v>3608</v>
      </c>
    </row>
    <row r="398" spans="1:5" x14ac:dyDescent="0.25">
      <c r="A398" t="s">
        <v>3529</v>
      </c>
      <c r="B398" t="s">
        <v>3601</v>
      </c>
      <c r="C398" t="s">
        <v>1558</v>
      </c>
      <c r="D398" t="s">
        <v>3602</v>
      </c>
      <c r="E398" t="s">
        <v>3603</v>
      </c>
    </row>
    <row r="399" spans="1:5" x14ac:dyDescent="0.25">
      <c r="A399" t="s">
        <v>3529</v>
      </c>
      <c r="B399" t="s">
        <v>3601</v>
      </c>
      <c r="C399" t="s">
        <v>2669</v>
      </c>
      <c r="D399" t="s">
        <v>3602</v>
      </c>
      <c r="E399" t="s">
        <v>3604</v>
      </c>
    </row>
    <row r="400" spans="1:5" x14ac:dyDescent="0.25">
      <c r="A400" t="s">
        <v>3529</v>
      </c>
      <c r="B400" t="s">
        <v>3601</v>
      </c>
      <c r="C400" t="s">
        <v>312</v>
      </c>
      <c r="D400" t="s">
        <v>3607</v>
      </c>
      <c r="E400" t="s">
        <v>3608</v>
      </c>
    </row>
    <row r="401" spans="1:5" x14ac:dyDescent="0.25">
      <c r="A401" t="s">
        <v>3529</v>
      </c>
      <c r="B401" t="s">
        <v>3601</v>
      </c>
      <c r="C401" t="s">
        <v>2075</v>
      </c>
      <c r="D401" t="s">
        <v>3606</v>
      </c>
      <c r="E401" t="s">
        <v>3604</v>
      </c>
    </row>
    <row r="402" spans="1:5" x14ac:dyDescent="0.25">
      <c r="A402" t="s">
        <v>3529</v>
      </c>
      <c r="B402" t="s">
        <v>3601</v>
      </c>
      <c r="C402" t="s">
        <v>1871</v>
      </c>
      <c r="D402" t="s">
        <v>3606</v>
      </c>
      <c r="E402" t="s">
        <v>3609</v>
      </c>
    </row>
    <row r="403" spans="1:5" x14ac:dyDescent="0.25">
      <c r="A403" t="s">
        <v>3529</v>
      </c>
      <c r="B403" t="s">
        <v>3601</v>
      </c>
      <c r="C403" t="s">
        <v>2506</v>
      </c>
      <c r="D403" t="s">
        <v>3606</v>
      </c>
      <c r="E403" t="s">
        <v>3609</v>
      </c>
    </row>
    <row r="404" spans="1:5" x14ac:dyDescent="0.25">
      <c r="A404" t="s">
        <v>3529</v>
      </c>
      <c r="B404" t="s">
        <v>3601</v>
      </c>
      <c r="C404" t="s">
        <v>1418</v>
      </c>
      <c r="D404" t="s">
        <v>3602</v>
      </c>
      <c r="E404" t="s">
        <v>3604</v>
      </c>
    </row>
    <row r="405" spans="1:5" x14ac:dyDescent="0.25">
      <c r="A405" t="s">
        <v>3529</v>
      </c>
      <c r="B405" t="s">
        <v>3601</v>
      </c>
      <c r="C405" t="s">
        <v>1394</v>
      </c>
      <c r="D405" t="s">
        <v>3603</v>
      </c>
      <c r="E405" t="s">
        <v>3605</v>
      </c>
    </row>
    <row r="406" spans="1:5" x14ac:dyDescent="0.25">
      <c r="A406" t="s">
        <v>3529</v>
      </c>
      <c r="B406" t="s">
        <v>3601</v>
      </c>
      <c r="C406" t="s">
        <v>2858</v>
      </c>
      <c r="D406" t="s">
        <v>3603</v>
      </c>
      <c r="E406" t="s">
        <v>3609</v>
      </c>
    </row>
    <row r="407" spans="1:5" x14ac:dyDescent="0.25">
      <c r="A407" t="s">
        <v>3529</v>
      </c>
      <c r="B407" t="s">
        <v>3601</v>
      </c>
      <c r="C407" t="s">
        <v>1095</v>
      </c>
      <c r="D407" t="s">
        <v>3606</v>
      </c>
      <c r="E407" t="s">
        <v>3609</v>
      </c>
    </row>
    <row r="408" spans="1:5" x14ac:dyDescent="0.25">
      <c r="A408" t="s">
        <v>3529</v>
      </c>
      <c r="B408" t="s">
        <v>3601</v>
      </c>
      <c r="C408" t="s">
        <v>1617</v>
      </c>
      <c r="D408" t="s">
        <v>3602</v>
      </c>
      <c r="E408" t="s">
        <v>3605</v>
      </c>
    </row>
    <row r="409" spans="1:5" x14ac:dyDescent="0.25">
      <c r="A409" t="s">
        <v>3529</v>
      </c>
      <c r="B409" t="s">
        <v>3601</v>
      </c>
      <c r="C409" t="s">
        <v>1836</v>
      </c>
      <c r="D409" t="s">
        <v>3607</v>
      </c>
      <c r="E409" t="s">
        <v>3608</v>
      </c>
    </row>
    <row r="410" spans="1:5" x14ac:dyDescent="0.25">
      <c r="A410" t="s">
        <v>3529</v>
      </c>
      <c r="B410" t="s">
        <v>3601</v>
      </c>
      <c r="C410" t="s">
        <v>1358</v>
      </c>
      <c r="D410" t="s">
        <v>3606</v>
      </c>
      <c r="E410" t="s">
        <v>3605</v>
      </c>
    </row>
    <row r="411" spans="1:5" x14ac:dyDescent="0.25">
      <c r="A411" t="s">
        <v>3529</v>
      </c>
      <c r="B411" t="s">
        <v>3601</v>
      </c>
      <c r="C411" t="s">
        <v>2340</v>
      </c>
      <c r="D411" t="s">
        <v>3607</v>
      </c>
      <c r="E411" t="s">
        <v>3608</v>
      </c>
    </row>
    <row r="412" spans="1:5" x14ac:dyDescent="0.25">
      <c r="A412" t="s">
        <v>3529</v>
      </c>
      <c r="B412" t="s">
        <v>3601</v>
      </c>
      <c r="C412" t="s">
        <v>733</v>
      </c>
      <c r="D412" t="s">
        <v>3602</v>
      </c>
      <c r="E412" t="s">
        <v>3603</v>
      </c>
    </row>
    <row r="413" spans="1:5" x14ac:dyDescent="0.25">
      <c r="A413" t="s">
        <v>3529</v>
      </c>
      <c r="B413" t="s">
        <v>3601</v>
      </c>
      <c r="C413" t="s">
        <v>1586</v>
      </c>
      <c r="D413" t="s">
        <v>3607</v>
      </c>
      <c r="E413" t="s">
        <v>3608</v>
      </c>
    </row>
    <row r="414" spans="1:5" x14ac:dyDescent="0.25">
      <c r="A414" t="s">
        <v>3529</v>
      </c>
      <c r="B414" t="s">
        <v>3601</v>
      </c>
      <c r="C414" t="s">
        <v>1678</v>
      </c>
      <c r="D414" t="s">
        <v>3603</v>
      </c>
      <c r="E414" t="s">
        <v>3603</v>
      </c>
    </row>
    <row r="415" spans="1:5" x14ac:dyDescent="0.25">
      <c r="A415" t="s">
        <v>3529</v>
      </c>
      <c r="B415" t="s">
        <v>3601</v>
      </c>
      <c r="C415" t="s">
        <v>960</v>
      </c>
      <c r="D415" t="s">
        <v>3607</v>
      </c>
      <c r="E415" t="s">
        <v>3608</v>
      </c>
    </row>
    <row r="416" spans="1:5" x14ac:dyDescent="0.25">
      <c r="A416" t="s">
        <v>3529</v>
      </c>
      <c r="B416" t="s">
        <v>3601</v>
      </c>
      <c r="C416" t="s">
        <v>771</v>
      </c>
      <c r="D416" t="s">
        <v>3603</v>
      </c>
      <c r="E416" t="s">
        <v>3605</v>
      </c>
    </row>
    <row r="417" spans="1:5" x14ac:dyDescent="0.25">
      <c r="A417" t="s">
        <v>3529</v>
      </c>
      <c r="B417" t="s">
        <v>3601</v>
      </c>
      <c r="C417" t="s">
        <v>509</v>
      </c>
      <c r="D417" t="s">
        <v>3602</v>
      </c>
      <c r="E417" t="s">
        <v>3604</v>
      </c>
    </row>
    <row r="418" spans="1:5" x14ac:dyDescent="0.25">
      <c r="A418" t="s">
        <v>3529</v>
      </c>
      <c r="B418" t="s">
        <v>3601</v>
      </c>
      <c r="C418" t="s">
        <v>542</v>
      </c>
      <c r="D418" t="s">
        <v>3603</v>
      </c>
      <c r="E418" t="s">
        <v>3609</v>
      </c>
    </row>
    <row r="419" spans="1:5" x14ac:dyDescent="0.25">
      <c r="A419" t="s">
        <v>3529</v>
      </c>
      <c r="B419" t="s">
        <v>3601</v>
      </c>
      <c r="C419" t="s">
        <v>1974</v>
      </c>
      <c r="D419" t="s">
        <v>3606</v>
      </c>
      <c r="E419" t="s">
        <v>3609</v>
      </c>
    </row>
    <row r="420" spans="1:5" x14ac:dyDescent="0.25">
      <c r="A420" t="s">
        <v>3529</v>
      </c>
      <c r="B420" t="s">
        <v>3601</v>
      </c>
      <c r="C420" t="s">
        <v>1211</v>
      </c>
      <c r="D420" t="s">
        <v>3606</v>
      </c>
      <c r="E420" t="s">
        <v>3604</v>
      </c>
    </row>
    <row r="421" spans="1:5" x14ac:dyDescent="0.25">
      <c r="A421" t="s">
        <v>3529</v>
      </c>
      <c r="B421" t="s">
        <v>3601</v>
      </c>
      <c r="C421" t="s">
        <v>2684</v>
      </c>
      <c r="D421" t="s">
        <v>3607</v>
      </c>
      <c r="E421" t="s">
        <v>3608</v>
      </c>
    </row>
    <row r="422" spans="1:5" x14ac:dyDescent="0.25">
      <c r="A422" t="s">
        <v>3529</v>
      </c>
      <c r="B422" t="s">
        <v>3601</v>
      </c>
      <c r="C422" t="s">
        <v>2301</v>
      </c>
      <c r="D422" t="s">
        <v>3602</v>
      </c>
      <c r="E422" t="s">
        <v>3609</v>
      </c>
    </row>
    <row r="423" spans="1:5" x14ac:dyDescent="0.25">
      <c r="A423" t="s">
        <v>3529</v>
      </c>
      <c r="B423" t="s">
        <v>3601</v>
      </c>
      <c r="C423" t="s">
        <v>2838</v>
      </c>
      <c r="D423" t="s">
        <v>3607</v>
      </c>
      <c r="E423" t="s">
        <v>3608</v>
      </c>
    </row>
    <row r="424" spans="1:5" x14ac:dyDescent="0.25">
      <c r="A424" t="s">
        <v>3529</v>
      </c>
      <c r="B424" t="s">
        <v>3601</v>
      </c>
      <c r="C424" t="s">
        <v>1090</v>
      </c>
      <c r="D424" t="s">
        <v>3603</v>
      </c>
      <c r="E424" t="s">
        <v>3603</v>
      </c>
    </row>
    <row r="425" spans="1:5" x14ac:dyDescent="0.25">
      <c r="A425" t="s">
        <v>3529</v>
      </c>
      <c r="B425" t="s">
        <v>3601</v>
      </c>
      <c r="C425" t="s">
        <v>450</v>
      </c>
      <c r="D425" t="s">
        <v>3606</v>
      </c>
      <c r="E425" t="s">
        <v>3605</v>
      </c>
    </row>
    <row r="426" spans="1:5" x14ac:dyDescent="0.25">
      <c r="A426" t="s">
        <v>3529</v>
      </c>
      <c r="B426" t="s">
        <v>3601</v>
      </c>
      <c r="C426" t="s">
        <v>1468</v>
      </c>
      <c r="D426" t="s">
        <v>3603</v>
      </c>
      <c r="E426" t="s">
        <v>3609</v>
      </c>
    </row>
    <row r="427" spans="1:5" x14ac:dyDescent="0.25">
      <c r="A427" t="s">
        <v>3529</v>
      </c>
      <c r="B427" t="s">
        <v>3601</v>
      </c>
      <c r="C427" t="s">
        <v>2281</v>
      </c>
      <c r="D427" t="s">
        <v>3606</v>
      </c>
      <c r="E427" t="s">
        <v>3609</v>
      </c>
    </row>
    <row r="428" spans="1:5" x14ac:dyDescent="0.25">
      <c r="A428" t="s">
        <v>3529</v>
      </c>
      <c r="B428" t="s">
        <v>3601</v>
      </c>
      <c r="C428" t="s">
        <v>2394</v>
      </c>
      <c r="D428" t="s">
        <v>3602</v>
      </c>
      <c r="E428" t="s">
        <v>3605</v>
      </c>
    </row>
    <row r="429" spans="1:5" x14ac:dyDescent="0.25">
      <c r="A429" t="s">
        <v>3529</v>
      </c>
      <c r="B429" t="s">
        <v>3601</v>
      </c>
      <c r="C429" t="s">
        <v>469</v>
      </c>
      <c r="D429" t="s">
        <v>3603</v>
      </c>
      <c r="E429" t="s">
        <v>3609</v>
      </c>
    </row>
    <row r="430" spans="1:5" x14ac:dyDescent="0.25">
      <c r="A430" t="s">
        <v>3529</v>
      </c>
      <c r="B430" t="s">
        <v>3601</v>
      </c>
      <c r="C430" t="s">
        <v>1912</v>
      </c>
      <c r="D430" t="s">
        <v>3603</v>
      </c>
      <c r="E430" t="s">
        <v>3603</v>
      </c>
    </row>
    <row r="431" spans="1:5" x14ac:dyDescent="0.25">
      <c r="A431" t="s">
        <v>3529</v>
      </c>
      <c r="B431" t="s">
        <v>3601</v>
      </c>
      <c r="C431" t="s">
        <v>2183</v>
      </c>
      <c r="D431" t="s">
        <v>3607</v>
      </c>
      <c r="E431" t="s">
        <v>3608</v>
      </c>
    </row>
    <row r="432" spans="1:5" x14ac:dyDescent="0.25">
      <c r="A432" t="s">
        <v>3529</v>
      </c>
      <c r="B432" t="s">
        <v>3601</v>
      </c>
      <c r="C432" t="s">
        <v>1161</v>
      </c>
      <c r="D432" t="s">
        <v>3607</v>
      </c>
      <c r="E432" t="s">
        <v>3608</v>
      </c>
    </row>
    <row r="433" spans="1:5" x14ac:dyDescent="0.25">
      <c r="A433" t="s">
        <v>3529</v>
      </c>
      <c r="B433" t="s">
        <v>3601</v>
      </c>
      <c r="C433" t="s">
        <v>2542</v>
      </c>
      <c r="D433" t="s">
        <v>3602</v>
      </c>
      <c r="E433" t="s">
        <v>3609</v>
      </c>
    </row>
    <row r="434" spans="1:5" x14ac:dyDescent="0.25">
      <c r="A434" t="s">
        <v>3529</v>
      </c>
      <c r="B434" t="s">
        <v>3601</v>
      </c>
      <c r="C434" t="s">
        <v>1800</v>
      </c>
      <c r="D434" t="s">
        <v>3607</v>
      </c>
      <c r="E434" t="s">
        <v>3608</v>
      </c>
    </row>
    <row r="435" spans="1:5" x14ac:dyDescent="0.25">
      <c r="A435" t="s">
        <v>3529</v>
      </c>
      <c r="B435" t="s">
        <v>3601</v>
      </c>
      <c r="C435" t="s">
        <v>2567</v>
      </c>
      <c r="D435" t="s">
        <v>3602</v>
      </c>
      <c r="E435" t="s">
        <v>3609</v>
      </c>
    </row>
    <row r="436" spans="1:5" x14ac:dyDescent="0.25">
      <c r="A436" t="s">
        <v>3529</v>
      </c>
      <c r="B436" t="s">
        <v>3601</v>
      </c>
      <c r="C436" t="s">
        <v>1666</v>
      </c>
      <c r="D436" t="s">
        <v>3602</v>
      </c>
      <c r="E436" t="s">
        <v>3603</v>
      </c>
    </row>
    <row r="437" spans="1:5" x14ac:dyDescent="0.25">
      <c r="A437" t="s">
        <v>3529</v>
      </c>
      <c r="B437" t="s">
        <v>3601</v>
      </c>
      <c r="C437" t="s">
        <v>2122</v>
      </c>
      <c r="D437" t="s">
        <v>3602</v>
      </c>
      <c r="E437" t="s">
        <v>3609</v>
      </c>
    </row>
    <row r="438" spans="1:5" x14ac:dyDescent="0.25">
      <c r="A438" t="s">
        <v>3529</v>
      </c>
      <c r="B438" t="s">
        <v>3601</v>
      </c>
      <c r="C438" t="s">
        <v>333</v>
      </c>
      <c r="D438" t="s">
        <v>3607</v>
      </c>
      <c r="E438" t="s">
        <v>3608</v>
      </c>
    </row>
    <row r="439" spans="1:5" x14ac:dyDescent="0.25">
      <c r="A439" t="s">
        <v>3529</v>
      </c>
      <c r="B439" t="s">
        <v>3601</v>
      </c>
      <c r="C439" t="s">
        <v>2263</v>
      </c>
      <c r="D439" t="s">
        <v>3607</v>
      </c>
      <c r="E439" t="s">
        <v>3608</v>
      </c>
    </row>
    <row r="440" spans="1:5" x14ac:dyDescent="0.25">
      <c r="A440" t="s">
        <v>3529</v>
      </c>
      <c r="B440" t="s">
        <v>3601</v>
      </c>
      <c r="C440" t="s">
        <v>18</v>
      </c>
      <c r="D440" t="s">
        <v>3603</v>
      </c>
      <c r="E440" t="s">
        <v>3604</v>
      </c>
    </row>
    <row r="441" spans="1:5" x14ac:dyDescent="0.25">
      <c r="A441" t="s">
        <v>3529</v>
      </c>
      <c r="B441" t="s">
        <v>3601</v>
      </c>
      <c r="C441" t="s">
        <v>705</v>
      </c>
      <c r="D441" t="s">
        <v>3602</v>
      </c>
      <c r="E441" t="s">
        <v>3604</v>
      </c>
    </row>
    <row r="442" spans="1:5" x14ac:dyDescent="0.25">
      <c r="A442" t="s">
        <v>3529</v>
      </c>
      <c r="B442" t="s">
        <v>3601</v>
      </c>
      <c r="C442" t="s">
        <v>1100</v>
      </c>
      <c r="D442" t="s">
        <v>3602</v>
      </c>
      <c r="E442" t="s">
        <v>3603</v>
      </c>
    </row>
    <row r="443" spans="1:5" x14ac:dyDescent="0.25">
      <c r="A443" t="s">
        <v>3529</v>
      </c>
      <c r="B443" t="s">
        <v>3601</v>
      </c>
      <c r="C443" t="s">
        <v>1746</v>
      </c>
      <c r="D443" t="s">
        <v>3606</v>
      </c>
      <c r="E443" t="s">
        <v>3603</v>
      </c>
    </row>
    <row r="444" spans="1:5" x14ac:dyDescent="0.25">
      <c r="A444" t="s">
        <v>3529</v>
      </c>
      <c r="B444" t="s">
        <v>3601</v>
      </c>
      <c r="C444" t="s">
        <v>1299</v>
      </c>
      <c r="D444" t="s">
        <v>3606</v>
      </c>
      <c r="E444" t="s">
        <v>3609</v>
      </c>
    </row>
    <row r="445" spans="1:5" x14ac:dyDescent="0.25">
      <c r="A445" t="s">
        <v>3529</v>
      </c>
      <c r="B445" t="s">
        <v>3601</v>
      </c>
      <c r="C445" t="s">
        <v>607</v>
      </c>
      <c r="D445" t="s">
        <v>3606</v>
      </c>
      <c r="E445" t="s">
        <v>3603</v>
      </c>
    </row>
    <row r="446" spans="1:5" x14ac:dyDescent="0.25">
      <c r="A446" t="s">
        <v>3529</v>
      </c>
      <c r="B446" t="s">
        <v>3601</v>
      </c>
      <c r="C446" t="s">
        <v>1612</v>
      </c>
      <c r="D446" t="s">
        <v>3607</v>
      </c>
      <c r="E446" t="s">
        <v>3608</v>
      </c>
    </row>
    <row r="447" spans="1:5" x14ac:dyDescent="0.25">
      <c r="A447" t="s">
        <v>3529</v>
      </c>
      <c r="B447" t="s">
        <v>3601</v>
      </c>
      <c r="C447" t="s">
        <v>1305</v>
      </c>
      <c r="D447" t="s">
        <v>3603</v>
      </c>
      <c r="E447" t="s">
        <v>3609</v>
      </c>
    </row>
    <row r="448" spans="1:5" x14ac:dyDescent="0.25">
      <c r="A448" t="s">
        <v>3529</v>
      </c>
      <c r="B448" t="s">
        <v>3601</v>
      </c>
      <c r="C448" t="s">
        <v>1266</v>
      </c>
      <c r="D448" t="s">
        <v>3606</v>
      </c>
      <c r="E448" t="s">
        <v>3609</v>
      </c>
    </row>
    <row r="449" spans="1:5" x14ac:dyDescent="0.25">
      <c r="A449" t="s">
        <v>3529</v>
      </c>
      <c r="B449" t="s">
        <v>3601</v>
      </c>
      <c r="C449" t="s">
        <v>740</v>
      </c>
      <c r="D449" t="s">
        <v>3606</v>
      </c>
      <c r="E449" t="s">
        <v>3603</v>
      </c>
    </row>
    <row r="450" spans="1:5" x14ac:dyDescent="0.25">
      <c r="A450" t="s">
        <v>3529</v>
      </c>
      <c r="B450" t="s">
        <v>3601</v>
      </c>
      <c r="C450" t="s">
        <v>909</v>
      </c>
      <c r="D450" t="s">
        <v>3607</v>
      </c>
      <c r="E450" t="s">
        <v>3608</v>
      </c>
    </row>
    <row r="451" spans="1:5" x14ac:dyDescent="0.25">
      <c r="A451" t="s">
        <v>3529</v>
      </c>
      <c r="B451" t="s">
        <v>3601</v>
      </c>
      <c r="C451" t="s">
        <v>2238</v>
      </c>
      <c r="D451" t="s">
        <v>3607</v>
      </c>
      <c r="E451" t="s">
        <v>3608</v>
      </c>
    </row>
    <row r="452" spans="1:5" x14ac:dyDescent="0.25">
      <c r="A452" t="s">
        <v>3529</v>
      </c>
      <c r="B452" t="s">
        <v>3601</v>
      </c>
      <c r="C452" t="s">
        <v>2724</v>
      </c>
      <c r="D452" t="s">
        <v>3602</v>
      </c>
      <c r="E452" t="s">
        <v>3605</v>
      </c>
    </row>
    <row r="453" spans="1:5" x14ac:dyDescent="0.25">
      <c r="A453" t="s">
        <v>3529</v>
      </c>
      <c r="B453" t="s">
        <v>3601</v>
      </c>
      <c r="C453" t="s">
        <v>1672</v>
      </c>
      <c r="D453" t="s">
        <v>3607</v>
      </c>
      <c r="E453" t="s">
        <v>3608</v>
      </c>
    </row>
    <row r="454" spans="1:5" x14ac:dyDescent="0.25">
      <c r="A454" t="s">
        <v>3529</v>
      </c>
      <c r="B454" t="s">
        <v>3601</v>
      </c>
      <c r="C454" t="s">
        <v>1852</v>
      </c>
      <c r="D454" t="s">
        <v>3602</v>
      </c>
      <c r="E454" t="s">
        <v>3609</v>
      </c>
    </row>
    <row r="455" spans="1:5" x14ac:dyDescent="0.25">
      <c r="A455" t="s">
        <v>3529</v>
      </c>
      <c r="B455" t="s">
        <v>3601</v>
      </c>
      <c r="C455" t="s">
        <v>2148</v>
      </c>
      <c r="D455" t="s">
        <v>3602</v>
      </c>
      <c r="E455" t="s">
        <v>3609</v>
      </c>
    </row>
    <row r="456" spans="1:5" x14ac:dyDescent="0.25">
      <c r="A456" t="s">
        <v>3529</v>
      </c>
      <c r="B456" t="s">
        <v>3601</v>
      </c>
      <c r="C456" t="s">
        <v>650</v>
      </c>
      <c r="D456" t="s">
        <v>3603</v>
      </c>
      <c r="E456" t="s">
        <v>3609</v>
      </c>
    </row>
    <row r="457" spans="1:5" x14ac:dyDescent="0.25">
      <c r="A457" t="s">
        <v>3529</v>
      </c>
      <c r="B457" t="s">
        <v>3601</v>
      </c>
      <c r="C457" t="s">
        <v>2738</v>
      </c>
      <c r="D457" t="s">
        <v>3607</v>
      </c>
      <c r="E457" t="s">
        <v>3608</v>
      </c>
    </row>
    <row r="458" spans="1:5" x14ac:dyDescent="0.25">
      <c r="A458" t="s">
        <v>3529</v>
      </c>
      <c r="B458" t="s">
        <v>3601</v>
      </c>
      <c r="C458" t="s">
        <v>2381</v>
      </c>
      <c r="D458" t="s">
        <v>3606</v>
      </c>
      <c r="E458" t="s">
        <v>3605</v>
      </c>
    </row>
    <row r="459" spans="1:5" x14ac:dyDescent="0.25">
      <c r="A459" t="s">
        <v>3529</v>
      </c>
      <c r="B459" t="s">
        <v>3601</v>
      </c>
      <c r="C459" t="s">
        <v>1551</v>
      </c>
      <c r="D459" t="s">
        <v>3607</v>
      </c>
      <c r="E459" t="s">
        <v>3608</v>
      </c>
    </row>
    <row r="460" spans="1:5" x14ac:dyDescent="0.25">
      <c r="A460" t="s">
        <v>3529</v>
      </c>
      <c r="B460" t="s">
        <v>3601</v>
      </c>
      <c r="C460" t="s">
        <v>415</v>
      </c>
      <c r="D460" t="s">
        <v>3607</v>
      </c>
      <c r="E460" t="s">
        <v>3608</v>
      </c>
    </row>
    <row r="461" spans="1:5" x14ac:dyDescent="0.25">
      <c r="A461" t="s">
        <v>3529</v>
      </c>
      <c r="B461" t="s">
        <v>3601</v>
      </c>
      <c r="C461" t="s">
        <v>2320</v>
      </c>
      <c r="D461" t="s">
        <v>3607</v>
      </c>
      <c r="E461" t="s">
        <v>3608</v>
      </c>
    </row>
    <row r="462" spans="1:5" x14ac:dyDescent="0.25">
      <c r="A462" t="s">
        <v>3529</v>
      </c>
      <c r="B462" t="s">
        <v>3601</v>
      </c>
      <c r="C462" t="s">
        <v>1684</v>
      </c>
      <c r="D462" t="s">
        <v>3606</v>
      </c>
      <c r="E462" t="s">
        <v>3604</v>
      </c>
    </row>
    <row r="463" spans="1:5" x14ac:dyDescent="0.25">
      <c r="A463" t="s">
        <v>3529</v>
      </c>
      <c r="B463" t="s">
        <v>3601</v>
      </c>
      <c r="C463" t="s">
        <v>107</v>
      </c>
      <c r="D463" t="s">
        <v>3603</v>
      </c>
      <c r="E463" t="s">
        <v>3605</v>
      </c>
    </row>
    <row r="464" spans="1:5" x14ac:dyDescent="0.25">
      <c r="A464" t="s">
        <v>3529</v>
      </c>
      <c r="B464" t="s">
        <v>3601</v>
      </c>
      <c r="C464" t="s">
        <v>1866</v>
      </c>
      <c r="D464" t="s">
        <v>3603</v>
      </c>
      <c r="E464" t="s">
        <v>3603</v>
      </c>
    </row>
    <row r="465" spans="1:5" x14ac:dyDescent="0.25">
      <c r="A465" t="s">
        <v>3529</v>
      </c>
      <c r="B465" t="s">
        <v>3601</v>
      </c>
      <c r="C465" t="s">
        <v>1377</v>
      </c>
      <c r="D465" t="s">
        <v>3603</v>
      </c>
      <c r="E465" t="s">
        <v>3604</v>
      </c>
    </row>
    <row r="466" spans="1:5" x14ac:dyDescent="0.25">
      <c r="A466" t="s">
        <v>3529</v>
      </c>
      <c r="B466" t="s">
        <v>3601</v>
      </c>
      <c r="C466" t="s">
        <v>2674</v>
      </c>
      <c r="D466" t="s">
        <v>3606</v>
      </c>
      <c r="E466" t="s">
        <v>3603</v>
      </c>
    </row>
    <row r="467" spans="1:5" x14ac:dyDescent="0.25">
      <c r="A467" t="s">
        <v>3529</v>
      </c>
      <c r="B467" t="s">
        <v>3601</v>
      </c>
      <c r="C467" t="s">
        <v>1897</v>
      </c>
      <c r="D467" t="s">
        <v>3603</v>
      </c>
      <c r="E467" t="s">
        <v>3603</v>
      </c>
    </row>
    <row r="468" spans="1:5" x14ac:dyDescent="0.25">
      <c r="A468" t="s">
        <v>3529</v>
      </c>
      <c r="B468" t="s">
        <v>3601</v>
      </c>
      <c r="C468" t="s">
        <v>2798</v>
      </c>
      <c r="D468" t="s">
        <v>3602</v>
      </c>
      <c r="E468" t="s">
        <v>3609</v>
      </c>
    </row>
    <row r="469" spans="1:5" x14ac:dyDescent="0.25">
      <c r="A469" t="s">
        <v>3529</v>
      </c>
      <c r="B469" t="s">
        <v>3601</v>
      </c>
      <c r="C469" t="s">
        <v>2069</v>
      </c>
      <c r="D469" t="s">
        <v>3607</v>
      </c>
      <c r="E469" t="s">
        <v>3608</v>
      </c>
    </row>
    <row r="470" spans="1:5" x14ac:dyDescent="0.25">
      <c r="A470" t="s">
        <v>3529</v>
      </c>
      <c r="B470" t="s">
        <v>3601</v>
      </c>
      <c r="C470" t="s">
        <v>2562</v>
      </c>
      <c r="D470" t="s">
        <v>3606</v>
      </c>
      <c r="E470" t="s">
        <v>3604</v>
      </c>
    </row>
    <row r="471" spans="1:5" x14ac:dyDescent="0.25">
      <c r="A471" t="s">
        <v>3529</v>
      </c>
      <c r="B471" t="s">
        <v>3601</v>
      </c>
      <c r="C471" t="s">
        <v>898</v>
      </c>
      <c r="D471" t="s">
        <v>3606</v>
      </c>
      <c r="E471" t="s">
        <v>3603</v>
      </c>
    </row>
    <row r="472" spans="1:5" x14ac:dyDescent="0.25">
      <c r="A472" t="s">
        <v>3529</v>
      </c>
      <c r="B472" t="s">
        <v>3601</v>
      </c>
      <c r="C472" t="s">
        <v>1221</v>
      </c>
      <c r="D472" t="s">
        <v>3603</v>
      </c>
      <c r="E472" t="s">
        <v>3605</v>
      </c>
    </row>
    <row r="473" spans="1:5" x14ac:dyDescent="0.25">
      <c r="A473" t="s">
        <v>3529</v>
      </c>
      <c r="B473" t="s">
        <v>3601</v>
      </c>
      <c r="C473" t="s">
        <v>1784</v>
      </c>
      <c r="D473" t="s">
        <v>3603</v>
      </c>
      <c r="E473" t="s">
        <v>3609</v>
      </c>
    </row>
    <row r="474" spans="1:5" x14ac:dyDescent="0.25">
      <c r="A474" t="s">
        <v>3529</v>
      </c>
      <c r="B474" t="s">
        <v>3601</v>
      </c>
      <c r="C474" t="s">
        <v>1007</v>
      </c>
      <c r="D474" t="s">
        <v>3607</v>
      </c>
      <c r="E474" t="s">
        <v>3608</v>
      </c>
    </row>
    <row r="475" spans="1:5" x14ac:dyDescent="0.25">
      <c r="A475" t="s">
        <v>3529</v>
      </c>
      <c r="B475" t="s">
        <v>3601</v>
      </c>
      <c r="C475" t="s">
        <v>1640</v>
      </c>
      <c r="D475" t="s">
        <v>3606</v>
      </c>
      <c r="E475" t="s">
        <v>3605</v>
      </c>
    </row>
    <row r="476" spans="1:5" x14ac:dyDescent="0.25">
      <c r="A476" t="s">
        <v>3529</v>
      </c>
      <c r="B476" t="s">
        <v>3601</v>
      </c>
      <c r="C476" t="s">
        <v>2223</v>
      </c>
      <c r="D476" t="s">
        <v>3603</v>
      </c>
      <c r="E476" t="s">
        <v>3604</v>
      </c>
    </row>
    <row r="477" spans="1:5" x14ac:dyDescent="0.25">
      <c r="A477" t="s">
        <v>3529</v>
      </c>
      <c r="B477" t="s">
        <v>3601</v>
      </c>
      <c r="C477" t="s">
        <v>443</v>
      </c>
      <c r="D477" t="s">
        <v>3603</v>
      </c>
      <c r="E477" t="s">
        <v>3609</v>
      </c>
    </row>
    <row r="478" spans="1:5" x14ac:dyDescent="0.25">
      <c r="A478" t="s">
        <v>3529</v>
      </c>
      <c r="B478" t="s">
        <v>3601</v>
      </c>
      <c r="C478" t="s">
        <v>2454</v>
      </c>
      <c r="D478" t="s">
        <v>3602</v>
      </c>
      <c r="E478" t="s">
        <v>3604</v>
      </c>
    </row>
    <row r="479" spans="1:5" x14ac:dyDescent="0.25">
      <c r="A479" t="s">
        <v>3529</v>
      </c>
      <c r="B479" t="s">
        <v>3601</v>
      </c>
      <c r="C479" t="s">
        <v>77</v>
      </c>
      <c r="D479" t="s">
        <v>3602</v>
      </c>
      <c r="E479" t="s">
        <v>3605</v>
      </c>
    </row>
    <row r="480" spans="1:5" x14ac:dyDescent="0.25">
      <c r="A480" t="s">
        <v>3529</v>
      </c>
      <c r="B480" t="s">
        <v>3601</v>
      </c>
      <c r="C480" t="s">
        <v>372</v>
      </c>
      <c r="D480" t="s">
        <v>3602</v>
      </c>
      <c r="E480" t="s">
        <v>3603</v>
      </c>
    </row>
    <row r="481" spans="1:5" x14ac:dyDescent="0.25">
      <c r="A481" t="s">
        <v>3529</v>
      </c>
      <c r="B481" t="s">
        <v>3601</v>
      </c>
      <c r="C481" t="s">
        <v>2464</v>
      </c>
      <c r="D481" t="s">
        <v>3602</v>
      </c>
      <c r="E481" t="s">
        <v>3604</v>
      </c>
    </row>
    <row r="482" spans="1:5" x14ac:dyDescent="0.25">
      <c r="A482" t="s">
        <v>3529</v>
      </c>
      <c r="B482" t="s">
        <v>3601</v>
      </c>
      <c r="C482" t="s">
        <v>2168</v>
      </c>
      <c r="D482" t="s">
        <v>3606</v>
      </c>
      <c r="E482" t="s">
        <v>3609</v>
      </c>
    </row>
    <row r="483" spans="1:5" x14ac:dyDescent="0.25">
      <c r="A483" t="s">
        <v>3529</v>
      </c>
      <c r="B483" t="s">
        <v>3601</v>
      </c>
      <c r="C483" t="s">
        <v>2350</v>
      </c>
      <c r="D483" t="s">
        <v>3602</v>
      </c>
      <c r="E483" t="s">
        <v>3605</v>
      </c>
    </row>
    <row r="484" spans="1:5" x14ac:dyDescent="0.25">
      <c r="A484" t="s">
        <v>3529</v>
      </c>
      <c r="B484" t="s">
        <v>3601</v>
      </c>
      <c r="C484" t="s">
        <v>243</v>
      </c>
      <c r="D484" t="s">
        <v>3606</v>
      </c>
      <c r="E484" t="s">
        <v>3609</v>
      </c>
    </row>
    <row r="485" spans="1:5" x14ac:dyDescent="0.25">
      <c r="A485" t="s">
        <v>3529</v>
      </c>
      <c r="B485" t="s">
        <v>3601</v>
      </c>
      <c r="C485" t="s">
        <v>2527</v>
      </c>
      <c r="D485" t="s">
        <v>3606</v>
      </c>
      <c r="E485" t="s">
        <v>3604</v>
      </c>
    </row>
    <row r="486" spans="1:5" x14ac:dyDescent="0.25">
      <c r="A486" t="s">
        <v>3529</v>
      </c>
      <c r="B486" t="s">
        <v>3610</v>
      </c>
      <c r="C486" t="s">
        <v>2887</v>
      </c>
      <c r="D486" t="s">
        <v>3606</v>
      </c>
      <c r="E486" t="s">
        <v>3608</v>
      </c>
    </row>
    <row r="487" spans="1:5" x14ac:dyDescent="0.25">
      <c r="A487" t="s">
        <v>3529</v>
      </c>
      <c r="B487" t="s">
        <v>3610</v>
      </c>
      <c r="C487" t="s">
        <v>2924</v>
      </c>
      <c r="D487" t="s">
        <v>3611</v>
      </c>
      <c r="E487" t="s">
        <v>3608</v>
      </c>
    </row>
    <row r="488" spans="1:5" x14ac:dyDescent="0.25">
      <c r="A488" t="s">
        <v>3529</v>
      </c>
      <c r="B488" t="s">
        <v>3610</v>
      </c>
      <c r="C488" t="s">
        <v>2980</v>
      </c>
      <c r="D488" t="s">
        <v>3612</v>
      </c>
      <c r="E488" t="s">
        <v>3608</v>
      </c>
    </row>
    <row r="489" spans="1:5" x14ac:dyDescent="0.25">
      <c r="A489" t="s">
        <v>3529</v>
      </c>
      <c r="B489" t="s">
        <v>3610</v>
      </c>
      <c r="C489" t="s">
        <v>2960</v>
      </c>
      <c r="D489" t="s">
        <v>3606</v>
      </c>
      <c r="E489" t="s">
        <v>3608</v>
      </c>
    </row>
    <row r="490" spans="1:5" x14ac:dyDescent="0.25">
      <c r="A490" t="s">
        <v>3529</v>
      </c>
      <c r="B490" t="s">
        <v>3610</v>
      </c>
      <c r="C490" t="s">
        <v>2943</v>
      </c>
      <c r="D490" t="s">
        <v>3612</v>
      </c>
      <c r="E490" t="s">
        <v>3608</v>
      </c>
    </row>
    <row r="491" spans="1:5" x14ac:dyDescent="0.25">
      <c r="A491" t="s">
        <v>3529</v>
      </c>
      <c r="B491" t="s">
        <v>3610</v>
      </c>
      <c r="C491" t="s">
        <v>2907</v>
      </c>
      <c r="D491" t="s">
        <v>3611</v>
      </c>
      <c r="E491" t="s">
        <v>3608</v>
      </c>
    </row>
    <row r="492" spans="1:5" x14ac:dyDescent="0.25">
      <c r="A492" t="s">
        <v>3532</v>
      </c>
      <c r="B492" t="s">
        <v>3601</v>
      </c>
      <c r="C492" t="s">
        <v>1399</v>
      </c>
      <c r="D492" t="s">
        <v>3602</v>
      </c>
      <c r="E492" t="s">
        <v>3604</v>
      </c>
    </row>
    <row r="493" spans="1:5" x14ac:dyDescent="0.25">
      <c r="A493" t="s">
        <v>3532</v>
      </c>
      <c r="B493" t="s">
        <v>3601</v>
      </c>
      <c r="C493" t="s">
        <v>443</v>
      </c>
      <c r="D493" t="s">
        <v>3603</v>
      </c>
      <c r="E493" t="s">
        <v>3609</v>
      </c>
    </row>
    <row r="494" spans="1:5" x14ac:dyDescent="0.25">
      <c r="A494" t="s">
        <v>3532</v>
      </c>
      <c r="B494" t="s">
        <v>3601</v>
      </c>
      <c r="C494" t="s">
        <v>2704</v>
      </c>
      <c r="D494" t="s">
        <v>3606</v>
      </c>
      <c r="E494" t="s">
        <v>3603</v>
      </c>
    </row>
    <row r="495" spans="1:5" x14ac:dyDescent="0.25">
      <c r="A495" t="s">
        <v>3532</v>
      </c>
      <c r="B495" t="s">
        <v>3601</v>
      </c>
      <c r="C495" t="s">
        <v>1791</v>
      </c>
      <c r="D495" t="s">
        <v>3607</v>
      </c>
      <c r="E495" t="s">
        <v>3608</v>
      </c>
    </row>
    <row r="496" spans="1:5" x14ac:dyDescent="0.25">
      <c r="A496" t="s">
        <v>3532</v>
      </c>
      <c r="B496" t="s">
        <v>3601</v>
      </c>
      <c r="C496" t="s">
        <v>1116</v>
      </c>
      <c r="D496" t="s">
        <v>3602</v>
      </c>
      <c r="E496" t="s">
        <v>3603</v>
      </c>
    </row>
    <row r="497" spans="1:5" x14ac:dyDescent="0.25">
      <c r="A497" t="s">
        <v>3532</v>
      </c>
      <c r="B497" t="s">
        <v>3601</v>
      </c>
      <c r="C497" t="s">
        <v>711</v>
      </c>
      <c r="D497" t="s">
        <v>3602</v>
      </c>
      <c r="E497" t="s">
        <v>3609</v>
      </c>
    </row>
    <row r="498" spans="1:5" x14ac:dyDescent="0.25">
      <c r="A498" t="s">
        <v>3532</v>
      </c>
      <c r="B498" t="s">
        <v>3601</v>
      </c>
      <c r="C498" t="s">
        <v>2394</v>
      </c>
      <c r="D498" t="s">
        <v>3607</v>
      </c>
      <c r="E498" t="s">
        <v>3608</v>
      </c>
    </row>
    <row r="499" spans="1:5" x14ac:dyDescent="0.25">
      <c r="A499" t="s">
        <v>3532</v>
      </c>
      <c r="B499" t="s">
        <v>3601</v>
      </c>
      <c r="C499" t="s">
        <v>2748</v>
      </c>
      <c r="D499" t="s">
        <v>3606</v>
      </c>
      <c r="E499" t="s">
        <v>3605</v>
      </c>
    </row>
    <row r="500" spans="1:5" x14ac:dyDescent="0.25">
      <c r="A500" t="s">
        <v>3532</v>
      </c>
      <c r="B500" t="s">
        <v>3601</v>
      </c>
      <c r="C500" t="s">
        <v>1917</v>
      </c>
      <c r="D500" t="s">
        <v>3607</v>
      </c>
      <c r="E500" t="s">
        <v>3608</v>
      </c>
    </row>
    <row r="501" spans="1:5" x14ac:dyDescent="0.25">
      <c r="A501" t="s">
        <v>3532</v>
      </c>
      <c r="B501" t="s">
        <v>3601</v>
      </c>
      <c r="C501" t="s">
        <v>2542</v>
      </c>
      <c r="D501" t="s">
        <v>3606</v>
      </c>
      <c r="E501" t="s">
        <v>3603</v>
      </c>
    </row>
    <row r="502" spans="1:5" x14ac:dyDescent="0.25">
      <c r="A502" t="s">
        <v>3532</v>
      </c>
      <c r="B502" t="s">
        <v>3601</v>
      </c>
      <c r="C502" t="s">
        <v>1237</v>
      </c>
      <c r="D502" t="s">
        <v>3602</v>
      </c>
      <c r="E502" t="s">
        <v>3609</v>
      </c>
    </row>
    <row r="503" spans="1:5" x14ac:dyDescent="0.25">
      <c r="A503" t="s">
        <v>3532</v>
      </c>
      <c r="B503" t="s">
        <v>3601</v>
      </c>
      <c r="C503" t="s">
        <v>107</v>
      </c>
      <c r="D503" t="s">
        <v>3607</v>
      </c>
      <c r="E503" t="s">
        <v>3608</v>
      </c>
    </row>
    <row r="504" spans="1:5" x14ac:dyDescent="0.25">
      <c r="A504" t="s">
        <v>3532</v>
      </c>
      <c r="B504" t="s">
        <v>3601</v>
      </c>
      <c r="C504" t="s">
        <v>2376</v>
      </c>
      <c r="D504" t="s">
        <v>3606</v>
      </c>
      <c r="E504" t="s">
        <v>3605</v>
      </c>
    </row>
    <row r="505" spans="1:5" x14ac:dyDescent="0.25">
      <c r="A505" t="s">
        <v>3532</v>
      </c>
      <c r="B505" t="s">
        <v>3601</v>
      </c>
      <c r="C505" t="s">
        <v>571</v>
      </c>
      <c r="D505" t="s">
        <v>3607</v>
      </c>
      <c r="E505" t="s">
        <v>3608</v>
      </c>
    </row>
    <row r="506" spans="1:5" x14ac:dyDescent="0.25">
      <c r="A506" t="s">
        <v>3532</v>
      </c>
      <c r="B506" t="s">
        <v>3601</v>
      </c>
      <c r="C506" t="s">
        <v>2105</v>
      </c>
      <c r="D506" t="s">
        <v>3602</v>
      </c>
      <c r="E506" t="s">
        <v>3609</v>
      </c>
    </row>
    <row r="507" spans="1:5" x14ac:dyDescent="0.25">
      <c r="A507" t="s">
        <v>3532</v>
      </c>
      <c r="B507" t="s">
        <v>3601</v>
      </c>
      <c r="C507" t="s">
        <v>898</v>
      </c>
      <c r="D507" t="s">
        <v>3606</v>
      </c>
      <c r="E507" t="s">
        <v>3609</v>
      </c>
    </row>
    <row r="508" spans="1:5" x14ac:dyDescent="0.25">
      <c r="A508" t="s">
        <v>3532</v>
      </c>
      <c r="B508" t="s">
        <v>3601</v>
      </c>
      <c r="C508" t="s">
        <v>2644</v>
      </c>
      <c r="D508" t="s">
        <v>3607</v>
      </c>
      <c r="E508" t="s">
        <v>3608</v>
      </c>
    </row>
    <row r="509" spans="1:5" x14ac:dyDescent="0.25">
      <c r="A509" t="s">
        <v>3532</v>
      </c>
      <c r="B509" t="s">
        <v>3601</v>
      </c>
      <c r="C509" t="s">
        <v>733</v>
      </c>
      <c r="D509" t="s">
        <v>3606</v>
      </c>
      <c r="E509" t="s">
        <v>3605</v>
      </c>
    </row>
    <row r="510" spans="1:5" x14ac:dyDescent="0.25">
      <c r="A510" t="s">
        <v>3532</v>
      </c>
      <c r="B510" t="s">
        <v>3601</v>
      </c>
      <c r="C510" t="s">
        <v>740</v>
      </c>
      <c r="D510" t="s">
        <v>3606</v>
      </c>
      <c r="E510" t="s">
        <v>3604</v>
      </c>
    </row>
    <row r="511" spans="1:5" x14ac:dyDescent="0.25">
      <c r="A511" t="s">
        <v>3532</v>
      </c>
      <c r="B511" t="s">
        <v>3601</v>
      </c>
      <c r="C511" t="s">
        <v>151</v>
      </c>
      <c r="D511" t="s">
        <v>3602</v>
      </c>
      <c r="E511" t="s">
        <v>3609</v>
      </c>
    </row>
    <row r="512" spans="1:5" x14ac:dyDescent="0.25">
      <c r="A512" t="s">
        <v>3532</v>
      </c>
      <c r="B512" t="s">
        <v>3601</v>
      </c>
      <c r="C512" t="s">
        <v>2506</v>
      </c>
      <c r="D512" t="s">
        <v>3607</v>
      </c>
      <c r="E512" t="s">
        <v>3608</v>
      </c>
    </row>
    <row r="513" spans="1:5" x14ac:dyDescent="0.25">
      <c r="A513" t="s">
        <v>3532</v>
      </c>
      <c r="B513" t="s">
        <v>3601</v>
      </c>
      <c r="C513" t="s">
        <v>1002</v>
      </c>
      <c r="D513" t="s">
        <v>3606</v>
      </c>
      <c r="E513" t="s">
        <v>3604</v>
      </c>
    </row>
    <row r="514" spans="1:5" x14ac:dyDescent="0.25">
      <c r="A514" t="s">
        <v>3532</v>
      </c>
      <c r="B514" t="s">
        <v>3601</v>
      </c>
      <c r="C514" t="s">
        <v>1173</v>
      </c>
      <c r="D514" t="s">
        <v>3602</v>
      </c>
      <c r="E514" t="s">
        <v>3604</v>
      </c>
    </row>
    <row r="515" spans="1:5" x14ac:dyDescent="0.25">
      <c r="A515" t="s">
        <v>3532</v>
      </c>
      <c r="B515" t="s">
        <v>3601</v>
      </c>
      <c r="C515" t="s">
        <v>484</v>
      </c>
      <c r="D515" t="s">
        <v>3606</v>
      </c>
      <c r="E515" t="s">
        <v>3605</v>
      </c>
    </row>
    <row r="516" spans="1:5" x14ac:dyDescent="0.25">
      <c r="A516" t="s">
        <v>3532</v>
      </c>
      <c r="B516" t="s">
        <v>3601</v>
      </c>
      <c r="C516" t="s">
        <v>243</v>
      </c>
      <c r="D516" t="s">
        <v>3603</v>
      </c>
      <c r="E516" t="s">
        <v>3603</v>
      </c>
    </row>
    <row r="517" spans="1:5" x14ac:dyDescent="0.25">
      <c r="A517" t="s">
        <v>3532</v>
      </c>
      <c r="B517" t="s">
        <v>3601</v>
      </c>
      <c r="C517" t="s">
        <v>304</v>
      </c>
      <c r="D517" t="s">
        <v>3602</v>
      </c>
      <c r="E517" t="s">
        <v>3603</v>
      </c>
    </row>
    <row r="518" spans="1:5" x14ac:dyDescent="0.25">
      <c r="A518" t="s">
        <v>3532</v>
      </c>
      <c r="B518" t="s">
        <v>3601</v>
      </c>
      <c r="C518" t="s">
        <v>2669</v>
      </c>
      <c r="D518" t="s">
        <v>3602</v>
      </c>
      <c r="E518" t="s">
        <v>3605</v>
      </c>
    </row>
    <row r="519" spans="1:5" x14ac:dyDescent="0.25">
      <c r="A519" t="s">
        <v>3532</v>
      </c>
      <c r="B519" t="s">
        <v>3601</v>
      </c>
      <c r="C519" t="s">
        <v>2193</v>
      </c>
      <c r="D519" t="s">
        <v>3607</v>
      </c>
      <c r="E519" t="s">
        <v>3608</v>
      </c>
    </row>
    <row r="520" spans="1:5" x14ac:dyDescent="0.25">
      <c r="A520" t="s">
        <v>3532</v>
      </c>
      <c r="B520" t="s">
        <v>3601</v>
      </c>
      <c r="C520" t="s">
        <v>2699</v>
      </c>
      <c r="D520" t="s">
        <v>3603</v>
      </c>
      <c r="E520" t="s">
        <v>3603</v>
      </c>
    </row>
    <row r="521" spans="1:5" x14ac:dyDescent="0.25">
      <c r="A521" t="s">
        <v>3532</v>
      </c>
      <c r="B521" t="s">
        <v>3601</v>
      </c>
      <c r="C521" t="s">
        <v>1862</v>
      </c>
      <c r="D521" t="s">
        <v>3603</v>
      </c>
      <c r="E521" t="s">
        <v>3605</v>
      </c>
    </row>
    <row r="522" spans="1:5" x14ac:dyDescent="0.25">
      <c r="A522" t="s">
        <v>3532</v>
      </c>
      <c r="B522" t="s">
        <v>3601</v>
      </c>
      <c r="C522" t="s">
        <v>1311</v>
      </c>
      <c r="D522" t="s">
        <v>3602</v>
      </c>
      <c r="E522" t="s">
        <v>3609</v>
      </c>
    </row>
    <row r="523" spans="1:5" x14ac:dyDescent="0.25">
      <c r="A523" t="s">
        <v>3532</v>
      </c>
      <c r="B523" t="s">
        <v>3601</v>
      </c>
      <c r="C523" t="s">
        <v>587</v>
      </c>
      <c r="D523" t="s">
        <v>3602</v>
      </c>
      <c r="E523" t="s">
        <v>3605</v>
      </c>
    </row>
    <row r="524" spans="1:5" x14ac:dyDescent="0.25">
      <c r="A524" t="s">
        <v>3532</v>
      </c>
      <c r="B524" t="s">
        <v>3601</v>
      </c>
      <c r="C524" t="s">
        <v>1524</v>
      </c>
      <c r="D524" t="s">
        <v>3603</v>
      </c>
      <c r="E524" t="s">
        <v>3609</v>
      </c>
    </row>
    <row r="525" spans="1:5" x14ac:dyDescent="0.25">
      <c r="A525" t="s">
        <v>3532</v>
      </c>
      <c r="B525" t="s">
        <v>3601</v>
      </c>
      <c r="C525" t="s">
        <v>960</v>
      </c>
      <c r="D525" t="s">
        <v>3606</v>
      </c>
      <c r="E525" t="s">
        <v>3603</v>
      </c>
    </row>
    <row r="526" spans="1:5" x14ac:dyDescent="0.25">
      <c r="A526" t="s">
        <v>3532</v>
      </c>
      <c r="B526" t="s">
        <v>3601</v>
      </c>
      <c r="C526" t="s">
        <v>1800</v>
      </c>
      <c r="D526" t="s">
        <v>3606</v>
      </c>
      <c r="E526" t="s">
        <v>3603</v>
      </c>
    </row>
    <row r="527" spans="1:5" x14ac:dyDescent="0.25">
      <c r="A527" t="s">
        <v>3532</v>
      </c>
      <c r="B527" t="s">
        <v>3601</v>
      </c>
      <c r="C527" t="s">
        <v>1449</v>
      </c>
      <c r="D527" t="s">
        <v>3602</v>
      </c>
      <c r="E527" t="s">
        <v>3604</v>
      </c>
    </row>
    <row r="528" spans="1:5" x14ac:dyDescent="0.25">
      <c r="A528" t="s">
        <v>3532</v>
      </c>
      <c r="B528" t="s">
        <v>3601</v>
      </c>
      <c r="C528" t="s">
        <v>1253</v>
      </c>
      <c r="D528" t="s">
        <v>3606</v>
      </c>
      <c r="E528" t="s">
        <v>3609</v>
      </c>
    </row>
    <row r="529" spans="1:5" x14ac:dyDescent="0.25">
      <c r="A529" t="s">
        <v>3532</v>
      </c>
      <c r="B529" t="s">
        <v>3601</v>
      </c>
      <c r="C529" t="s">
        <v>1762</v>
      </c>
      <c r="D529" t="s">
        <v>3603</v>
      </c>
      <c r="E529" t="s">
        <v>3605</v>
      </c>
    </row>
    <row r="530" spans="1:5" x14ac:dyDescent="0.25">
      <c r="A530" t="s">
        <v>3532</v>
      </c>
      <c r="B530" t="s">
        <v>3601</v>
      </c>
      <c r="C530" t="s">
        <v>2272</v>
      </c>
      <c r="D530" t="s">
        <v>3602</v>
      </c>
      <c r="E530" t="s">
        <v>3604</v>
      </c>
    </row>
    <row r="531" spans="1:5" x14ac:dyDescent="0.25">
      <c r="A531" t="s">
        <v>3532</v>
      </c>
      <c r="B531" t="s">
        <v>3601</v>
      </c>
      <c r="C531" t="s">
        <v>1337</v>
      </c>
      <c r="D531" t="s">
        <v>3606</v>
      </c>
      <c r="E531" t="s">
        <v>3609</v>
      </c>
    </row>
    <row r="532" spans="1:5" x14ac:dyDescent="0.25">
      <c r="A532" t="s">
        <v>3532</v>
      </c>
      <c r="B532" t="s">
        <v>3601</v>
      </c>
      <c r="C532" t="s">
        <v>205</v>
      </c>
      <c r="D532" t="s">
        <v>3602</v>
      </c>
      <c r="E532" t="s">
        <v>3603</v>
      </c>
    </row>
    <row r="533" spans="1:5" x14ac:dyDescent="0.25">
      <c r="A533" t="s">
        <v>3532</v>
      </c>
      <c r="B533" t="s">
        <v>3601</v>
      </c>
      <c r="C533" t="s">
        <v>728</v>
      </c>
      <c r="D533" t="s">
        <v>3607</v>
      </c>
      <c r="E533" t="s">
        <v>3608</v>
      </c>
    </row>
    <row r="534" spans="1:5" x14ac:dyDescent="0.25">
      <c r="A534" t="s">
        <v>3532</v>
      </c>
      <c r="B534" t="s">
        <v>3601</v>
      </c>
      <c r="C534" t="s">
        <v>496</v>
      </c>
      <c r="D534" t="s">
        <v>3603</v>
      </c>
      <c r="E534" t="s">
        <v>3604</v>
      </c>
    </row>
    <row r="535" spans="1:5" x14ac:dyDescent="0.25">
      <c r="A535" t="s">
        <v>3532</v>
      </c>
      <c r="B535" t="s">
        <v>3601</v>
      </c>
      <c r="C535" t="s">
        <v>2613</v>
      </c>
      <c r="D535" t="s">
        <v>3602</v>
      </c>
      <c r="E535" t="s">
        <v>3603</v>
      </c>
    </row>
    <row r="536" spans="1:5" x14ac:dyDescent="0.25">
      <c r="A536" t="s">
        <v>3532</v>
      </c>
      <c r="B536" t="s">
        <v>3601</v>
      </c>
      <c r="C536" t="s">
        <v>1332</v>
      </c>
      <c r="D536" t="s">
        <v>3602</v>
      </c>
      <c r="E536" t="s">
        <v>3609</v>
      </c>
    </row>
    <row r="537" spans="1:5" x14ac:dyDescent="0.25">
      <c r="A537" t="s">
        <v>3532</v>
      </c>
      <c r="B537" t="s">
        <v>3601</v>
      </c>
      <c r="C537" t="s">
        <v>1646</v>
      </c>
      <c r="D537" t="s">
        <v>3606</v>
      </c>
      <c r="E537" t="s">
        <v>3605</v>
      </c>
    </row>
    <row r="538" spans="1:5" x14ac:dyDescent="0.25">
      <c r="A538" t="s">
        <v>3532</v>
      </c>
      <c r="B538" t="s">
        <v>3601</v>
      </c>
      <c r="C538" t="s">
        <v>1178</v>
      </c>
      <c r="D538" t="s">
        <v>3607</v>
      </c>
      <c r="E538" t="s">
        <v>3608</v>
      </c>
    </row>
    <row r="539" spans="1:5" x14ac:dyDescent="0.25">
      <c r="A539" t="s">
        <v>3532</v>
      </c>
      <c r="B539" t="s">
        <v>3601</v>
      </c>
      <c r="C539" t="s">
        <v>1271</v>
      </c>
      <c r="D539" t="s">
        <v>3602</v>
      </c>
      <c r="E539" t="s">
        <v>3609</v>
      </c>
    </row>
    <row r="540" spans="1:5" x14ac:dyDescent="0.25">
      <c r="A540" t="s">
        <v>3532</v>
      </c>
      <c r="B540" t="s">
        <v>3601</v>
      </c>
      <c r="C540" t="s">
        <v>1299</v>
      </c>
      <c r="D540" t="s">
        <v>3606</v>
      </c>
      <c r="E540" t="s">
        <v>3609</v>
      </c>
    </row>
    <row r="541" spans="1:5" x14ac:dyDescent="0.25">
      <c r="A541" t="s">
        <v>3534</v>
      </c>
      <c r="B541" t="s">
        <v>3601</v>
      </c>
      <c r="C541" t="s">
        <v>1922</v>
      </c>
      <c r="D541" t="s">
        <v>3602</v>
      </c>
      <c r="E541" t="s">
        <v>3609</v>
      </c>
    </row>
    <row r="542" spans="1:5" x14ac:dyDescent="0.25">
      <c r="A542" t="s">
        <v>3534</v>
      </c>
      <c r="B542" t="s">
        <v>3601</v>
      </c>
      <c r="C542" t="s">
        <v>516</v>
      </c>
      <c r="D542" t="s">
        <v>3606</v>
      </c>
      <c r="E542" t="s">
        <v>3605</v>
      </c>
    </row>
    <row r="543" spans="1:5" x14ac:dyDescent="0.25">
      <c r="A543" t="s">
        <v>3534</v>
      </c>
      <c r="B543" t="s">
        <v>3601</v>
      </c>
      <c r="C543" t="s">
        <v>2674</v>
      </c>
      <c r="D543" t="s">
        <v>3602</v>
      </c>
      <c r="E543" t="s">
        <v>3603</v>
      </c>
    </row>
    <row r="544" spans="1:5" x14ac:dyDescent="0.25">
      <c r="A544" t="s">
        <v>3534</v>
      </c>
      <c r="B544" t="s">
        <v>3601</v>
      </c>
      <c r="C544" t="s">
        <v>1299</v>
      </c>
      <c r="D544" t="s">
        <v>3606</v>
      </c>
      <c r="E544" t="s">
        <v>3609</v>
      </c>
    </row>
    <row r="545" spans="1:5" x14ac:dyDescent="0.25">
      <c r="A545" t="s">
        <v>3534</v>
      </c>
      <c r="B545" t="s">
        <v>3601</v>
      </c>
      <c r="C545" t="s">
        <v>2877</v>
      </c>
      <c r="D545" t="s">
        <v>3602</v>
      </c>
      <c r="E545" t="s">
        <v>3609</v>
      </c>
    </row>
    <row r="546" spans="1:5" x14ac:dyDescent="0.25">
      <c r="A546" t="s">
        <v>3534</v>
      </c>
      <c r="B546" t="s">
        <v>3601</v>
      </c>
      <c r="C546" t="s">
        <v>1311</v>
      </c>
      <c r="D546" t="s">
        <v>3602</v>
      </c>
      <c r="E546" t="s">
        <v>3609</v>
      </c>
    </row>
    <row r="547" spans="1:5" x14ac:dyDescent="0.25">
      <c r="A547" t="s">
        <v>3534</v>
      </c>
      <c r="B547" t="s">
        <v>3601</v>
      </c>
      <c r="C547" t="s">
        <v>1337</v>
      </c>
      <c r="D547" t="s">
        <v>3603</v>
      </c>
      <c r="E547" t="s">
        <v>3605</v>
      </c>
    </row>
    <row r="548" spans="1:5" x14ac:dyDescent="0.25">
      <c r="A548" t="s">
        <v>3534</v>
      </c>
      <c r="B548" t="s">
        <v>3601</v>
      </c>
      <c r="C548" t="s">
        <v>2793</v>
      </c>
      <c r="D548" t="s">
        <v>3606</v>
      </c>
      <c r="E548" t="s">
        <v>3603</v>
      </c>
    </row>
    <row r="549" spans="1:5" x14ac:dyDescent="0.25">
      <c r="A549" t="s">
        <v>3534</v>
      </c>
      <c r="B549" t="s">
        <v>3601</v>
      </c>
      <c r="C549" t="s">
        <v>778</v>
      </c>
      <c r="D549" t="s">
        <v>3602</v>
      </c>
      <c r="E549" t="s">
        <v>3604</v>
      </c>
    </row>
    <row r="550" spans="1:5" x14ac:dyDescent="0.25">
      <c r="A550" t="s">
        <v>3534</v>
      </c>
      <c r="B550" t="s">
        <v>3601</v>
      </c>
      <c r="C550" t="s">
        <v>1601</v>
      </c>
      <c r="D550" t="s">
        <v>3607</v>
      </c>
      <c r="E550" t="s">
        <v>3608</v>
      </c>
    </row>
    <row r="551" spans="1:5" x14ac:dyDescent="0.25">
      <c r="A551" t="s">
        <v>3534</v>
      </c>
      <c r="B551" t="s">
        <v>3601</v>
      </c>
      <c r="C551" t="s">
        <v>1846</v>
      </c>
      <c r="D551" t="s">
        <v>3603</v>
      </c>
      <c r="E551" t="s">
        <v>3603</v>
      </c>
    </row>
    <row r="552" spans="1:5" x14ac:dyDescent="0.25">
      <c r="A552" t="s">
        <v>3534</v>
      </c>
      <c r="B552" t="s">
        <v>3601</v>
      </c>
      <c r="C552" t="s">
        <v>2578</v>
      </c>
      <c r="D552" t="s">
        <v>3603</v>
      </c>
      <c r="E552" t="s">
        <v>3603</v>
      </c>
    </row>
    <row r="553" spans="1:5" x14ac:dyDescent="0.25">
      <c r="A553" t="s">
        <v>3534</v>
      </c>
      <c r="B553" t="s">
        <v>3601</v>
      </c>
      <c r="C553" t="s">
        <v>2032</v>
      </c>
      <c r="D553" t="s">
        <v>3606</v>
      </c>
      <c r="E553" t="s">
        <v>3603</v>
      </c>
    </row>
    <row r="554" spans="1:5" x14ac:dyDescent="0.25">
      <c r="A554" t="s">
        <v>3534</v>
      </c>
      <c r="B554" t="s">
        <v>3601</v>
      </c>
      <c r="C554" t="s">
        <v>2694</v>
      </c>
      <c r="D554" t="s">
        <v>3603</v>
      </c>
      <c r="E554" t="s">
        <v>3603</v>
      </c>
    </row>
    <row r="555" spans="1:5" x14ac:dyDescent="0.25">
      <c r="A555" t="s">
        <v>3534</v>
      </c>
      <c r="B555" t="s">
        <v>3601</v>
      </c>
      <c r="C555" t="s">
        <v>2862</v>
      </c>
      <c r="D555" t="s">
        <v>3603</v>
      </c>
      <c r="E555" t="s">
        <v>3604</v>
      </c>
    </row>
    <row r="556" spans="1:5" x14ac:dyDescent="0.25">
      <c r="A556" t="s">
        <v>3534</v>
      </c>
      <c r="B556" t="s">
        <v>3601</v>
      </c>
      <c r="C556" t="s">
        <v>2361</v>
      </c>
      <c r="D556" t="s">
        <v>3607</v>
      </c>
      <c r="E556" t="s">
        <v>3608</v>
      </c>
    </row>
    <row r="557" spans="1:5" x14ac:dyDescent="0.25">
      <c r="A557" t="s">
        <v>3534</v>
      </c>
      <c r="B557" t="s">
        <v>3601</v>
      </c>
      <c r="C557" t="s">
        <v>852</v>
      </c>
      <c r="D557" t="s">
        <v>3603</v>
      </c>
      <c r="E557" t="s">
        <v>3603</v>
      </c>
    </row>
    <row r="558" spans="1:5" x14ac:dyDescent="0.25">
      <c r="A558" t="s">
        <v>3534</v>
      </c>
      <c r="B558" t="s">
        <v>3601</v>
      </c>
      <c r="C558" t="s">
        <v>2394</v>
      </c>
      <c r="D558" t="s">
        <v>3606</v>
      </c>
      <c r="E558" t="s">
        <v>3605</v>
      </c>
    </row>
    <row r="559" spans="1:5" x14ac:dyDescent="0.25">
      <c r="A559" t="s">
        <v>3534</v>
      </c>
      <c r="B559" t="s">
        <v>3601</v>
      </c>
      <c r="C559" t="s">
        <v>1596</v>
      </c>
      <c r="D559" t="s">
        <v>3607</v>
      </c>
      <c r="E559" t="s">
        <v>3608</v>
      </c>
    </row>
    <row r="560" spans="1:5" x14ac:dyDescent="0.25">
      <c r="A560" t="s">
        <v>3534</v>
      </c>
      <c r="B560" t="s">
        <v>3601</v>
      </c>
      <c r="C560" t="s">
        <v>821</v>
      </c>
      <c r="D560" t="s">
        <v>3606</v>
      </c>
      <c r="E560" t="s">
        <v>3605</v>
      </c>
    </row>
    <row r="561" spans="1:5" x14ac:dyDescent="0.25">
      <c r="A561" t="s">
        <v>3534</v>
      </c>
      <c r="B561" t="s">
        <v>3601</v>
      </c>
      <c r="C561" t="s">
        <v>1791</v>
      </c>
      <c r="D561" t="s">
        <v>3607</v>
      </c>
      <c r="E561" t="s">
        <v>3608</v>
      </c>
    </row>
    <row r="562" spans="1:5" x14ac:dyDescent="0.25">
      <c r="A562" t="s">
        <v>3534</v>
      </c>
      <c r="B562" t="s">
        <v>3601</v>
      </c>
      <c r="C562" t="s">
        <v>1689</v>
      </c>
      <c r="D562" t="s">
        <v>3602</v>
      </c>
      <c r="E562" t="s">
        <v>3609</v>
      </c>
    </row>
    <row r="563" spans="1:5" x14ac:dyDescent="0.25">
      <c r="A563" t="s">
        <v>3534</v>
      </c>
      <c r="B563" t="s">
        <v>3601</v>
      </c>
      <c r="C563" t="s">
        <v>496</v>
      </c>
      <c r="D563" t="s">
        <v>3602</v>
      </c>
      <c r="E563" t="s">
        <v>3605</v>
      </c>
    </row>
    <row r="564" spans="1:5" x14ac:dyDescent="0.25">
      <c r="A564" t="s">
        <v>3534</v>
      </c>
      <c r="B564" t="s">
        <v>3601</v>
      </c>
      <c r="C564" t="s">
        <v>2709</v>
      </c>
      <c r="D564" t="s">
        <v>3607</v>
      </c>
      <c r="E564" t="s">
        <v>3608</v>
      </c>
    </row>
    <row r="565" spans="1:5" x14ac:dyDescent="0.25">
      <c r="A565" t="s">
        <v>3534</v>
      </c>
      <c r="B565" t="s">
        <v>3601</v>
      </c>
      <c r="C565" t="s">
        <v>740</v>
      </c>
      <c r="D565" t="s">
        <v>3606</v>
      </c>
      <c r="E565" t="s">
        <v>3604</v>
      </c>
    </row>
    <row r="566" spans="1:5" x14ac:dyDescent="0.25">
      <c r="A566" t="s">
        <v>3534</v>
      </c>
      <c r="B566" t="s">
        <v>3601</v>
      </c>
      <c r="C566" t="s">
        <v>941</v>
      </c>
      <c r="D566" t="s">
        <v>3602</v>
      </c>
      <c r="E566" t="s">
        <v>3605</v>
      </c>
    </row>
    <row r="567" spans="1:5" x14ac:dyDescent="0.25">
      <c r="A567" t="s">
        <v>3534</v>
      </c>
      <c r="B567" t="s">
        <v>3601</v>
      </c>
      <c r="C567" t="s">
        <v>1204</v>
      </c>
      <c r="D567" t="s">
        <v>3602</v>
      </c>
      <c r="E567" t="s">
        <v>3604</v>
      </c>
    </row>
    <row r="568" spans="1:5" x14ac:dyDescent="0.25">
      <c r="A568" t="s">
        <v>3534</v>
      </c>
      <c r="B568" t="s">
        <v>3601</v>
      </c>
      <c r="C568" t="s">
        <v>1570</v>
      </c>
      <c r="D568" t="s">
        <v>3607</v>
      </c>
      <c r="E568" t="s">
        <v>3608</v>
      </c>
    </row>
    <row r="569" spans="1:5" x14ac:dyDescent="0.25">
      <c r="A569" t="s">
        <v>3534</v>
      </c>
      <c r="B569" t="s">
        <v>3601</v>
      </c>
      <c r="C569" t="s">
        <v>1558</v>
      </c>
      <c r="D569" t="s">
        <v>3603</v>
      </c>
      <c r="E569" t="s">
        <v>3605</v>
      </c>
    </row>
    <row r="570" spans="1:5" x14ac:dyDescent="0.25">
      <c r="A570" t="s">
        <v>3534</v>
      </c>
      <c r="B570" t="s">
        <v>3601</v>
      </c>
      <c r="C570" t="s">
        <v>356</v>
      </c>
      <c r="D570" t="s">
        <v>3603</v>
      </c>
      <c r="E570" t="s">
        <v>3603</v>
      </c>
    </row>
    <row r="571" spans="1:5" x14ac:dyDescent="0.25">
      <c r="A571" t="s">
        <v>3534</v>
      </c>
      <c r="B571" t="s">
        <v>3601</v>
      </c>
      <c r="C571" t="s">
        <v>2808</v>
      </c>
      <c r="D571" t="s">
        <v>3606</v>
      </c>
      <c r="E571" t="s">
        <v>3605</v>
      </c>
    </row>
    <row r="572" spans="1:5" x14ac:dyDescent="0.25">
      <c r="A572" t="s">
        <v>3534</v>
      </c>
      <c r="B572" t="s">
        <v>3610</v>
      </c>
      <c r="C572" t="s">
        <v>2887</v>
      </c>
      <c r="D572" t="s">
        <v>3607</v>
      </c>
      <c r="E572" t="s">
        <v>3608</v>
      </c>
    </row>
    <row r="573" spans="1:5" x14ac:dyDescent="0.25">
      <c r="A573" t="s">
        <v>3537</v>
      </c>
      <c r="B573" t="s">
        <v>3601</v>
      </c>
      <c r="C573" t="s">
        <v>2198</v>
      </c>
      <c r="D573" t="s">
        <v>3607</v>
      </c>
      <c r="E573" t="s">
        <v>3608</v>
      </c>
    </row>
    <row r="574" spans="1:5" x14ac:dyDescent="0.25">
      <c r="A574" t="s">
        <v>3537</v>
      </c>
      <c r="B574" t="s">
        <v>3601</v>
      </c>
      <c r="C574" t="s">
        <v>677</v>
      </c>
      <c r="D574" t="s">
        <v>3602</v>
      </c>
      <c r="E574" t="s">
        <v>3605</v>
      </c>
    </row>
    <row r="575" spans="1:5" x14ac:dyDescent="0.25">
      <c r="A575" t="s">
        <v>3537</v>
      </c>
      <c r="B575" t="s">
        <v>3601</v>
      </c>
      <c r="C575" t="s">
        <v>289</v>
      </c>
      <c r="D575" t="s">
        <v>3606</v>
      </c>
      <c r="E575" t="s">
        <v>3609</v>
      </c>
    </row>
    <row r="576" spans="1:5" x14ac:dyDescent="0.25">
      <c r="A576" t="s">
        <v>3537</v>
      </c>
      <c r="B576" t="s">
        <v>3601</v>
      </c>
      <c r="C576" t="s">
        <v>1784</v>
      </c>
      <c r="D576" t="s">
        <v>3603</v>
      </c>
      <c r="E576" t="s">
        <v>3603</v>
      </c>
    </row>
    <row r="577" spans="1:5" x14ac:dyDescent="0.25">
      <c r="A577" t="s">
        <v>3537</v>
      </c>
      <c r="B577" t="s">
        <v>3601</v>
      </c>
      <c r="C577" t="s">
        <v>1508</v>
      </c>
      <c r="D577" t="s">
        <v>3603</v>
      </c>
      <c r="E577" t="s">
        <v>3604</v>
      </c>
    </row>
    <row r="578" spans="1:5" x14ac:dyDescent="0.25">
      <c r="A578" t="s">
        <v>3537</v>
      </c>
      <c r="B578" t="s">
        <v>3601</v>
      </c>
      <c r="C578" t="s">
        <v>2512</v>
      </c>
      <c r="D578" t="s">
        <v>3602</v>
      </c>
      <c r="E578" t="s">
        <v>3605</v>
      </c>
    </row>
    <row r="579" spans="1:5" x14ac:dyDescent="0.25">
      <c r="A579" t="s">
        <v>3537</v>
      </c>
      <c r="B579" t="s">
        <v>3601</v>
      </c>
      <c r="C579" t="s">
        <v>2454</v>
      </c>
      <c r="D579" t="s">
        <v>3607</v>
      </c>
      <c r="E579" t="s">
        <v>3608</v>
      </c>
    </row>
    <row r="580" spans="1:5" x14ac:dyDescent="0.25">
      <c r="A580" t="s">
        <v>3537</v>
      </c>
      <c r="B580" t="s">
        <v>3601</v>
      </c>
      <c r="C580" t="s">
        <v>522</v>
      </c>
      <c r="D580" t="s">
        <v>3607</v>
      </c>
      <c r="E580" t="s">
        <v>3608</v>
      </c>
    </row>
    <row r="581" spans="1:5" x14ac:dyDescent="0.25">
      <c r="A581" t="s">
        <v>3537</v>
      </c>
      <c r="B581" t="s">
        <v>3601</v>
      </c>
      <c r="C581" t="s">
        <v>2193</v>
      </c>
      <c r="D581" t="s">
        <v>3602</v>
      </c>
      <c r="E581" t="s">
        <v>3609</v>
      </c>
    </row>
    <row r="582" spans="1:5" x14ac:dyDescent="0.25">
      <c r="A582" t="s">
        <v>3537</v>
      </c>
      <c r="B582" t="s">
        <v>3601</v>
      </c>
      <c r="C582" t="s">
        <v>2371</v>
      </c>
      <c r="D582" t="s">
        <v>3602</v>
      </c>
      <c r="E582" t="s">
        <v>3605</v>
      </c>
    </row>
    <row r="583" spans="1:5" x14ac:dyDescent="0.25">
      <c r="A583" t="s">
        <v>3537</v>
      </c>
      <c r="B583" t="s">
        <v>3601</v>
      </c>
      <c r="C583" t="s">
        <v>751</v>
      </c>
      <c r="D583" t="s">
        <v>3602</v>
      </c>
      <c r="E583" t="s">
        <v>3603</v>
      </c>
    </row>
    <row r="584" spans="1:5" x14ac:dyDescent="0.25">
      <c r="A584" t="s">
        <v>3537</v>
      </c>
      <c r="B584" t="s">
        <v>3601</v>
      </c>
      <c r="C584" t="s">
        <v>2494</v>
      </c>
      <c r="D584" t="s">
        <v>3602</v>
      </c>
      <c r="E584" t="s">
        <v>3604</v>
      </c>
    </row>
    <row r="585" spans="1:5" x14ac:dyDescent="0.25">
      <c r="A585" t="s">
        <v>3537</v>
      </c>
      <c r="B585" t="s">
        <v>3601</v>
      </c>
      <c r="C585" t="s">
        <v>2768</v>
      </c>
      <c r="D585" t="s">
        <v>3602</v>
      </c>
      <c r="E585" t="s">
        <v>3605</v>
      </c>
    </row>
    <row r="586" spans="1:5" x14ac:dyDescent="0.25">
      <c r="A586" t="s">
        <v>3537</v>
      </c>
      <c r="B586" t="s">
        <v>3601</v>
      </c>
      <c r="C586" t="s">
        <v>1927</v>
      </c>
      <c r="D586" t="s">
        <v>3603</v>
      </c>
      <c r="E586" t="s">
        <v>3609</v>
      </c>
    </row>
    <row r="587" spans="1:5" x14ac:dyDescent="0.25">
      <c r="A587" t="s">
        <v>3537</v>
      </c>
      <c r="B587" t="s">
        <v>3601</v>
      </c>
      <c r="C587" t="s">
        <v>1661</v>
      </c>
      <c r="D587" t="s">
        <v>3607</v>
      </c>
      <c r="E587" t="s">
        <v>3608</v>
      </c>
    </row>
    <row r="588" spans="1:5" x14ac:dyDescent="0.25">
      <c r="A588" t="s">
        <v>3537</v>
      </c>
      <c r="B588" t="s">
        <v>3601</v>
      </c>
      <c r="C588" t="s">
        <v>2469</v>
      </c>
      <c r="D588" t="s">
        <v>3607</v>
      </c>
      <c r="E588" t="s">
        <v>3608</v>
      </c>
    </row>
    <row r="589" spans="1:5" x14ac:dyDescent="0.25">
      <c r="A589" t="s">
        <v>3537</v>
      </c>
      <c r="B589" t="s">
        <v>3601</v>
      </c>
      <c r="C589" t="s">
        <v>2143</v>
      </c>
      <c r="D589" t="s">
        <v>3603</v>
      </c>
      <c r="E589" t="s">
        <v>3609</v>
      </c>
    </row>
    <row r="590" spans="1:5" x14ac:dyDescent="0.25">
      <c r="A590" t="s">
        <v>3537</v>
      </c>
      <c r="B590" t="s">
        <v>3601</v>
      </c>
      <c r="C590" t="s">
        <v>2291</v>
      </c>
      <c r="D590" t="s">
        <v>3606</v>
      </c>
      <c r="E590" t="s">
        <v>3605</v>
      </c>
    </row>
    <row r="591" spans="1:5" x14ac:dyDescent="0.25">
      <c r="A591" t="s">
        <v>3537</v>
      </c>
      <c r="B591" t="s">
        <v>3601</v>
      </c>
      <c r="C591" t="s">
        <v>2679</v>
      </c>
      <c r="D591" t="s">
        <v>3603</v>
      </c>
      <c r="E591" t="s">
        <v>3609</v>
      </c>
    </row>
    <row r="592" spans="1:5" x14ac:dyDescent="0.25">
      <c r="A592" t="s">
        <v>3537</v>
      </c>
      <c r="B592" t="s">
        <v>3601</v>
      </c>
      <c r="C592" t="s">
        <v>250</v>
      </c>
      <c r="D592" t="s">
        <v>3602</v>
      </c>
      <c r="E592" t="s">
        <v>3603</v>
      </c>
    </row>
    <row r="593" spans="1:5" x14ac:dyDescent="0.25">
      <c r="A593" t="s">
        <v>3537</v>
      </c>
      <c r="B593" t="s">
        <v>3601</v>
      </c>
      <c r="C593" t="s">
        <v>2659</v>
      </c>
      <c r="D593" t="s">
        <v>3607</v>
      </c>
      <c r="E593" t="s">
        <v>3608</v>
      </c>
    </row>
    <row r="594" spans="1:5" x14ac:dyDescent="0.25">
      <c r="A594" t="s">
        <v>3537</v>
      </c>
      <c r="B594" t="s">
        <v>3601</v>
      </c>
      <c r="C594" t="s">
        <v>1791</v>
      </c>
      <c r="D594" t="s">
        <v>3603</v>
      </c>
      <c r="E594" t="s">
        <v>3604</v>
      </c>
    </row>
    <row r="595" spans="1:5" x14ac:dyDescent="0.25">
      <c r="A595" t="s">
        <v>3537</v>
      </c>
      <c r="B595" t="s">
        <v>3601</v>
      </c>
      <c r="C595" t="s">
        <v>2562</v>
      </c>
      <c r="D595" t="s">
        <v>3602</v>
      </c>
      <c r="E595" t="s">
        <v>3605</v>
      </c>
    </row>
    <row r="596" spans="1:5" x14ac:dyDescent="0.25">
      <c r="A596" t="s">
        <v>3537</v>
      </c>
      <c r="B596" t="s">
        <v>3601</v>
      </c>
      <c r="C596" t="s">
        <v>2188</v>
      </c>
      <c r="D596" t="s">
        <v>3603</v>
      </c>
      <c r="E596" t="s">
        <v>3603</v>
      </c>
    </row>
    <row r="597" spans="1:5" x14ac:dyDescent="0.25">
      <c r="A597" t="s">
        <v>3537</v>
      </c>
      <c r="B597" t="s">
        <v>3601</v>
      </c>
      <c r="C597" t="s">
        <v>1183</v>
      </c>
      <c r="D597" t="s">
        <v>3602</v>
      </c>
      <c r="E597" t="s">
        <v>3603</v>
      </c>
    </row>
    <row r="598" spans="1:5" x14ac:dyDescent="0.25">
      <c r="A598" t="s">
        <v>3537</v>
      </c>
      <c r="B598" t="s">
        <v>3601</v>
      </c>
      <c r="C598" t="s">
        <v>2080</v>
      </c>
      <c r="D598" t="s">
        <v>3603</v>
      </c>
      <c r="E598" t="s">
        <v>3604</v>
      </c>
    </row>
    <row r="599" spans="1:5" x14ac:dyDescent="0.25">
      <c r="A599" t="s">
        <v>3537</v>
      </c>
      <c r="B599" t="s">
        <v>3601</v>
      </c>
      <c r="C599" t="s">
        <v>1444</v>
      </c>
      <c r="D599" t="s">
        <v>3606</v>
      </c>
      <c r="E599" t="s">
        <v>3603</v>
      </c>
    </row>
    <row r="600" spans="1:5" x14ac:dyDescent="0.25">
      <c r="A600" t="s">
        <v>3537</v>
      </c>
      <c r="B600" t="s">
        <v>3601</v>
      </c>
      <c r="C600" t="s">
        <v>1012</v>
      </c>
      <c r="D600" t="s">
        <v>3603</v>
      </c>
      <c r="E600" t="s">
        <v>3604</v>
      </c>
    </row>
    <row r="601" spans="1:5" x14ac:dyDescent="0.25">
      <c r="A601" t="s">
        <v>3537</v>
      </c>
      <c r="B601" t="s">
        <v>3601</v>
      </c>
      <c r="C601" t="s">
        <v>971</v>
      </c>
      <c r="D601" t="s">
        <v>3602</v>
      </c>
      <c r="E601" t="s">
        <v>3603</v>
      </c>
    </row>
    <row r="602" spans="1:5" x14ac:dyDescent="0.25">
      <c r="A602" t="s">
        <v>3537</v>
      </c>
      <c r="B602" t="s">
        <v>3601</v>
      </c>
      <c r="C602" t="s">
        <v>2517</v>
      </c>
      <c r="D602" t="s">
        <v>3603</v>
      </c>
      <c r="E602" t="s">
        <v>3605</v>
      </c>
    </row>
    <row r="603" spans="1:5" x14ac:dyDescent="0.25">
      <c r="A603" t="s">
        <v>3537</v>
      </c>
      <c r="B603" t="s">
        <v>3601</v>
      </c>
      <c r="C603" t="s">
        <v>2095</v>
      </c>
      <c r="D603" t="s">
        <v>3603</v>
      </c>
      <c r="E603" t="s">
        <v>3605</v>
      </c>
    </row>
    <row r="604" spans="1:5" x14ac:dyDescent="0.25">
      <c r="A604" t="s">
        <v>3537</v>
      </c>
      <c r="B604" t="s">
        <v>3601</v>
      </c>
      <c r="C604" t="s">
        <v>385</v>
      </c>
      <c r="D604" t="s">
        <v>3606</v>
      </c>
      <c r="E604" t="s">
        <v>3604</v>
      </c>
    </row>
    <row r="605" spans="1:5" x14ac:dyDescent="0.25">
      <c r="A605" t="s">
        <v>3537</v>
      </c>
      <c r="B605" t="s">
        <v>3601</v>
      </c>
      <c r="C605" t="s">
        <v>2808</v>
      </c>
      <c r="D605" t="s">
        <v>3606</v>
      </c>
      <c r="E605" t="s">
        <v>3604</v>
      </c>
    </row>
    <row r="606" spans="1:5" x14ac:dyDescent="0.25">
      <c r="A606" t="s">
        <v>3537</v>
      </c>
      <c r="B606" t="s">
        <v>3601</v>
      </c>
      <c r="C606" t="s">
        <v>2228</v>
      </c>
      <c r="D606" t="s">
        <v>3607</v>
      </c>
      <c r="E606" t="s">
        <v>3608</v>
      </c>
    </row>
    <row r="607" spans="1:5" x14ac:dyDescent="0.25">
      <c r="A607" t="s">
        <v>3537</v>
      </c>
      <c r="B607" t="s">
        <v>3601</v>
      </c>
      <c r="C607" t="s">
        <v>2803</v>
      </c>
      <c r="D607" t="s">
        <v>3607</v>
      </c>
      <c r="E607" t="s">
        <v>3608</v>
      </c>
    </row>
    <row r="608" spans="1:5" x14ac:dyDescent="0.25">
      <c r="A608" t="s">
        <v>3537</v>
      </c>
      <c r="B608" t="s">
        <v>3601</v>
      </c>
      <c r="C608" t="s">
        <v>1558</v>
      </c>
      <c r="D608" t="s">
        <v>3602</v>
      </c>
      <c r="E608" t="s">
        <v>3605</v>
      </c>
    </row>
    <row r="609" spans="1:5" x14ac:dyDescent="0.25">
      <c r="A609" t="s">
        <v>3537</v>
      </c>
      <c r="B609" t="s">
        <v>3601</v>
      </c>
      <c r="C609" t="s">
        <v>1852</v>
      </c>
      <c r="D609" t="s">
        <v>3602</v>
      </c>
      <c r="E609" t="s">
        <v>3605</v>
      </c>
    </row>
    <row r="610" spans="1:5" x14ac:dyDescent="0.25">
      <c r="A610" t="s">
        <v>3537</v>
      </c>
      <c r="B610" t="s">
        <v>3601</v>
      </c>
      <c r="C610" t="s">
        <v>2738</v>
      </c>
      <c r="D610" t="s">
        <v>3603</v>
      </c>
      <c r="E610" t="s">
        <v>3604</v>
      </c>
    </row>
    <row r="611" spans="1:5" x14ac:dyDescent="0.25">
      <c r="A611" t="s">
        <v>3537</v>
      </c>
      <c r="B611" t="s">
        <v>3601</v>
      </c>
      <c r="C611" t="s">
        <v>865</v>
      </c>
      <c r="D611" t="s">
        <v>3607</v>
      </c>
      <c r="E611" t="s">
        <v>3608</v>
      </c>
    </row>
    <row r="612" spans="1:5" x14ac:dyDescent="0.25">
      <c r="A612" t="s">
        <v>3537</v>
      </c>
      <c r="B612" t="s">
        <v>3601</v>
      </c>
      <c r="C612" t="s">
        <v>1866</v>
      </c>
      <c r="D612" t="s">
        <v>3606</v>
      </c>
      <c r="E612" t="s">
        <v>3605</v>
      </c>
    </row>
    <row r="613" spans="1:5" x14ac:dyDescent="0.25">
      <c r="A613" t="s">
        <v>3537</v>
      </c>
      <c r="B613" t="s">
        <v>3601</v>
      </c>
      <c r="C613" t="s">
        <v>1570</v>
      </c>
      <c r="D613" t="s">
        <v>3602</v>
      </c>
      <c r="E613" t="s">
        <v>3605</v>
      </c>
    </row>
    <row r="614" spans="1:5" x14ac:dyDescent="0.25">
      <c r="A614" t="s">
        <v>3537</v>
      </c>
      <c r="B614" t="s">
        <v>3601</v>
      </c>
      <c r="C614" t="s">
        <v>789</v>
      </c>
      <c r="D614" t="s">
        <v>3602</v>
      </c>
      <c r="E614" t="s">
        <v>3605</v>
      </c>
    </row>
    <row r="615" spans="1:5" x14ac:dyDescent="0.25">
      <c r="A615" t="s">
        <v>3537</v>
      </c>
      <c r="B615" t="s">
        <v>3601</v>
      </c>
      <c r="C615" t="s">
        <v>1857</v>
      </c>
      <c r="D615" t="s">
        <v>3606</v>
      </c>
      <c r="E615" t="s">
        <v>3609</v>
      </c>
    </row>
    <row r="616" spans="1:5" x14ac:dyDescent="0.25">
      <c r="A616" t="s">
        <v>3537</v>
      </c>
      <c r="B616" t="s">
        <v>3601</v>
      </c>
      <c r="C616" t="s">
        <v>2733</v>
      </c>
      <c r="D616" t="s">
        <v>3606</v>
      </c>
      <c r="E616" t="s">
        <v>3603</v>
      </c>
    </row>
    <row r="617" spans="1:5" x14ac:dyDescent="0.25">
      <c r="A617" t="s">
        <v>3537</v>
      </c>
      <c r="B617" t="s">
        <v>3601</v>
      </c>
      <c r="C617" t="s">
        <v>852</v>
      </c>
      <c r="D617" t="s">
        <v>3607</v>
      </c>
      <c r="E617" t="s">
        <v>3608</v>
      </c>
    </row>
    <row r="618" spans="1:5" x14ac:dyDescent="0.25">
      <c r="A618" t="s">
        <v>3537</v>
      </c>
      <c r="B618" t="s">
        <v>3601</v>
      </c>
      <c r="C618" t="s">
        <v>1672</v>
      </c>
      <c r="D618" t="s">
        <v>3602</v>
      </c>
      <c r="E618" t="s">
        <v>3605</v>
      </c>
    </row>
    <row r="619" spans="1:5" x14ac:dyDescent="0.25">
      <c r="A619" t="s">
        <v>3537</v>
      </c>
      <c r="B619" t="s">
        <v>3601</v>
      </c>
      <c r="C619" t="s">
        <v>1023</v>
      </c>
      <c r="D619" t="s">
        <v>3606</v>
      </c>
      <c r="E619" t="s">
        <v>3603</v>
      </c>
    </row>
    <row r="620" spans="1:5" x14ac:dyDescent="0.25">
      <c r="A620" t="s">
        <v>3537</v>
      </c>
      <c r="B620" t="s">
        <v>3601</v>
      </c>
      <c r="C620" t="s">
        <v>1842</v>
      </c>
      <c r="D620" t="s">
        <v>3602</v>
      </c>
      <c r="E620" t="s">
        <v>3603</v>
      </c>
    </row>
    <row r="621" spans="1:5" x14ac:dyDescent="0.25">
      <c r="A621" t="s">
        <v>3537</v>
      </c>
      <c r="B621" t="s">
        <v>3601</v>
      </c>
      <c r="C621" t="s">
        <v>1689</v>
      </c>
      <c r="D621" t="s">
        <v>3602</v>
      </c>
      <c r="E621" t="s">
        <v>3609</v>
      </c>
    </row>
    <row r="622" spans="1:5" x14ac:dyDescent="0.25">
      <c r="A622" t="s">
        <v>3537</v>
      </c>
      <c r="B622" t="s">
        <v>3601</v>
      </c>
      <c r="C622" t="s">
        <v>2522</v>
      </c>
      <c r="D622" t="s">
        <v>3606</v>
      </c>
      <c r="E622" t="s">
        <v>3604</v>
      </c>
    </row>
    <row r="623" spans="1:5" x14ac:dyDescent="0.25">
      <c r="A623" t="s">
        <v>3537</v>
      </c>
      <c r="B623" t="s">
        <v>3601</v>
      </c>
      <c r="C623" t="s">
        <v>2709</v>
      </c>
      <c r="D623" t="s">
        <v>3603</v>
      </c>
      <c r="E623" t="s">
        <v>3609</v>
      </c>
    </row>
    <row r="624" spans="1:5" x14ac:dyDescent="0.25">
      <c r="A624" t="s">
        <v>3537</v>
      </c>
      <c r="B624" t="s">
        <v>3601</v>
      </c>
      <c r="C624" t="s">
        <v>1248</v>
      </c>
      <c r="D624" t="s">
        <v>3606</v>
      </c>
      <c r="E624" t="s">
        <v>3603</v>
      </c>
    </row>
    <row r="625" spans="1:5" x14ac:dyDescent="0.25">
      <c r="A625" t="s">
        <v>3537</v>
      </c>
      <c r="B625" t="s">
        <v>3601</v>
      </c>
      <c r="C625" t="s">
        <v>1463</v>
      </c>
      <c r="D625" t="s">
        <v>3602</v>
      </c>
      <c r="E625" t="s">
        <v>3603</v>
      </c>
    </row>
    <row r="626" spans="1:5" x14ac:dyDescent="0.25">
      <c r="A626" t="s">
        <v>3537</v>
      </c>
      <c r="B626" t="s">
        <v>3601</v>
      </c>
      <c r="C626" t="s">
        <v>2259</v>
      </c>
      <c r="D626" t="s">
        <v>3602</v>
      </c>
      <c r="E626" t="s">
        <v>3603</v>
      </c>
    </row>
    <row r="627" spans="1:5" x14ac:dyDescent="0.25">
      <c r="A627" t="s">
        <v>3537</v>
      </c>
      <c r="B627" t="s">
        <v>3601</v>
      </c>
      <c r="C627" t="s">
        <v>2306</v>
      </c>
      <c r="D627" t="s">
        <v>3607</v>
      </c>
      <c r="E627" t="s">
        <v>3608</v>
      </c>
    </row>
    <row r="628" spans="1:5" x14ac:dyDescent="0.25">
      <c r="A628" t="s">
        <v>3537</v>
      </c>
      <c r="B628" t="s">
        <v>3601</v>
      </c>
      <c r="C628" t="s">
        <v>2748</v>
      </c>
      <c r="D628" t="s">
        <v>3603</v>
      </c>
      <c r="E628" t="s">
        <v>3603</v>
      </c>
    </row>
    <row r="629" spans="1:5" x14ac:dyDescent="0.25">
      <c r="A629" t="s">
        <v>3537</v>
      </c>
      <c r="B629" t="s">
        <v>3601</v>
      </c>
      <c r="C629" t="s">
        <v>443</v>
      </c>
      <c r="D629" t="s">
        <v>3602</v>
      </c>
      <c r="E629" t="s">
        <v>3603</v>
      </c>
    </row>
    <row r="630" spans="1:5" x14ac:dyDescent="0.25">
      <c r="A630" t="s">
        <v>3537</v>
      </c>
      <c r="B630" t="s">
        <v>3601</v>
      </c>
      <c r="C630" t="s">
        <v>698</v>
      </c>
      <c r="D630" t="s">
        <v>3603</v>
      </c>
      <c r="E630" t="s">
        <v>3605</v>
      </c>
    </row>
    <row r="631" spans="1:5" x14ac:dyDescent="0.25">
      <c r="A631" t="s">
        <v>3537</v>
      </c>
      <c r="B631" t="s">
        <v>3601</v>
      </c>
      <c r="C631" t="s">
        <v>577</v>
      </c>
      <c r="D631" t="s">
        <v>3606</v>
      </c>
      <c r="E631" t="s">
        <v>3605</v>
      </c>
    </row>
    <row r="632" spans="1:5" x14ac:dyDescent="0.25">
      <c r="A632" t="s">
        <v>3537</v>
      </c>
      <c r="B632" t="s">
        <v>3601</v>
      </c>
      <c r="C632" t="s">
        <v>1731</v>
      </c>
      <c r="D632" t="s">
        <v>3603</v>
      </c>
      <c r="E632" t="s">
        <v>3605</v>
      </c>
    </row>
    <row r="633" spans="1:5" x14ac:dyDescent="0.25">
      <c r="A633" t="s">
        <v>3537</v>
      </c>
      <c r="B633" t="s">
        <v>3601</v>
      </c>
      <c r="C633" t="s">
        <v>228</v>
      </c>
      <c r="D633" t="s">
        <v>3603</v>
      </c>
      <c r="E633" t="s">
        <v>3609</v>
      </c>
    </row>
    <row r="634" spans="1:5" x14ac:dyDescent="0.25">
      <c r="A634" t="s">
        <v>3537</v>
      </c>
      <c r="B634" t="s">
        <v>3601</v>
      </c>
      <c r="C634" t="s">
        <v>372</v>
      </c>
      <c r="D634" t="s">
        <v>3602</v>
      </c>
      <c r="E634" t="s">
        <v>3609</v>
      </c>
    </row>
    <row r="635" spans="1:5" x14ac:dyDescent="0.25">
      <c r="A635" t="s">
        <v>3537</v>
      </c>
      <c r="B635" t="s">
        <v>3601</v>
      </c>
      <c r="C635" t="s">
        <v>1353</v>
      </c>
      <c r="D635" t="s">
        <v>3602</v>
      </c>
      <c r="E635" t="s">
        <v>3604</v>
      </c>
    </row>
    <row r="636" spans="1:5" x14ac:dyDescent="0.25">
      <c r="A636" t="s">
        <v>3537</v>
      </c>
      <c r="B636" t="s">
        <v>3601</v>
      </c>
      <c r="C636" t="s">
        <v>1694</v>
      </c>
      <c r="D636" t="s">
        <v>3607</v>
      </c>
      <c r="E636" t="s">
        <v>3608</v>
      </c>
    </row>
    <row r="637" spans="1:5" x14ac:dyDescent="0.25">
      <c r="A637" t="s">
        <v>3537</v>
      </c>
      <c r="B637" t="s">
        <v>3601</v>
      </c>
      <c r="C637" t="s">
        <v>1365</v>
      </c>
      <c r="D637" t="s">
        <v>3603</v>
      </c>
      <c r="E637" t="s">
        <v>3609</v>
      </c>
    </row>
    <row r="638" spans="1:5" x14ac:dyDescent="0.25">
      <c r="A638" t="s">
        <v>3537</v>
      </c>
      <c r="B638" t="s">
        <v>3601</v>
      </c>
      <c r="C638" t="s">
        <v>1912</v>
      </c>
      <c r="D638" t="s">
        <v>3607</v>
      </c>
      <c r="E638" t="s">
        <v>3608</v>
      </c>
    </row>
    <row r="639" spans="1:5" x14ac:dyDescent="0.25">
      <c r="A639" t="s">
        <v>3537</v>
      </c>
      <c r="B639" t="s">
        <v>3601</v>
      </c>
      <c r="C639" t="s">
        <v>2325</v>
      </c>
      <c r="D639" t="s">
        <v>3606</v>
      </c>
      <c r="E639" t="s">
        <v>3603</v>
      </c>
    </row>
    <row r="640" spans="1:5" x14ac:dyDescent="0.25">
      <c r="A640" t="s">
        <v>3537</v>
      </c>
      <c r="B640" t="s">
        <v>3601</v>
      </c>
      <c r="C640" t="s">
        <v>318</v>
      </c>
      <c r="D640" t="s">
        <v>3602</v>
      </c>
      <c r="E640" t="s">
        <v>3603</v>
      </c>
    </row>
    <row r="641" spans="1:5" x14ac:dyDescent="0.25">
      <c r="A641" t="s">
        <v>3537</v>
      </c>
      <c r="B641" t="s">
        <v>3601</v>
      </c>
      <c r="C641" t="s">
        <v>1072</v>
      </c>
      <c r="D641" t="s">
        <v>3607</v>
      </c>
      <c r="E641" t="s">
        <v>3608</v>
      </c>
    </row>
    <row r="642" spans="1:5" x14ac:dyDescent="0.25">
      <c r="A642" t="s">
        <v>3537</v>
      </c>
      <c r="B642" t="s">
        <v>3601</v>
      </c>
      <c r="C642" t="s">
        <v>1513</v>
      </c>
      <c r="D642" t="s">
        <v>3606</v>
      </c>
      <c r="E642" t="s">
        <v>3609</v>
      </c>
    </row>
    <row r="643" spans="1:5" x14ac:dyDescent="0.25">
      <c r="A643" t="s">
        <v>3537</v>
      </c>
      <c r="B643" t="s">
        <v>3601</v>
      </c>
      <c r="C643" t="s">
        <v>1684</v>
      </c>
      <c r="D643" t="s">
        <v>3602</v>
      </c>
      <c r="E643" t="s">
        <v>3603</v>
      </c>
    </row>
    <row r="644" spans="1:5" x14ac:dyDescent="0.25">
      <c r="A644" t="s">
        <v>3537</v>
      </c>
      <c r="B644" t="s">
        <v>3601</v>
      </c>
      <c r="C644" t="s">
        <v>214</v>
      </c>
      <c r="D644" t="s">
        <v>3606</v>
      </c>
      <c r="E644" t="s">
        <v>3609</v>
      </c>
    </row>
    <row r="645" spans="1:5" x14ac:dyDescent="0.25">
      <c r="A645" t="s">
        <v>3537</v>
      </c>
      <c r="B645" t="s">
        <v>3601</v>
      </c>
      <c r="C645" t="s">
        <v>2567</v>
      </c>
      <c r="D645" t="s">
        <v>3602</v>
      </c>
      <c r="E645" t="s">
        <v>3603</v>
      </c>
    </row>
    <row r="646" spans="1:5" x14ac:dyDescent="0.25">
      <c r="A646" t="s">
        <v>3537</v>
      </c>
      <c r="B646" t="s">
        <v>3601</v>
      </c>
      <c r="C646" t="s">
        <v>1769</v>
      </c>
      <c r="D646" t="s">
        <v>3602</v>
      </c>
      <c r="E646" t="s">
        <v>3604</v>
      </c>
    </row>
    <row r="647" spans="1:5" x14ac:dyDescent="0.25">
      <c r="A647" t="s">
        <v>3537</v>
      </c>
      <c r="B647" t="s">
        <v>3601</v>
      </c>
      <c r="C647" t="s">
        <v>2281</v>
      </c>
      <c r="D647" t="s">
        <v>3602</v>
      </c>
      <c r="E647" t="s">
        <v>3604</v>
      </c>
    </row>
    <row r="648" spans="1:5" x14ac:dyDescent="0.25">
      <c r="A648" t="s">
        <v>3537</v>
      </c>
      <c r="B648" t="s">
        <v>3601</v>
      </c>
      <c r="C648" t="s">
        <v>2007</v>
      </c>
      <c r="D648" t="s">
        <v>3607</v>
      </c>
      <c r="E648" t="s">
        <v>3608</v>
      </c>
    </row>
    <row r="649" spans="1:5" x14ac:dyDescent="0.25">
      <c r="A649" t="s">
        <v>3537</v>
      </c>
      <c r="B649" t="s">
        <v>3601</v>
      </c>
      <c r="C649" t="s">
        <v>979</v>
      </c>
      <c r="D649" t="s">
        <v>3606</v>
      </c>
      <c r="E649" t="s">
        <v>3604</v>
      </c>
    </row>
    <row r="650" spans="1:5" x14ac:dyDescent="0.25">
      <c r="A650" t="s">
        <v>3537</v>
      </c>
      <c r="B650" t="s">
        <v>3601</v>
      </c>
      <c r="C650" t="s">
        <v>2183</v>
      </c>
      <c r="D650" t="s">
        <v>3606</v>
      </c>
      <c r="E650" t="s">
        <v>3603</v>
      </c>
    </row>
    <row r="651" spans="1:5" x14ac:dyDescent="0.25">
      <c r="A651" t="s">
        <v>3537</v>
      </c>
      <c r="B651" t="s">
        <v>3601</v>
      </c>
      <c r="C651" t="s">
        <v>462</v>
      </c>
      <c r="D651" t="s">
        <v>3606</v>
      </c>
      <c r="E651" t="s">
        <v>3604</v>
      </c>
    </row>
    <row r="652" spans="1:5" x14ac:dyDescent="0.25">
      <c r="A652" t="s">
        <v>3537</v>
      </c>
      <c r="B652" t="s">
        <v>3601</v>
      </c>
      <c r="C652" t="s">
        <v>2254</v>
      </c>
      <c r="D652" t="s">
        <v>3602</v>
      </c>
      <c r="E652" t="s">
        <v>3603</v>
      </c>
    </row>
    <row r="653" spans="1:5" x14ac:dyDescent="0.25">
      <c r="A653" t="s">
        <v>3537</v>
      </c>
      <c r="B653" t="s">
        <v>3601</v>
      </c>
      <c r="C653" t="s">
        <v>2315</v>
      </c>
      <c r="D653" t="s">
        <v>3607</v>
      </c>
      <c r="E653" t="s">
        <v>3608</v>
      </c>
    </row>
    <row r="654" spans="1:5" x14ac:dyDescent="0.25">
      <c r="A654" t="s">
        <v>3537</v>
      </c>
      <c r="B654" t="s">
        <v>3601</v>
      </c>
      <c r="C654" t="s">
        <v>1836</v>
      </c>
      <c r="D654" t="s">
        <v>3607</v>
      </c>
      <c r="E654" t="s">
        <v>3608</v>
      </c>
    </row>
    <row r="655" spans="1:5" x14ac:dyDescent="0.25">
      <c r="A655" t="s">
        <v>3537</v>
      </c>
      <c r="B655" t="s">
        <v>3601</v>
      </c>
      <c r="C655" t="s">
        <v>893</v>
      </c>
      <c r="D655" t="s">
        <v>3607</v>
      </c>
      <c r="E655" t="s">
        <v>3608</v>
      </c>
    </row>
    <row r="656" spans="1:5" x14ac:dyDescent="0.25">
      <c r="A656" t="s">
        <v>3537</v>
      </c>
      <c r="B656" t="s">
        <v>3601</v>
      </c>
      <c r="C656" t="s">
        <v>941</v>
      </c>
      <c r="D656" t="s">
        <v>3603</v>
      </c>
      <c r="E656" t="s">
        <v>3603</v>
      </c>
    </row>
    <row r="657" spans="1:5" x14ac:dyDescent="0.25">
      <c r="A657" t="s">
        <v>3537</v>
      </c>
      <c r="B657" t="s">
        <v>3601</v>
      </c>
      <c r="C657" t="s">
        <v>1774</v>
      </c>
      <c r="D657" t="s">
        <v>3603</v>
      </c>
      <c r="E657" t="s">
        <v>3604</v>
      </c>
    </row>
    <row r="658" spans="1:5" x14ac:dyDescent="0.25">
      <c r="A658" t="s">
        <v>3537</v>
      </c>
      <c r="B658" t="s">
        <v>3601</v>
      </c>
      <c r="C658" t="s">
        <v>670</v>
      </c>
      <c r="D658" t="s">
        <v>3603</v>
      </c>
      <c r="E658" t="s">
        <v>3604</v>
      </c>
    </row>
    <row r="659" spans="1:5" x14ac:dyDescent="0.25">
      <c r="A659" t="s">
        <v>3537</v>
      </c>
      <c r="B659" t="s">
        <v>3601</v>
      </c>
      <c r="C659" t="s">
        <v>2743</v>
      </c>
      <c r="D659" t="s">
        <v>3607</v>
      </c>
      <c r="E659" t="s">
        <v>3608</v>
      </c>
    </row>
    <row r="660" spans="1:5" x14ac:dyDescent="0.25">
      <c r="A660" t="s">
        <v>3537</v>
      </c>
      <c r="B660" t="s">
        <v>3601</v>
      </c>
      <c r="C660" t="s">
        <v>2047</v>
      </c>
      <c r="D660" t="s">
        <v>3603</v>
      </c>
      <c r="E660" t="s">
        <v>3609</v>
      </c>
    </row>
    <row r="661" spans="1:5" x14ac:dyDescent="0.25">
      <c r="A661" t="s">
        <v>3537</v>
      </c>
      <c r="B661" t="s">
        <v>3601</v>
      </c>
      <c r="C661" t="s">
        <v>1752</v>
      </c>
      <c r="D661" t="s">
        <v>3603</v>
      </c>
      <c r="E661" t="s">
        <v>3605</v>
      </c>
    </row>
    <row r="662" spans="1:5" x14ac:dyDescent="0.25">
      <c r="A662" t="s">
        <v>3537</v>
      </c>
      <c r="B662" t="s">
        <v>3601</v>
      </c>
      <c r="C662" t="s">
        <v>766</v>
      </c>
      <c r="D662" t="s">
        <v>3602</v>
      </c>
      <c r="E662" t="s">
        <v>3603</v>
      </c>
    </row>
    <row r="663" spans="1:5" x14ac:dyDescent="0.25">
      <c r="A663" t="s">
        <v>3537</v>
      </c>
      <c r="B663" t="s">
        <v>3601</v>
      </c>
      <c r="C663" t="s">
        <v>124</v>
      </c>
      <c r="D663" t="s">
        <v>3602</v>
      </c>
      <c r="E663" t="s">
        <v>3605</v>
      </c>
    </row>
    <row r="664" spans="1:5" x14ac:dyDescent="0.25">
      <c r="A664" t="s">
        <v>3537</v>
      </c>
      <c r="B664" t="s">
        <v>3601</v>
      </c>
      <c r="C664" t="s">
        <v>2597</v>
      </c>
      <c r="D664" t="s">
        <v>3607</v>
      </c>
      <c r="E664" t="s">
        <v>3608</v>
      </c>
    </row>
    <row r="665" spans="1:5" x14ac:dyDescent="0.25">
      <c r="A665" t="s">
        <v>3537</v>
      </c>
      <c r="B665" t="s">
        <v>3601</v>
      </c>
      <c r="C665" t="s">
        <v>960</v>
      </c>
      <c r="D665" t="s">
        <v>3606</v>
      </c>
      <c r="E665" t="s">
        <v>3603</v>
      </c>
    </row>
    <row r="666" spans="1:5" x14ac:dyDescent="0.25">
      <c r="A666" t="s">
        <v>3537</v>
      </c>
      <c r="B666" t="s">
        <v>3601</v>
      </c>
      <c r="C666" t="s">
        <v>186</v>
      </c>
      <c r="D666" t="s">
        <v>3606</v>
      </c>
      <c r="E666" t="s">
        <v>3605</v>
      </c>
    </row>
    <row r="667" spans="1:5" x14ac:dyDescent="0.25">
      <c r="A667" t="s">
        <v>3537</v>
      </c>
      <c r="B667" t="s">
        <v>3601</v>
      </c>
      <c r="C667" t="s">
        <v>1121</v>
      </c>
      <c r="D667" t="s">
        <v>3606</v>
      </c>
      <c r="E667" t="s">
        <v>3609</v>
      </c>
    </row>
    <row r="668" spans="1:5" x14ac:dyDescent="0.25">
      <c r="A668" t="s">
        <v>3537</v>
      </c>
      <c r="B668" t="s">
        <v>3601</v>
      </c>
      <c r="C668" t="s">
        <v>2833</v>
      </c>
      <c r="D668" t="s">
        <v>3607</v>
      </c>
      <c r="E668" t="s">
        <v>3608</v>
      </c>
    </row>
    <row r="669" spans="1:5" x14ac:dyDescent="0.25">
      <c r="A669" t="s">
        <v>3537</v>
      </c>
      <c r="B669" t="s">
        <v>3601</v>
      </c>
      <c r="C669" t="s">
        <v>2153</v>
      </c>
      <c r="D669" t="s">
        <v>3606</v>
      </c>
      <c r="E669" t="s">
        <v>3609</v>
      </c>
    </row>
    <row r="670" spans="1:5" x14ac:dyDescent="0.25">
      <c r="A670" t="s">
        <v>3537</v>
      </c>
      <c r="B670" t="s">
        <v>3601</v>
      </c>
      <c r="C670" t="s">
        <v>325</v>
      </c>
      <c r="D670" t="s">
        <v>3606</v>
      </c>
      <c r="E670" t="s">
        <v>3603</v>
      </c>
    </row>
    <row r="671" spans="1:5" x14ac:dyDescent="0.25">
      <c r="A671" t="s">
        <v>3537</v>
      </c>
      <c r="B671" t="s">
        <v>3601</v>
      </c>
      <c r="C671" t="s">
        <v>1036</v>
      </c>
      <c r="D671" t="s">
        <v>3607</v>
      </c>
      <c r="E671" t="s">
        <v>3608</v>
      </c>
    </row>
    <row r="672" spans="1:5" x14ac:dyDescent="0.25">
      <c r="A672" t="s">
        <v>3537</v>
      </c>
      <c r="B672" t="s">
        <v>3601</v>
      </c>
      <c r="C672" t="s">
        <v>1216</v>
      </c>
      <c r="D672" t="s">
        <v>3603</v>
      </c>
      <c r="E672" t="s">
        <v>3604</v>
      </c>
    </row>
    <row r="673" spans="1:5" x14ac:dyDescent="0.25">
      <c r="A673" t="s">
        <v>3537</v>
      </c>
      <c r="B673" t="s">
        <v>3601</v>
      </c>
      <c r="C673" t="s">
        <v>1017</v>
      </c>
      <c r="D673" t="s">
        <v>3607</v>
      </c>
      <c r="E673" t="s">
        <v>3608</v>
      </c>
    </row>
    <row r="674" spans="1:5" x14ac:dyDescent="0.25">
      <c r="A674" t="s">
        <v>3537</v>
      </c>
      <c r="B674" t="s">
        <v>3601</v>
      </c>
      <c r="C674" t="s">
        <v>1227</v>
      </c>
      <c r="D674" t="s">
        <v>3603</v>
      </c>
      <c r="E674" t="s">
        <v>3605</v>
      </c>
    </row>
    <row r="675" spans="1:5" x14ac:dyDescent="0.25">
      <c r="A675" t="s">
        <v>3537</v>
      </c>
      <c r="B675" t="s">
        <v>3610</v>
      </c>
      <c r="C675" t="s">
        <v>2887</v>
      </c>
      <c r="D675" t="s">
        <v>3606</v>
      </c>
      <c r="E675" t="s">
        <v>3608</v>
      </c>
    </row>
    <row r="676" spans="1:5" x14ac:dyDescent="0.25">
      <c r="A676" t="s">
        <v>3537</v>
      </c>
      <c r="B676" t="s">
        <v>3610</v>
      </c>
      <c r="C676" t="s">
        <v>2960</v>
      </c>
      <c r="D676" t="s">
        <v>3611</v>
      </c>
      <c r="E676" t="s">
        <v>3608</v>
      </c>
    </row>
    <row r="677" spans="1:5" x14ac:dyDescent="0.25">
      <c r="A677" t="s">
        <v>3537</v>
      </c>
      <c r="B677" t="s">
        <v>3610</v>
      </c>
      <c r="C677" t="s">
        <v>2913</v>
      </c>
      <c r="D677" t="s">
        <v>3607</v>
      </c>
      <c r="E677" t="s">
        <v>3608</v>
      </c>
    </row>
    <row r="678" spans="1:5" x14ac:dyDescent="0.25">
      <c r="A678" t="s">
        <v>3537</v>
      </c>
      <c r="B678" t="s">
        <v>3610</v>
      </c>
      <c r="C678" t="s">
        <v>2975</v>
      </c>
      <c r="D678" t="s">
        <v>3606</v>
      </c>
      <c r="E678" t="s">
        <v>3608</v>
      </c>
    </row>
    <row r="679" spans="1:5" x14ac:dyDescent="0.25">
      <c r="A679" t="s">
        <v>3537</v>
      </c>
      <c r="B679" t="s">
        <v>3610</v>
      </c>
      <c r="C679" t="s">
        <v>2985</v>
      </c>
      <c r="D679" t="s">
        <v>3611</v>
      </c>
      <c r="E679" t="s">
        <v>3608</v>
      </c>
    </row>
    <row r="680" spans="1:5" x14ac:dyDescent="0.25">
      <c r="A680" t="s">
        <v>3539</v>
      </c>
      <c r="B680" t="s">
        <v>3601</v>
      </c>
      <c r="C680" t="s">
        <v>304</v>
      </c>
      <c r="D680" t="s">
        <v>3603</v>
      </c>
      <c r="E680" t="s">
        <v>3603</v>
      </c>
    </row>
    <row r="681" spans="1:5" x14ac:dyDescent="0.25">
      <c r="A681" t="s">
        <v>3539</v>
      </c>
      <c r="B681" t="s">
        <v>3601</v>
      </c>
      <c r="C681" t="s">
        <v>2218</v>
      </c>
      <c r="D681" t="s">
        <v>3602</v>
      </c>
      <c r="E681" t="s">
        <v>3604</v>
      </c>
    </row>
    <row r="682" spans="1:5" x14ac:dyDescent="0.25">
      <c r="A682" t="s">
        <v>3539</v>
      </c>
      <c r="B682" t="s">
        <v>3601</v>
      </c>
      <c r="C682" t="s">
        <v>2838</v>
      </c>
      <c r="D682" t="s">
        <v>3602</v>
      </c>
      <c r="E682" t="s">
        <v>3605</v>
      </c>
    </row>
    <row r="683" spans="1:5" x14ac:dyDescent="0.25">
      <c r="A683" t="s">
        <v>3539</v>
      </c>
      <c r="B683" t="s">
        <v>3601</v>
      </c>
      <c r="C683" t="s">
        <v>1423</v>
      </c>
      <c r="D683" t="s">
        <v>3602</v>
      </c>
      <c r="E683" t="s">
        <v>3605</v>
      </c>
    </row>
    <row r="684" spans="1:5" x14ac:dyDescent="0.25">
      <c r="A684" t="s">
        <v>3539</v>
      </c>
      <c r="B684" t="s">
        <v>3601</v>
      </c>
      <c r="C684" t="s">
        <v>2858</v>
      </c>
      <c r="D684" t="s">
        <v>3607</v>
      </c>
      <c r="E684" t="s">
        <v>3608</v>
      </c>
    </row>
    <row r="685" spans="1:5" x14ac:dyDescent="0.25">
      <c r="A685" t="s">
        <v>3539</v>
      </c>
      <c r="B685" t="s">
        <v>3601</v>
      </c>
      <c r="C685" t="s">
        <v>1800</v>
      </c>
      <c r="D685" t="s">
        <v>3602</v>
      </c>
      <c r="E685" t="s">
        <v>3609</v>
      </c>
    </row>
    <row r="686" spans="1:5" x14ac:dyDescent="0.25">
      <c r="A686" t="s">
        <v>3539</v>
      </c>
      <c r="B686" t="s">
        <v>3601</v>
      </c>
      <c r="C686" t="s">
        <v>2843</v>
      </c>
      <c r="D686" t="s">
        <v>3602</v>
      </c>
      <c r="E686" t="s">
        <v>3605</v>
      </c>
    </row>
    <row r="687" spans="1:5" x14ac:dyDescent="0.25">
      <c r="A687" t="s">
        <v>3539</v>
      </c>
      <c r="B687" t="s">
        <v>3601</v>
      </c>
      <c r="C687" t="s">
        <v>2207</v>
      </c>
      <c r="D687" t="s">
        <v>3607</v>
      </c>
      <c r="E687" t="s">
        <v>3608</v>
      </c>
    </row>
    <row r="688" spans="1:5" x14ac:dyDescent="0.25">
      <c r="A688" t="s">
        <v>3539</v>
      </c>
      <c r="B688" t="s">
        <v>3601</v>
      </c>
      <c r="C688" t="s">
        <v>2474</v>
      </c>
      <c r="D688" t="s">
        <v>3602</v>
      </c>
      <c r="E688" t="s">
        <v>3604</v>
      </c>
    </row>
    <row r="689" spans="1:5" x14ac:dyDescent="0.25">
      <c r="A689" t="s">
        <v>3539</v>
      </c>
      <c r="B689" t="s">
        <v>3601</v>
      </c>
      <c r="C689" t="s">
        <v>2788</v>
      </c>
      <c r="D689" t="s">
        <v>3603</v>
      </c>
      <c r="E689" t="s">
        <v>3603</v>
      </c>
    </row>
    <row r="690" spans="1:5" x14ac:dyDescent="0.25">
      <c r="A690" t="s">
        <v>3539</v>
      </c>
      <c r="B690" t="s">
        <v>3601</v>
      </c>
      <c r="C690" t="s">
        <v>1282</v>
      </c>
      <c r="D690" t="s">
        <v>3602</v>
      </c>
      <c r="E690" t="s">
        <v>3603</v>
      </c>
    </row>
    <row r="691" spans="1:5" x14ac:dyDescent="0.25">
      <c r="A691" t="s">
        <v>3539</v>
      </c>
      <c r="B691" t="s">
        <v>3601</v>
      </c>
      <c r="C691" t="s">
        <v>771</v>
      </c>
      <c r="D691" t="s">
        <v>3603</v>
      </c>
      <c r="E691" t="s">
        <v>3605</v>
      </c>
    </row>
    <row r="692" spans="1:5" x14ac:dyDescent="0.25">
      <c r="A692" t="s">
        <v>3539</v>
      </c>
      <c r="B692" t="s">
        <v>3601</v>
      </c>
      <c r="C692" t="s">
        <v>1596</v>
      </c>
      <c r="D692" t="s">
        <v>3606</v>
      </c>
      <c r="E692" t="s">
        <v>3603</v>
      </c>
    </row>
    <row r="693" spans="1:5" x14ac:dyDescent="0.25">
      <c r="A693" t="s">
        <v>3539</v>
      </c>
      <c r="B693" t="s">
        <v>3601</v>
      </c>
      <c r="C693" t="s">
        <v>363</v>
      </c>
      <c r="D693" t="s">
        <v>3607</v>
      </c>
      <c r="E693" t="s">
        <v>3608</v>
      </c>
    </row>
    <row r="694" spans="1:5" x14ac:dyDescent="0.25">
      <c r="A694" t="s">
        <v>3539</v>
      </c>
      <c r="B694" t="s">
        <v>3601</v>
      </c>
      <c r="C694" t="s">
        <v>542</v>
      </c>
      <c r="D694" t="s">
        <v>3603</v>
      </c>
      <c r="E694" t="s">
        <v>3603</v>
      </c>
    </row>
    <row r="695" spans="1:5" x14ac:dyDescent="0.25">
      <c r="A695" t="s">
        <v>3539</v>
      </c>
      <c r="B695" t="s">
        <v>3601</v>
      </c>
      <c r="C695" t="s">
        <v>1128</v>
      </c>
      <c r="D695" t="s">
        <v>3602</v>
      </c>
      <c r="E695" t="s">
        <v>3603</v>
      </c>
    </row>
    <row r="696" spans="1:5" x14ac:dyDescent="0.25">
      <c r="A696" t="s">
        <v>3539</v>
      </c>
      <c r="B696" t="s">
        <v>3601</v>
      </c>
      <c r="C696" t="s">
        <v>1656</v>
      </c>
      <c r="D696" t="s">
        <v>3606</v>
      </c>
      <c r="E696" t="s">
        <v>3605</v>
      </c>
    </row>
    <row r="697" spans="1:5" x14ac:dyDescent="0.25">
      <c r="A697" t="s">
        <v>3539</v>
      </c>
      <c r="B697" t="s">
        <v>3601</v>
      </c>
      <c r="C697" t="s">
        <v>2203</v>
      </c>
      <c r="D697" t="s">
        <v>3606</v>
      </c>
      <c r="E697" t="s">
        <v>3609</v>
      </c>
    </row>
    <row r="698" spans="1:5" x14ac:dyDescent="0.25">
      <c r="A698" t="s">
        <v>3539</v>
      </c>
      <c r="B698" t="s">
        <v>3601</v>
      </c>
      <c r="C698" t="s">
        <v>2390</v>
      </c>
      <c r="D698" t="s">
        <v>3602</v>
      </c>
      <c r="E698" t="s">
        <v>3603</v>
      </c>
    </row>
    <row r="699" spans="1:5" x14ac:dyDescent="0.25">
      <c r="A699" t="s">
        <v>3539</v>
      </c>
      <c r="B699" t="s">
        <v>3601</v>
      </c>
      <c r="C699" t="s">
        <v>1784</v>
      </c>
      <c r="D699" t="s">
        <v>3602</v>
      </c>
      <c r="E699" t="s">
        <v>3605</v>
      </c>
    </row>
    <row r="700" spans="1:5" x14ac:dyDescent="0.25">
      <c r="A700" t="s">
        <v>3539</v>
      </c>
      <c r="B700" t="s">
        <v>3601</v>
      </c>
      <c r="C700" t="s">
        <v>614</v>
      </c>
      <c r="D700" t="s">
        <v>3606</v>
      </c>
      <c r="E700" t="s">
        <v>3605</v>
      </c>
    </row>
    <row r="701" spans="1:5" x14ac:dyDescent="0.25">
      <c r="A701" t="s">
        <v>3539</v>
      </c>
      <c r="B701" t="s">
        <v>3601</v>
      </c>
      <c r="C701" t="s">
        <v>1524</v>
      </c>
      <c r="D701" t="s">
        <v>3603</v>
      </c>
      <c r="E701" t="s">
        <v>3603</v>
      </c>
    </row>
    <row r="702" spans="1:5" x14ac:dyDescent="0.25">
      <c r="A702" t="s">
        <v>3539</v>
      </c>
      <c r="B702" t="s">
        <v>3601</v>
      </c>
      <c r="C702" t="s">
        <v>2007</v>
      </c>
      <c r="D702" t="s">
        <v>3607</v>
      </c>
      <c r="E702" t="s">
        <v>3608</v>
      </c>
    </row>
    <row r="703" spans="1:5" x14ac:dyDescent="0.25">
      <c r="A703" t="s">
        <v>3539</v>
      </c>
      <c r="B703" t="s">
        <v>3601</v>
      </c>
      <c r="C703" t="s">
        <v>2105</v>
      </c>
      <c r="D703" t="s">
        <v>3606</v>
      </c>
      <c r="E703" t="s">
        <v>3603</v>
      </c>
    </row>
    <row r="704" spans="1:5" x14ac:dyDescent="0.25">
      <c r="A704" t="s">
        <v>3539</v>
      </c>
      <c r="B704" t="s">
        <v>3601</v>
      </c>
      <c r="C704" t="s">
        <v>766</v>
      </c>
      <c r="D704" t="s">
        <v>3607</v>
      </c>
      <c r="E704" t="s">
        <v>3608</v>
      </c>
    </row>
    <row r="705" spans="1:5" x14ac:dyDescent="0.25">
      <c r="A705" t="s">
        <v>3539</v>
      </c>
      <c r="B705" t="s">
        <v>3601</v>
      </c>
      <c r="C705" t="s">
        <v>1221</v>
      </c>
      <c r="D705" t="s">
        <v>3602</v>
      </c>
      <c r="E705" t="s">
        <v>3609</v>
      </c>
    </row>
    <row r="706" spans="1:5" x14ac:dyDescent="0.25">
      <c r="A706" t="s">
        <v>3539</v>
      </c>
      <c r="B706" t="s">
        <v>3601</v>
      </c>
      <c r="C706" t="s">
        <v>1666</v>
      </c>
      <c r="D706" t="s">
        <v>3603</v>
      </c>
      <c r="E706" t="s">
        <v>3609</v>
      </c>
    </row>
    <row r="707" spans="1:5" x14ac:dyDescent="0.25">
      <c r="A707" t="s">
        <v>3539</v>
      </c>
      <c r="B707" t="s">
        <v>3601</v>
      </c>
      <c r="C707" t="s">
        <v>740</v>
      </c>
      <c r="D707" t="s">
        <v>3607</v>
      </c>
      <c r="E707" t="s">
        <v>3608</v>
      </c>
    </row>
    <row r="708" spans="1:5" x14ac:dyDescent="0.25">
      <c r="A708" t="s">
        <v>3539</v>
      </c>
      <c r="B708" t="s">
        <v>3601</v>
      </c>
      <c r="C708" t="s">
        <v>1482</v>
      </c>
      <c r="D708" t="s">
        <v>3607</v>
      </c>
      <c r="E708" t="s">
        <v>3608</v>
      </c>
    </row>
    <row r="709" spans="1:5" x14ac:dyDescent="0.25">
      <c r="A709" t="s">
        <v>3539</v>
      </c>
      <c r="B709" t="s">
        <v>3601</v>
      </c>
      <c r="C709" t="s">
        <v>2330</v>
      </c>
      <c r="D709" t="s">
        <v>3603</v>
      </c>
      <c r="E709" t="s">
        <v>3603</v>
      </c>
    </row>
    <row r="710" spans="1:5" x14ac:dyDescent="0.25">
      <c r="A710" t="s">
        <v>3539</v>
      </c>
      <c r="B710" t="s">
        <v>3601</v>
      </c>
      <c r="C710" t="s">
        <v>2012</v>
      </c>
      <c r="D710" t="s">
        <v>3607</v>
      </c>
      <c r="E710" t="s">
        <v>3608</v>
      </c>
    </row>
    <row r="711" spans="1:5" x14ac:dyDescent="0.25">
      <c r="A711" t="s">
        <v>3539</v>
      </c>
      <c r="B711" t="s">
        <v>3601</v>
      </c>
      <c r="C711" t="s">
        <v>965</v>
      </c>
      <c r="D711" t="s">
        <v>3606</v>
      </c>
      <c r="E711" t="s">
        <v>3609</v>
      </c>
    </row>
    <row r="712" spans="1:5" x14ac:dyDescent="0.25">
      <c r="A712" t="s">
        <v>3539</v>
      </c>
      <c r="B712" t="s">
        <v>3601</v>
      </c>
      <c r="C712" t="s">
        <v>629</v>
      </c>
      <c r="D712" t="s">
        <v>3603</v>
      </c>
      <c r="E712" t="s">
        <v>3605</v>
      </c>
    </row>
    <row r="713" spans="1:5" x14ac:dyDescent="0.25">
      <c r="A713" t="s">
        <v>3539</v>
      </c>
      <c r="B713" t="s">
        <v>3601</v>
      </c>
      <c r="C713" t="s">
        <v>2419</v>
      </c>
      <c r="D713" t="s">
        <v>3607</v>
      </c>
      <c r="E713" t="s">
        <v>3608</v>
      </c>
    </row>
    <row r="714" spans="1:5" x14ac:dyDescent="0.25">
      <c r="A714" t="s">
        <v>3539</v>
      </c>
      <c r="B714" t="s">
        <v>3601</v>
      </c>
      <c r="C714" t="s">
        <v>941</v>
      </c>
      <c r="D714" t="s">
        <v>3602</v>
      </c>
      <c r="E714" t="s">
        <v>3603</v>
      </c>
    </row>
    <row r="715" spans="1:5" x14ac:dyDescent="0.25">
      <c r="A715" t="s">
        <v>3539</v>
      </c>
      <c r="B715" t="s">
        <v>3601</v>
      </c>
      <c r="C715" t="s">
        <v>1066</v>
      </c>
      <c r="D715" t="s">
        <v>3602</v>
      </c>
      <c r="E715" t="s">
        <v>3604</v>
      </c>
    </row>
    <row r="716" spans="1:5" x14ac:dyDescent="0.25">
      <c r="A716" t="s">
        <v>3539</v>
      </c>
      <c r="B716" t="s">
        <v>3601</v>
      </c>
      <c r="C716" t="s">
        <v>1700</v>
      </c>
      <c r="D716" t="s">
        <v>3606</v>
      </c>
      <c r="E716" t="s">
        <v>3603</v>
      </c>
    </row>
    <row r="717" spans="1:5" x14ac:dyDescent="0.25">
      <c r="A717" t="s">
        <v>3539</v>
      </c>
      <c r="B717" t="s">
        <v>3601</v>
      </c>
      <c r="C717" t="s">
        <v>1316</v>
      </c>
      <c r="D717" t="s">
        <v>3607</v>
      </c>
      <c r="E717" t="s">
        <v>3608</v>
      </c>
    </row>
    <row r="718" spans="1:5" x14ac:dyDescent="0.25">
      <c r="A718" t="s">
        <v>3539</v>
      </c>
      <c r="B718" t="s">
        <v>3601</v>
      </c>
      <c r="C718" t="s">
        <v>2484</v>
      </c>
      <c r="D718" t="s">
        <v>3606</v>
      </c>
      <c r="E718" t="s">
        <v>3604</v>
      </c>
    </row>
    <row r="719" spans="1:5" x14ac:dyDescent="0.25">
      <c r="A719" t="s">
        <v>3539</v>
      </c>
      <c r="B719" t="s">
        <v>3601</v>
      </c>
      <c r="C719" t="s">
        <v>186</v>
      </c>
      <c r="D719" t="s">
        <v>3603</v>
      </c>
      <c r="E719" t="s">
        <v>3605</v>
      </c>
    </row>
    <row r="720" spans="1:5" x14ac:dyDescent="0.25">
      <c r="A720" t="s">
        <v>3539</v>
      </c>
      <c r="B720" t="s">
        <v>3601</v>
      </c>
      <c r="C720" t="s">
        <v>2567</v>
      </c>
      <c r="D720" t="s">
        <v>3607</v>
      </c>
      <c r="E720" t="s">
        <v>3608</v>
      </c>
    </row>
    <row r="721" spans="1:5" x14ac:dyDescent="0.25">
      <c r="A721" t="s">
        <v>3539</v>
      </c>
      <c r="B721" t="s">
        <v>3601</v>
      </c>
      <c r="C721" t="s">
        <v>1404</v>
      </c>
      <c r="D721" t="s">
        <v>3607</v>
      </c>
      <c r="E721" t="s">
        <v>3608</v>
      </c>
    </row>
    <row r="722" spans="1:5" x14ac:dyDescent="0.25">
      <c r="A722" t="s">
        <v>3539</v>
      </c>
      <c r="B722" t="s">
        <v>3601</v>
      </c>
      <c r="C722" t="s">
        <v>1440</v>
      </c>
      <c r="D722" t="s">
        <v>3602</v>
      </c>
      <c r="E722" t="s">
        <v>3609</v>
      </c>
    </row>
    <row r="723" spans="1:5" x14ac:dyDescent="0.25">
      <c r="A723" t="s">
        <v>3539</v>
      </c>
      <c r="B723" t="s">
        <v>3601</v>
      </c>
      <c r="C723" t="s">
        <v>107</v>
      </c>
      <c r="D723" t="s">
        <v>3603</v>
      </c>
      <c r="E723" t="s">
        <v>3605</v>
      </c>
    </row>
    <row r="724" spans="1:5" x14ac:dyDescent="0.25">
      <c r="A724" t="s">
        <v>3539</v>
      </c>
      <c r="B724" t="s">
        <v>3601</v>
      </c>
      <c r="C724" t="s">
        <v>2489</v>
      </c>
      <c r="D724" t="s">
        <v>3606</v>
      </c>
      <c r="E724" t="s">
        <v>3604</v>
      </c>
    </row>
    <row r="725" spans="1:5" x14ac:dyDescent="0.25">
      <c r="A725" t="s">
        <v>3539</v>
      </c>
      <c r="B725" t="s">
        <v>3601</v>
      </c>
      <c r="C725" t="s">
        <v>407</v>
      </c>
      <c r="D725" t="s">
        <v>3602</v>
      </c>
      <c r="E725" t="s">
        <v>3605</v>
      </c>
    </row>
    <row r="726" spans="1:5" x14ac:dyDescent="0.25">
      <c r="A726" t="s">
        <v>3539</v>
      </c>
      <c r="B726" t="s">
        <v>3601</v>
      </c>
      <c r="C726" t="s">
        <v>816</v>
      </c>
      <c r="D726" t="s">
        <v>3603</v>
      </c>
      <c r="E726" t="s">
        <v>3605</v>
      </c>
    </row>
    <row r="727" spans="1:5" x14ac:dyDescent="0.25">
      <c r="A727" t="s">
        <v>3539</v>
      </c>
      <c r="B727" t="s">
        <v>3601</v>
      </c>
      <c r="C727" t="s">
        <v>601</v>
      </c>
      <c r="D727" t="s">
        <v>3603</v>
      </c>
      <c r="E727" t="s">
        <v>3609</v>
      </c>
    </row>
    <row r="728" spans="1:5" x14ac:dyDescent="0.25">
      <c r="A728" t="s">
        <v>3539</v>
      </c>
      <c r="B728" t="s">
        <v>3610</v>
      </c>
      <c r="C728" t="s">
        <v>2943</v>
      </c>
      <c r="D728" t="s">
        <v>3612</v>
      </c>
      <c r="E728" t="s">
        <v>3608</v>
      </c>
    </row>
    <row r="729" spans="1:5" x14ac:dyDescent="0.25">
      <c r="A729" t="s">
        <v>3539</v>
      </c>
      <c r="B729" t="s">
        <v>3610</v>
      </c>
      <c r="C729" t="s">
        <v>2970</v>
      </c>
      <c r="D729" t="s">
        <v>3607</v>
      </c>
      <c r="E729" t="s">
        <v>3608</v>
      </c>
    </row>
    <row r="730" spans="1:5" x14ac:dyDescent="0.25">
      <c r="A730" t="s">
        <v>3542</v>
      </c>
      <c r="B730" t="s">
        <v>3601</v>
      </c>
      <c r="C730" t="s">
        <v>2773</v>
      </c>
      <c r="D730" t="s">
        <v>3603</v>
      </c>
      <c r="E730" t="s">
        <v>3604</v>
      </c>
    </row>
    <row r="731" spans="1:5" x14ac:dyDescent="0.25">
      <c r="A731" t="s">
        <v>3542</v>
      </c>
      <c r="B731" t="s">
        <v>3601</v>
      </c>
      <c r="C731" t="s">
        <v>214</v>
      </c>
      <c r="D731" t="s">
        <v>3603</v>
      </c>
      <c r="E731" t="s">
        <v>3605</v>
      </c>
    </row>
    <row r="732" spans="1:5" x14ac:dyDescent="0.25">
      <c r="A732" t="s">
        <v>3542</v>
      </c>
      <c r="B732" t="s">
        <v>3601</v>
      </c>
      <c r="C732" t="s">
        <v>1953</v>
      </c>
      <c r="D732" t="s">
        <v>3606</v>
      </c>
      <c r="E732" t="s">
        <v>3604</v>
      </c>
    </row>
    <row r="733" spans="1:5" x14ac:dyDescent="0.25">
      <c r="A733" t="s">
        <v>3542</v>
      </c>
      <c r="B733" t="s">
        <v>3601</v>
      </c>
      <c r="C733" t="s">
        <v>1492</v>
      </c>
      <c r="D733" t="s">
        <v>3602</v>
      </c>
      <c r="E733" t="s">
        <v>3609</v>
      </c>
    </row>
    <row r="734" spans="1:5" x14ac:dyDescent="0.25">
      <c r="A734" t="s">
        <v>3542</v>
      </c>
      <c r="B734" t="s">
        <v>3601</v>
      </c>
      <c r="C734" t="s">
        <v>2399</v>
      </c>
      <c r="D734" t="s">
        <v>3603</v>
      </c>
      <c r="E734" t="s">
        <v>3609</v>
      </c>
    </row>
    <row r="735" spans="1:5" x14ac:dyDescent="0.25">
      <c r="A735" t="s">
        <v>3542</v>
      </c>
      <c r="B735" t="s">
        <v>3601</v>
      </c>
      <c r="C735" t="s">
        <v>275</v>
      </c>
      <c r="D735" t="s">
        <v>3607</v>
      </c>
      <c r="E735" t="s">
        <v>3608</v>
      </c>
    </row>
    <row r="736" spans="1:5" x14ac:dyDescent="0.25">
      <c r="A736" t="s">
        <v>3542</v>
      </c>
      <c r="B736" t="s">
        <v>3601</v>
      </c>
      <c r="C736" t="s">
        <v>1596</v>
      </c>
      <c r="D736" t="s">
        <v>3603</v>
      </c>
      <c r="E736" t="s">
        <v>3609</v>
      </c>
    </row>
    <row r="737" spans="1:5" x14ac:dyDescent="0.25">
      <c r="A737" t="s">
        <v>3542</v>
      </c>
      <c r="B737" t="s">
        <v>3601</v>
      </c>
      <c r="C737" t="s">
        <v>2679</v>
      </c>
      <c r="D737" t="s">
        <v>3602</v>
      </c>
      <c r="E737" t="s">
        <v>3605</v>
      </c>
    </row>
    <row r="738" spans="1:5" x14ac:dyDescent="0.25">
      <c r="A738" t="s">
        <v>3542</v>
      </c>
      <c r="B738" t="s">
        <v>3601</v>
      </c>
      <c r="C738" t="s">
        <v>2340</v>
      </c>
      <c r="D738" t="s">
        <v>3602</v>
      </c>
      <c r="E738" t="s">
        <v>3605</v>
      </c>
    </row>
    <row r="739" spans="1:5" x14ac:dyDescent="0.25">
      <c r="A739" t="s">
        <v>3542</v>
      </c>
      <c r="B739" t="s">
        <v>3601</v>
      </c>
      <c r="C739" t="s">
        <v>1468</v>
      </c>
      <c r="D739" t="s">
        <v>3607</v>
      </c>
      <c r="E739" t="s">
        <v>3608</v>
      </c>
    </row>
    <row r="740" spans="1:5" x14ac:dyDescent="0.25">
      <c r="A740" t="s">
        <v>3542</v>
      </c>
      <c r="B740" t="s">
        <v>3601</v>
      </c>
      <c r="C740" t="s">
        <v>1145</v>
      </c>
      <c r="D740" t="s">
        <v>3602</v>
      </c>
      <c r="E740" t="s">
        <v>3609</v>
      </c>
    </row>
    <row r="741" spans="1:5" x14ac:dyDescent="0.25">
      <c r="A741" t="s">
        <v>3542</v>
      </c>
      <c r="B741" t="s">
        <v>3601</v>
      </c>
      <c r="C741" t="s">
        <v>86</v>
      </c>
      <c r="D741" t="s">
        <v>3602</v>
      </c>
      <c r="E741" t="s">
        <v>3604</v>
      </c>
    </row>
    <row r="742" spans="1:5" x14ac:dyDescent="0.25">
      <c r="A742" t="s">
        <v>3542</v>
      </c>
      <c r="B742" t="s">
        <v>3601</v>
      </c>
      <c r="C742" t="s">
        <v>1048</v>
      </c>
      <c r="D742" t="s">
        <v>3603</v>
      </c>
      <c r="E742" t="s">
        <v>3604</v>
      </c>
    </row>
    <row r="743" spans="1:5" x14ac:dyDescent="0.25">
      <c r="A743" t="s">
        <v>3542</v>
      </c>
      <c r="B743" t="s">
        <v>3601</v>
      </c>
      <c r="C743" t="s">
        <v>941</v>
      </c>
      <c r="D743" t="s">
        <v>3606</v>
      </c>
      <c r="E743" t="s">
        <v>3605</v>
      </c>
    </row>
    <row r="744" spans="1:5" x14ac:dyDescent="0.25">
      <c r="A744" t="s">
        <v>3542</v>
      </c>
      <c r="B744" t="s">
        <v>3601</v>
      </c>
      <c r="C744" t="s">
        <v>888</v>
      </c>
      <c r="D744" t="s">
        <v>3606</v>
      </c>
      <c r="E744" t="s">
        <v>3604</v>
      </c>
    </row>
    <row r="745" spans="1:5" x14ac:dyDescent="0.25">
      <c r="A745" t="s">
        <v>3542</v>
      </c>
      <c r="B745" t="s">
        <v>3601</v>
      </c>
      <c r="C745" t="s">
        <v>1963</v>
      </c>
      <c r="D745" t="s">
        <v>3607</v>
      </c>
      <c r="E745" t="s">
        <v>3608</v>
      </c>
    </row>
    <row r="746" spans="1:5" x14ac:dyDescent="0.25">
      <c r="A746" t="s">
        <v>3542</v>
      </c>
      <c r="B746" t="s">
        <v>3601</v>
      </c>
      <c r="C746" t="s">
        <v>1646</v>
      </c>
      <c r="D746" t="s">
        <v>3607</v>
      </c>
      <c r="E746" t="s">
        <v>3608</v>
      </c>
    </row>
    <row r="747" spans="1:5" x14ac:dyDescent="0.25">
      <c r="A747" t="s">
        <v>3542</v>
      </c>
      <c r="B747" t="s">
        <v>3601</v>
      </c>
      <c r="C747" t="s">
        <v>1183</v>
      </c>
      <c r="D747" t="s">
        <v>3607</v>
      </c>
      <c r="E747" t="s">
        <v>3608</v>
      </c>
    </row>
    <row r="748" spans="1:5" x14ac:dyDescent="0.25">
      <c r="A748" t="s">
        <v>3542</v>
      </c>
      <c r="B748" t="s">
        <v>3601</v>
      </c>
      <c r="C748" t="s">
        <v>2803</v>
      </c>
      <c r="D748" t="s">
        <v>3603</v>
      </c>
      <c r="E748" t="s">
        <v>3605</v>
      </c>
    </row>
    <row r="749" spans="1:5" x14ac:dyDescent="0.25">
      <c r="A749" t="s">
        <v>3542</v>
      </c>
      <c r="B749" t="s">
        <v>3601</v>
      </c>
      <c r="C749" t="s">
        <v>1990</v>
      </c>
      <c r="D749" t="s">
        <v>3602</v>
      </c>
      <c r="E749" t="s">
        <v>3605</v>
      </c>
    </row>
    <row r="750" spans="1:5" x14ac:dyDescent="0.25">
      <c r="A750" t="s">
        <v>3542</v>
      </c>
      <c r="B750" t="s">
        <v>3601</v>
      </c>
      <c r="C750" t="s">
        <v>883</v>
      </c>
      <c r="D750" t="s">
        <v>3602</v>
      </c>
      <c r="E750" t="s">
        <v>3604</v>
      </c>
    </row>
    <row r="751" spans="1:5" x14ac:dyDescent="0.25">
      <c r="A751" t="s">
        <v>3542</v>
      </c>
      <c r="B751" t="s">
        <v>3601</v>
      </c>
      <c r="C751" t="s">
        <v>948</v>
      </c>
      <c r="D751" t="s">
        <v>3603</v>
      </c>
      <c r="E751" t="s">
        <v>3604</v>
      </c>
    </row>
    <row r="752" spans="1:5" x14ac:dyDescent="0.25">
      <c r="A752" t="s">
        <v>3542</v>
      </c>
      <c r="B752" t="s">
        <v>3601</v>
      </c>
      <c r="C752" t="s">
        <v>1513</v>
      </c>
      <c r="D752" t="s">
        <v>3607</v>
      </c>
      <c r="E752" t="s">
        <v>3608</v>
      </c>
    </row>
    <row r="753" spans="1:5" x14ac:dyDescent="0.25">
      <c r="A753" t="s">
        <v>3542</v>
      </c>
      <c r="B753" t="s">
        <v>3601</v>
      </c>
      <c r="C753" t="s">
        <v>2178</v>
      </c>
      <c r="D753" t="s">
        <v>3607</v>
      </c>
      <c r="E753" t="s">
        <v>3608</v>
      </c>
    </row>
    <row r="754" spans="1:5" x14ac:dyDescent="0.25">
      <c r="A754" t="s">
        <v>3542</v>
      </c>
      <c r="B754" t="s">
        <v>3601</v>
      </c>
      <c r="C754" t="s">
        <v>960</v>
      </c>
      <c r="D754" t="s">
        <v>3606</v>
      </c>
      <c r="E754" t="s">
        <v>3603</v>
      </c>
    </row>
    <row r="755" spans="1:5" x14ac:dyDescent="0.25">
      <c r="A755" t="s">
        <v>3542</v>
      </c>
      <c r="B755" t="s">
        <v>3601</v>
      </c>
      <c r="C755" t="s">
        <v>2105</v>
      </c>
      <c r="D755" t="s">
        <v>3603</v>
      </c>
      <c r="E755" t="s">
        <v>3604</v>
      </c>
    </row>
    <row r="756" spans="1:5" x14ac:dyDescent="0.25">
      <c r="A756" t="s">
        <v>3542</v>
      </c>
      <c r="B756" t="s">
        <v>3601</v>
      </c>
      <c r="C756" t="s">
        <v>1167</v>
      </c>
      <c r="D756" t="s">
        <v>3607</v>
      </c>
      <c r="E756" t="s">
        <v>3608</v>
      </c>
    </row>
    <row r="757" spans="1:5" x14ac:dyDescent="0.25">
      <c r="A757" t="s">
        <v>3542</v>
      </c>
      <c r="B757" t="s">
        <v>3601</v>
      </c>
      <c r="C757" t="s">
        <v>1836</v>
      </c>
      <c r="D757" t="s">
        <v>3602</v>
      </c>
      <c r="E757" t="s">
        <v>3603</v>
      </c>
    </row>
    <row r="758" spans="1:5" x14ac:dyDescent="0.25">
      <c r="A758" t="s">
        <v>3542</v>
      </c>
      <c r="B758" t="s">
        <v>3601</v>
      </c>
      <c r="C758" t="s">
        <v>399</v>
      </c>
      <c r="D758" t="s">
        <v>3603</v>
      </c>
      <c r="E758" t="s">
        <v>3605</v>
      </c>
    </row>
    <row r="759" spans="1:5" x14ac:dyDescent="0.25">
      <c r="A759" t="s">
        <v>3542</v>
      </c>
      <c r="B759" t="s">
        <v>3601</v>
      </c>
      <c r="C759" t="s">
        <v>2597</v>
      </c>
      <c r="D759" t="s">
        <v>3602</v>
      </c>
      <c r="E759" t="s">
        <v>3605</v>
      </c>
    </row>
    <row r="760" spans="1:5" x14ac:dyDescent="0.25">
      <c r="A760" t="s">
        <v>3542</v>
      </c>
      <c r="B760" t="s">
        <v>3601</v>
      </c>
      <c r="C760" t="s">
        <v>1121</v>
      </c>
      <c r="D760" t="s">
        <v>3603</v>
      </c>
      <c r="E760" t="s">
        <v>3605</v>
      </c>
    </row>
    <row r="761" spans="1:5" x14ac:dyDescent="0.25">
      <c r="A761" t="s">
        <v>3542</v>
      </c>
      <c r="B761" t="s">
        <v>3601</v>
      </c>
      <c r="C761" t="s">
        <v>2838</v>
      </c>
      <c r="D761" t="s">
        <v>3602</v>
      </c>
      <c r="E761" t="s">
        <v>3609</v>
      </c>
    </row>
    <row r="762" spans="1:5" x14ac:dyDescent="0.25">
      <c r="A762" t="s">
        <v>3542</v>
      </c>
      <c r="B762" t="s">
        <v>3601</v>
      </c>
      <c r="C762" t="s">
        <v>325</v>
      </c>
      <c r="D762" t="s">
        <v>3606</v>
      </c>
      <c r="E762" t="s">
        <v>3604</v>
      </c>
    </row>
    <row r="763" spans="1:5" x14ac:dyDescent="0.25">
      <c r="A763" t="s">
        <v>3542</v>
      </c>
      <c r="B763" t="s">
        <v>3601</v>
      </c>
      <c r="C763" t="s">
        <v>312</v>
      </c>
      <c r="D763" t="s">
        <v>3606</v>
      </c>
      <c r="E763" t="s">
        <v>3604</v>
      </c>
    </row>
    <row r="764" spans="1:5" x14ac:dyDescent="0.25">
      <c r="A764" t="s">
        <v>3542</v>
      </c>
      <c r="B764" t="s">
        <v>3601</v>
      </c>
      <c r="C764" t="s">
        <v>2158</v>
      </c>
      <c r="D764" t="s">
        <v>3607</v>
      </c>
      <c r="E764" t="s">
        <v>3608</v>
      </c>
    </row>
    <row r="765" spans="1:5" x14ac:dyDescent="0.25">
      <c r="A765" t="s">
        <v>3542</v>
      </c>
      <c r="B765" t="s">
        <v>3601</v>
      </c>
      <c r="C765" t="s">
        <v>2537</v>
      </c>
      <c r="D765" t="s">
        <v>3602</v>
      </c>
      <c r="E765" t="s">
        <v>3604</v>
      </c>
    </row>
    <row r="766" spans="1:5" x14ac:dyDescent="0.25">
      <c r="A766" t="s">
        <v>3542</v>
      </c>
      <c r="B766" t="s">
        <v>3601</v>
      </c>
      <c r="C766" t="s">
        <v>2674</v>
      </c>
      <c r="D766" t="s">
        <v>3603</v>
      </c>
      <c r="E766" t="s">
        <v>3603</v>
      </c>
    </row>
    <row r="767" spans="1:5" x14ac:dyDescent="0.25">
      <c r="A767" t="s">
        <v>3542</v>
      </c>
      <c r="B767" t="s">
        <v>3601</v>
      </c>
      <c r="C767" t="s">
        <v>1388</v>
      </c>
      <c r="D767" t="s">
        <v>3603</v>
      </c>
      <c r="E767" t="s">
        <v>3609</v>
      </c>
    </row>
    <row r="768" spans="1:5" x14ac:dyDescent="0.25">
      <c r="A768" t="s">
        <v>3542</v>
      </c>
      <c r="B768" t="s">
        <v>3601</v>
      </c>
      <c r="C768" t="s">
        <v>2409</v>
      </c>
      <c r="D768" t="s">
        <v>3607</v>
      </c>
      <c r="E768" t="s">
        <v>3608</v>
      </c>
    </row>
    <row r="769" spans="1:5" x14ac:dyDescent="0.25">
      <c r="A769" t="s">
        <v>3542</v>
      </c>
      <c r="B769" t="s">
        <v>3601</v>
      </c>
      <c r="C769" t="s">
        <v>2138</v>
      </c>
      <c r="D769" t="s">
        <v>3607</v>
      </c>
      <c r="E769" t="s">
        <v>3608</v>
      </c>
    </row>
    <row r="770" spans="1:5" x14ac:dyDescent="0.25">
      <c r="A770" t="s">
        <v>3542</v>
      </c>
      <c r="B770" t="s">
        <v>3601</v>
      </c>
      <c r="C770" t="s">
        <v>1880</v>
      </c>
      <c r="D770" t="s">
        <v>3602</v>
      </c>
      <c r="E770" t="s">
        <v>3603</v>
      </c>
    </row>
    <row r="771" spans="1:5" x14ac:dyDescent="0.25">
      <c r="A771" t="s">
        <v>3542</v>
      </c>
      <c r="B771" t="s">
        <v>3601</v>
      </c>
      <c r="C771" t="s">
        <v>1651</v>
      </c>
      <c r="D771" t="s">
        <v>3606</v>
      </c>
      <c r="E771" t="s">
        <v>3603</v>
      </c>
    </row>
    <row r="772" spans="1:5" x14ac:dyDescent="0.25">
      <c r="A772" t="s">
        <v>3542</v>
      </c>
      <c r="B772" t="s">
        <v>3601</v>
      </c>
      <c r="C772" t="s">
        <v>2433</v>
      </c>
      <c r="D772" t="s">
        <v>3606</v>
      </c>
      <c r="E772" t="s">
        <v>3604</v>
      </c>
    </row>
    <row r="773" spans="1:5" x14ac:dyDescent="0.25">
      <c r="A773" t="s">
        <v>3542</v>
      </c>
      <c r="B773" t="s">
        <v>3601</v>
      </c>
      <c r="C773" t="s">
        <v>607</v>
      </c>
      <c r="D773" t="s">
        <v>3607</v>
      </c>
      <c r="E773" t="s">
        <v>3608</v>
      </c>
    </row>
    <row r="774" spans="1:5" x14ac:dyDescent="0.25">
      <c r="A774" t="s">
        <v>3542</v>
      </c>
      <c r="B774" t="s">
        <v>3601</v>
      </c>
      <c r="C774" t="s">
        <v>2843</v>
      </c>
      <c r="D774" t="s">
        <v>3607</v>
      </c>
      <c r="E774" t="s">
        <v>3608</v>
      </c>
    </row>
    <row r="775" spans="1:5" x14ac:dyDescent="0.25">
      <c r="A775" t="s">
        <v>3542</v>
      </c>
      <c r="B775" t="s">
        <v>3601</v>
      </c>
      <c r="C775" t="s">
        <v>304</v>
      </c>
      <c r="D775" t="s">
        <v>3606</v>
      </c>
      <c r="E775" t="s">
        <v>3605</v>
      </c>
    </row>
    <row r="776" spans="1:5" x14ac:dyDescent="0.25">
      <c r="A776" t="s">
        <v>3542</v>
      </c>
      <c r="B776" t="s">
        <v>3601</v>
      </c>
      <c r="C776" t="s">
        <v>1077</v>
      </c>
      <c r="D776" t="s">
        <v>3602</v>
      </c>
      <c r="E776" t="s">
        <v>3603</v>
      </c>
    </row>
    <row r="777" spans="1:5" x14ac:dyDescent="0.25">
      <c r="A777" t="s">
        <v>3542</v>
      </c>
      <c r="B777" t="s">
        <v>3601</v>
      </c>
      <c r="C777" t="s">
        <v>2007</v>
      </c>
      <c r="D777" t="s">
        <v>3603</v>
      </c>
      <c r="E777" t="s">
        <v>3603</v>
      </c>
    </row>
    <row r="778" spans="1:5" x14ac:dyDescent="0.25">
      <c r="A778" t="s">
        <v>3542</v>
      </c>
      <c r="B778" t="s">
        <v>3601</v>
      </c>
      <c r="C778" t="s">
        <v>132</v>
      </c>
      <c r="D778" t="s">
        <v>3607</v>
      </c>
      <c r="E778" t="s">
        <v>3608</v>
      </c>
    </row>
    <row r="779" spans="1:5" x14ac:dyDescent="0.25">
      <c r="A779" t="s">
        <v>3542</v>
      </c>
      <c r="B779" t="s">
        <v>3601</v>
      </c>
      <c r="C779" t="s">
        <v>107</v>
      </c>
      <c r="D779" t="s">
        <v>3602</v>
      </c>
      <c r="E779" t="s">
        <v>3605</v>
      </c>
    </row>
    <row r="780" spans="1:5" x14ac:dyDescent="0.25">
      <c r="A780" t="s">
        <v>3542</v>
      </c>
      <c r="B780" t="s">
        <v>3601</v>
      </c>
      <c r="C780" t="s">
        <v>2143</v>
      </c>
      <c r="D780" t="s">
        <v>3603</v>
      </c>
      <c r="E780" t="s">
        <v>3605</v>
      </c>
    </row>
    <row r="781" spans="1:5" x14ac:dyDescent="0.25">
      <c r="A781" t="s">
        <v>3542</v>
      </c>
      <c r="B781" t="s">
        <v>3601</v>
      </c>
      <c r="C781" t="s">
        <v>2272</v>
      </c>
      <c r="D781" t="s">
        <v>3602</v>
      </c>
      <c r="E781" t="s">
        <v>3609</v>
      </c>
    </row>
    <row r="782" spans="1:5" x14ac:dyDescent="0.25">
      <c r="A782" t="s">
        <v>3542</v>
      </c>
      <c r="B782" t="s">
        <v>3601</v>
      </c>
      <c r="C782" t="s">
        <v>1871</v>
      </c>
      <c r="D782" t="s">
        <v>3602</v>
      </c>
      <c r="E782" t="s">
        <v>3603</v>
      </c>
    </row>
    <row r="783" spans="1:5" x14ac:dyDescent="0.25">
      <c r="A783" t="s">
        <v>3542</v>
      </c>
      <c r="B783" t="s">
        <v>3601</v>
      </c>
      <c r="C783" t="s">
        <v>2263</v>
      </c>
      <c r="D783" t="s">
        <v>3606</v>
      </c>
      <c r="E783" t="s">
        <v>3605</v>
      </c>
    </row>
    <row r="784" spans="1:5" x14ac:dyDescent="0.25">
      <c r="A784" t="s">
        <v>3542</v>
      </c>
      <c r="B784" t="s">
        <v>3601</v>
      </c>
      <c r="C784" t="s">
        <v>1591</v>
      </c>
      <c r="D784" t="s">
        <v>3602</v>
      </c>
      <c r="E784" t="s">
        <v>3605</v>
      </c>
    </row>
    <row r="785" spans="1:5" x14ac:dyDescent="0.25">
      <c r="A785" t="s">
        <v>3542</v>
      </c>
      <c r="B785" t="s">
        <v>3601</v>
      </c>
      <c r="C785" t="s">
        <v>415</v>
      </c>
      <c r="D785" t="s">
        <v>3602</v>
      </c>
      <c r="E785" t="s">
        <v>3609</v>
      </c>
    </row>
    <row r="786" spans="1:5" x14ac:dyDescent="0.25">
      <c r="A786" t="s">
        <v>3542</v>
      </c>
      <c r="B786" t="s">
        <v>3601</v>
      </c>
      <c r="C786" t="s">
        <v>2709</v>
      </c>
      <c r="D786" t="s">
        <v>3602</v>
      </c>
      <c r="E786" t="s">
        <v>3603</v>
      </c>
    </row>
    <row r="787" spans="1:5" x14ac:dyDescent="0.25">
      <c r="A787" t="s">
        <v>3542</v>
      </c>
      <c r="B787" t="s">
        <v>3601</v>
      </c>
      <c r="C787" t="s">
        <v>1316</v>
      </c>
      <c r="D787" t="s">
        <v>3602</v>
      </c>
      <c r="E787" t="s">
        <v>3604</v>
      </c>
    </row>
    <row r="788" spans="1:5" x14ac:dyDescent="0.25">
      <c r="A788" t="s">
        <v>3542</v>
      </c>
      <c r="B788" t="s">
        <v>3601</v>
      </c>
      <c r="C788" t="s">
        <v>2361</v>
      </c>
      <c r="D788" t="s">
        <v>3602</v>
      </c>
      <c r="E788" t="s">
        <v>3603</v>
      </c>
    </row>
    <row r="789" spans="1:5" x14ac:dyDescent="0.25">
      <c r="A789" t="s">
        <v>3542</v>
      </c>
      <c r="B789" t="s">
        <v>3601</v>
      </c>
      <c r="C789" t="s">
        <v>522</v>
      </c>
      <c r="D789" t="s">
        <v>3606</v>
      </c>
      <c r="E789" t="s">
        <v>3604</v>
      </c>
    </row>
    <row r="790" spans="1:5" x14ac:dyDescent="0.25">
      <c r="A790" t="s">
        <v>3542</v>
      </c>
      <c r="B790" t="s">
        <v>3601</v>
      </c>
      <c r="C790" t="s">
        <v>318</v>
      </c>
      <c r="D790" t="s">
        <v>3603</v>
      </c>
      <c r="E790" t="s">
        <v>3603</v>
      </c>
    </row>
    <row r="791" spans="1:5" x14ac:dyDescent="0.25">
      <c r="A791" t="s">
        <v>3542</v>
      </c>
      <c r="B791" t="s">
        <v>3601</v>
      </c>
      <c r="C791" t="s">
        <v>594</v>
      </c>
      <c r="D791" t="s">
        <v>3606</v>
      </c>
      <c r="E791" t="s">
        <v>3603</v>
      </c>
    </row>
    <row r="792" spans="1:5" x14ac:dyDescent="0.25">
      <c r="A792" t="s">
        <v>3542</v>
      </c>
      <c r="B792" t="s">
        <v>3601</v>
      </c>
      <c r="C792" t="s">
        <v>664</v>
      </c>
      <c r="D792" t="s">
        <v>3603</v>
      </c>
      <c r="E792" t="s">
        <v>3603</v>
      </c>
    </row>
    <row r="793" spans="1:5" x14ac:dyDescent="0.25">
      <c r="A793" t="s">
        <v>3542</v>
      </c>
      <c r="B793" t="s">
        <v>3601</v>
      </c>
      <c r="C793" t="s">
        <v>2091</v>
      </c>
      <c r="D793" t="s">
        <v>3603</v>
      </c>
      <c r="E793" t="s">
        <v>3609</v>
      </c>
    </row>
    <row r="794" spans="1:5" x14ac:dyDescent="0.25">
      <c r="A794" t="s">
        <v>3542</v>
      </c>
      <c r="B794" t="s">
        <v>3601</v>
      </c>
      <c r="C794" t="s">
        <v>1023</v>
      </c>
      <c r="D794" t="s">
        <v>3602</v>
      </c>
      <c r="E794" t="s">
        <v>3603</v>
      </c>
    </row>
    <row r="795" spans="1:5" x14ac:dyDescent="0.25">
      <c r="A795" t="s">
        <v>3542</v>
      </c>
      <c r="B795" t="s">
        <v>3601</v>
      </c>
      <c r="C795" t="s">
        <v>1116</v>
      </c>
      <c r="D795" t="s">
        <v>3603</v>
      </c>
      <c r="E795" t="s">
        <v>3605</v>
      </c>
    </row>
    <row r="796" spans="1:5" x14ac:dyDescent="0.25">
      <c r="A796" t="s">
        <v>3542</v>
      </c>
      <c r="B796" t="s">
        <v>3601</v>
      </c>
      <c r="C796" t="s">
        <v>363</v>
      </c>
      <c r="D796" t="s">
        <v>3607</v>
      </c>
      <c r="E796" t="s">
        <v>3608</v>
      </c>
    </row>
    <row r="797" spans="1:5" x14ac:dyDescent="0.25">
      <c r="A797" t="s">
        <v>3542</v>
      </c>
      <c r="B797" t="s">
        <v>3601</v>
      </c>
      <c r="C797" t="s">
        <v>1377</v>
      </c>
      <c r="D797" t="s">
        <v>3607</v>
      </c>
      <c r="E797" t="s">
        <v>3608</v>
      </c>
    </row>
    <row r="798" spans="1:5" x14ac:dyDescent="0.25">
      <c r="A798" t="s">
        <v>3542</v>
      </c>
      <c r="B798" t="s">
        <v>3601</v>
      </c>
      <c r="C798" t="s">
        <v>2714</v>
      </c>
      <c r="D798" t="s">
        <v>3607</v>
      </c>
      <c r="E798" t="s">
        <v>3608</v>
      </c>
    </row>
    <row r="799" spans="1:5" x14ac:dyDescent="0.25">
      <c r="A799" t="s">
        <v>3542</v>
      </c>
      <c r="B799" t="s">
        <v>3601</v>
      </c>
      <c r="C799" t="s">
        <v>1084</v>
      </c>
      <c r="D799" t="s">
        <v>3607</v>
      </c>
      <c r="E799" t="s">
        <v>3608</v>
      </c>
    </row>
    <row r="800" spans="1:5" x14ac:dyDescent="0.25">
      <c r="A800" t="s">
        <v>3542</v>
      </c>
      <c r="B800" t="s">
        <v>3601</v>
      </c>
      <c r="C800" t="s">
        <v>1746</v>
      </c>
      <c r="D800" t="s">
        <v>3602</v>
      </c>
      <c r="E800" t="s">
        <v>3603</v>
      </c>
    </row>
    <row r="801" spans="1:5" x14ac:dyDescent="0.25">
      <c r="A801" t="s">
        <v>3542</v>
      </c>
      <c r="B801" t="s">
        <v>3601</v>
      </c>
      <c r="C801" t="s">
        <v>2277</v>
      </c>
      <c r="D801" t="s">
        <v>3602</v>
      </c>
      <c r="E801" t="s">
        <v>3605</v>
      </c>
    </row>
    <row r="802" spans="1:5" x14ac:dyDescent="0.25">
      <c r="A802" t="s">
        <v>3542</v>
      </c>
      <c r="B802" t="s">
        <v>3601</v>
      </c>
      <c r="C802" t="s">
        <v>2042</v>
      </c>
      <c r="D802" t="s">
        <v>3603</v>
      </c>
      <c r="E802" t="s">
        <v>3604</v>
      </c>
    </row>
    <row r="803" spans="1:5" x14ac:dyDescent="0.25">
      <c r="A803" t="s">
        <v>3542</v>
      </c>
      <c r="B803" t="s">
        <v>3610</v>
      </c>
      <c r="C803" t="s">
        <v>2995</v>
      </c>
      <c r="D803" t="s">
        <v>3611</v>
      </c>
      <c r="E803" t="s">
        <v>3608</v>
      </c>
    </row>
    <row r="804" spans="1:5" x14ac:dyDescent="0.25">
      <c r="A804" t="s">
        <v>3542</v>
      </c>
      <c r="B804" t="s">
        <v>3610</v>
      </c>
      <c r="C804" t="s">
        <v>2887</v>
      </c>
      <c r="D804" t="s">
        <v>3606</v>
      </c>
      <c r="E804" t="s">
        <v>3608</v>
      </c>
    </row>
    <row r="805" spans="1:5" x14ac:dyDescent="0.25">
      <c r="A805" t="s">
        <v>3542</v>
      </c>
      <c r="B805" t="s">
        <v>3610</v>
      </c>
      <c r="C805" t="s">
        <v>2954</v>
      </c>
      <c r="D805" t="s">
        <v>3611</v>
      </c>
      <c r="E805" t="s">
        <v>3608</v>
      </c>
    </row>
    <row r="806" spans="1:5" x14ac:dyDescent="0.25">
      <c r="A806" t="s">
        <v>3542</v>
      </c>
      <c r="B806" t="s">
        <v>3610</v>
      </c>
      <c r="C806" t="s">
        <v>2990</v>
      </c>
      <c r="D806" t="s">
        <v>3612</v>
      </c>
      <c r="E806" t="s">
        <v>3608</v>
      </c>
    </row>
    <row r="807" spans="1:5" x14ac:dyDescent="0.25">
      <c r="A807" t="s">
        <v>3542</v>
      </c>
      <c r="B807" t="s">
        <v>3610</v>
      </c>
      <c r="C807" t="s">
        <v>2930</v>
      </c>
      <c r="D807" t="s">
        <v>3612</v>
      </c>
      <c r="E807" t="s">
        <v>3608</v>
      </c>
    </row>
    <row r="808" spans="1:5" x14ac:dyDescent="0.25">
      <c r="A808" t="s">
        <v>3545</v>
      </c>
      <c r="B808" t="s">
        <v>3601</v>
      </c>
      <c r="C808" t="s">
        <v>1612</v>
      </c>
      <c r="D808" t="s">
        <v>3603</v>
      </c>
      <c r="E808" t="s">
        <v>3603</v>
      </c>
    </row>
    <row r="809" spans="1:5" x14ac:dyDescent="0.25">
      <c r="A809" t="s">
        <v>3545</v>
      </c>
      <c r="B809" t="s">
        <v>3601</v>
      </c>
      <c r="C809" t="s">
        <v>356</v>
      </c>
      <c r="D809" t="s">
        <v>3603</v>
      </c>
      <c r="E809" t="s">
        <v>3605</v>
      </c>
    </row>
    <row r="810" spans="1:5" x14ac:dyDescent="0.25">
      <c r="A810" t="s">
        <v>3545</v>
      </c>
      <c r="B810" t="s">
        <v>3601</v>
      </c>
      <c r="C810" t="s">
        <v>1953</v>
      </c>
      <c r="D810" t="s">
        <v>3603</v>
      </c>
      <c r="E810" t="s">
        <v>3603</v>
      </c>
    </row>
    <row r="811" spans="1:5" x14ac:dyDescent="0.25">
      <c r="A811" t="s">
        <v>3545</v>
      </c>
      <c r="B811" t="s">
        <v>3601</v>
      </c>
      <c r="C811" t="s">
        <v>955</v>
      </c>
      <c r="D811" t="s">
        <v>3606</v>
      </c>
      <c r="E811" t="s">
        <v>3609</v>
      </c>
    </row>
    <row r="812" spans="1:5" x14ac:dyDescent="0.25">
      <c r="A812" t="s">
        <v>3545</v>
      </c>
      <c r="B812" t="s">
        <v>3601</v>
      </c>
      <c r="C812" t="s">
        <v>2578</v>
      </c>
      <c r="D812" t="s">
        <v>3602</v>
      </c>
      <c r="E812" t="s">
        <v>3609</v>
      </c>
    </row>
    <row r="813" spans="1:5" x14ac:dyDescent="0.25">
      <c r="A813" t="s">
        <v>3545</v>
      </c>
      <c r="B813" t="s">
        <v>3601</v>
      </c>
      <c r="C813" t="s">
        <v>1800</v>
      </c>
      <c r="D813" t="s">
        <v>3602</v>
      </c>
      <c r="E813" t="s">
        <v>3609</v>
      </c>
    </row>
    <row r="814" spans="1:5" x14ac:dyDescent="0.25">
      <c r="A814" t="s">
        <v>3545</v>
      </c>
      <c r="B814" t="s">
        <v>3601</v>
      </c>
      <c r="C814" t="s">
        <v>2178</v>
      </c>
      <c r="D814" t="s">
        <v>3602</v>
      </c>
      <c r="E814" t="s">
        <v>3603</v>
      </c>
    </row>
    <row r="815" spans="1:5" x14ac:dyDescent="0.25">
      <c r="A815" t="s">
        <v>3545</v>
      </c>
      <c r="B815" t="s">
        <v>3601</v>
      </c>
      <c r="C815" t="s">
        <v>997</v>
      </c>
      <c r="D815" t="s">
        <v>3603</v>
      </c>
      <c r="E815" t="s">
        <v>3605</v>
      </c>
    </row>
    <row r="816" spans="1:5" x14ac:dyDescent="0.25">
      <c r="A816" t="s">
        <v>3545</v>
      </c>
      <c r="B816" t="s">
        <v>3601</v>
      </c>
      <c r="C816" t="s">
        <v>2325</v>
      </c>
      <c r="D816" t="s">
        <v>3606</v>
      </c>
      <c r="E816" t="s">
        <v>3605</v>
      </c>
    </row>
    <row r="817" spans="1:5" x14ac:dyDescent="0.25">
      <c r="A817" t="s">
        <v>3545</v>
      </c>
      <c r="B817" t="s">
        <v>3601</v>
      </c>
      <c r="C817" t="s">
        <v>1852</v>
      </c>
      <c r="D817" t="s">
        <v>3603</v>
      </c>
      <c r="E817" t="s">
        <v>3604</v>
      </c>
    </row>
    <row r="818" spans="1:5" x14ac:dyDescent="0.25">
      <c r="A818" t="s">
        <v>3545</v>
      </c>
      <c r="B818" t="s">
        <v>3601</v>
      </c>
      <c r="C818" t="s">
        <v>2366</v>
      </c>
      <c r="D818" t="s">
        <v>3603</v>
      </c>
      <c r="E818" t="s">
        <v>3609</v>
      </c>
    </row>
    <row r="819" spans="1:5" x14ac:dyDescent="0.25">
      <c r="A819" t="s">
        <v>3545</v>
      </c>
      <c r="B819" t="s">
        <v>3601</v>
      </c>
      <c r="C819" t="s">
        <v>2459</v>
      </c>
      <c r="D819" t="s">
        <v>3602</v>
      </c>
      <c r="E819" t="s">
        <v>3605</v>
      </c>
    </row>
    <row r="820" spans="1:5" x14ac:dyDescent="0.25">
      <c r="A820" t="s">
        <v>3545</v>
      </c>
      <c r="B820" t="s">
        <v>3601</v>
      </c>
      <c r="C820" t="s">
        <v>1570</v>
      </c>
      <c r="D820" t="s">
        <v>3603</v>
      </c>
      <c r="E820" t="s">
        <v>3604</v>
      </c>
    </row>
    <row r="821" spans="1:5" x14ac:dyDescent="0.25">
      <c r="A821" t="s">
        <v>3545</v>
      </c>
      <c r="B821" t="s">
        <v>3601</v>
      </c>
      <c r="C821" t="s">
        <v>44</v>
      </c>
      <c r="D821" t="s">
        <v>3606</v>
      </c>
      <c r="E821" t="s">
        <v>3603</v>
      </c>
    </row>
    <row r="822" spans="1:5" x14ac:dyDescent="0.25">
      <c r="A822" t="s">
        <v>3545</v>
      </c>
      <c r="B822" t="s">
        <v>3601</v>
      </c>
      <c r="C822" t="s">
        <v>1715</v>
      </c>
      <c r="D822" t="s">
        <v>3603</v>
      </c>
      <c r="E822" t="s">
        <v>3609</v>
      </c>
    </row>
    <row r="823" spans="1:5" x14ac:dyDescent="0.25">
      <c r="A823" t="s">
        <v>3545</v>
      </c>
      <c r="B823" t="s">
        <v>3601</v>
      </c>
      <c r="C823" t="s">
        <v>415</v>
      </c>
      <c r="D823" t="s">
        <v>3602</v>
      </c>
      <c r="E823" t="s">
        <v>3603</v>
      </c>
    </row>
    <row r="824" spans="1:5" x14ac:dyDescent="0.25">
      <c r="A824" t="s">
        <v>3545</v>
      </c>
      <c r="B824" t="s">
        <v>3601</v>
      </c>
      <c r="C824" t="s">
        <v>1942</v>
      </c>
      <c r="D824" t="s">
        <v>3606</v>
      </c>
      <c r="E824" t="s">
        <v>3604</v>
      </c>
    </row>
    <row r="825" spans="1:5" x14ac:dyDescent="0.25">
      <c r="A825" t="s">
        <v>3545</v>
      </c>
      <c r="B825" t="s">
        <v>3601</v>
      </c>
      <c r="C825" t="s">
        <v>893</v>
      </c>
      <c r="D825" t="s">
        <v>3602</v>
      </c>
      <c r="E825" t="s">
        <v>3604</v>
      </c>
    </row>
    <row r="826" spans="1:5" x14ac:dyDescent="0.25">
      <c r="A826" t="s">
        <v>3545</v>
      </c>
      <c r="B826" t="s">
        <v>3601</v>
      </c>
      <c r="C826" t="s">
        <v>1072</v>
      </c>
      <c r="D826" t="s">
        <v>3607</v>
      </c>
      <c r="E826" t="s">
        <v>3608</v>
      </c>
    </row>
    <row r="827" spans="1:5" x14ac:dyDescent="0.25">
      <c r="A827" t="s">
        <v>3545</v>
      </c>
      <c r="B827" t="s">
        <v>3601</v>
      </c>
      <c r="C827" t="s">
        <v>77</v>
      </c>
      <c r="D827" t="s">
        <v>3602</v>
      </c>
      <c r="E827" t="s">
        <v>3603</v>
      </c>
    </row>
    <row r="828" spans="1:5" x14ac:dyDescent="0.25">
      <c r="A828" t="s">
        <v>3545</v>
      </c>
      <c r="B828" t="s">
        <v>3601</v>
      </c>
      <c r="C828" t="s">
        <v>979</v>
      </c>
      <c r="D828" t="s">
        <v>3606</v>
      </c>
      <c r="E828" t="s">
        <v>3604</v>
      </c>
    </row>
    <row r="829" spans="1:5" x14ac:dyDescent="0.25">
      <c r="A829" t="s">
        <v>3545</v>
      </c>
      <c r="B829" t="s">
        <v>3601</v>
      </c>
      <c r="C829" t="s">
        <v>1399</v>
      </c>
      <c r="D829" t="s">
        <v>3607</v>
      </c>
      <c r="E829" t="s">
        <v>3608</v>
      </c>
    </row>
    <row r="830" spans="1:5" x14ac:dyDescent="0.25">
      <c r="A830" t="s">
        <v>3545</v>
      </c>
      <c r="B830" t="s">
        <v>3601</v>
      </c>
      <c r="C830" t="s">
        <v>469</v>
      </c>
      <c r="D830" t="s">
        <v>3606</v>
      </c>
      <c r="E830" t="s">
        <v>3605</v>
      </c>
    </row>
    <row r="831" spans="1:5" x14ac:dyDescent="0.25">
      <c r="A831" t="s">
        <v>3545</v>
      </c>
      <c r="B831" t="s">
        <v>3601</v>
      </c>
      <c r="C831" t="s">
        <v>2623</v>
      </c>
      <c r="D831" t="s">
        <v>3603</v>
      </c>
      <c r="E831" t="s">
        <v>3605</v>
      </c>
    </row>
    <row r="832" spans="1:5" x14ac:dyDescent="0.25">
      <c r="A832" t="s">
        <v>3545</v>
      </c>
      <c r="B832" t="s">
        <v>3601</v>
      </c>
      <c r="C832" t="s">
        <v>1969</v>
      </c>
      <c r="D832" t="s">
        <v>3606</v>
      </c>
      <c r="E832" t="s">
        <v>3603</v>
      </c>
    </row>
    <row r="833" spans="1:5" x14ac:dyDescent="0.25">
      <c r="A833" t="s">
        <v>3545</v>
      </c>
      <c r="B833" t="s">
        <v>3601</v>
      </c>
      <c r="C833" t="s">
        <v>1002</v>
      </c>
      <c r="D833" t="s">
        <v>3603</v>
      </c>
      <c r="E833" t="s">
        <v>3603</v>
      </c>
    </row>
    <row r="834" spans="1:5" x14ac:dyDescent="0.25">
      <c r="A834" t="s">
        <v>3545</v>
      </c>
      <c r="B834" t="s">
        <v>3601</v>
      </c>
      <c r="C834" t="s">
        <v>2793</v>
      </c>
      <c r="D834" t="s">
        <v>3603</v>
      </c>
      <c r="E834" t="s">
        <v>3609</v>
      </c>
    </row>
    <row r="835" spans="1:5" x14ac:dyDescent="0.25">
      <c r="A835" t="s">
        <v>3545</v>
      </c>
      <c r="B835" t="s">
        <v>3601</v>
      </c>
      <c r="C835" t="s">
        <v>1294</v>
      </c>
      <c r="D835" t="s">
        <v>3607</v>
      </c>
      <c r="E835" t="s">
        <v>3608</v>
      </c>
    </row>
    <row r="836" spans="1:5" x14ac:dyDescent="0.25">
      <c r="A836" t="s">
        <v>3545</v>
      </c>
      <c r="B836" t="s">
        <v>3601</v>
      </c>
      <c r="C836" t="s">
        <v>32</v>
      </c>
      <c r="D836" t="s">
        <v>3607</v>
      </c>
      <c r="E836" t="s">
        <v>3608</v>
      </c>
    </row>
    <row r="837" spans="1:5" x14ac:dyDescent="0.25">
      <c r="A837" t="s">
        <v>3545</v>
      </c>
      <c r="B837" t="s">
        <v>3601</v>
      </c>
      <c r="C837" t="s">
        <v>1211</v>
      </c>
      <c r="D837" t="s">
        <v>3603</v>
      </c>
      <c r="E837" t="s">
        <v>3603</v>
      </c>
    </row>
    <row r="838" spans="1:5" x14ac:dyDescent="0.25">
      <c r="A838" t="s">
        <v>3545</v>
      </c>
      <c r="B838" t="s">
        <v>3601</v>
      </c>
      <c r="C838" t="s">
        <v>1084</v>
      </c>
      <c r="D838" t="s">
        <v>3603</v>
      </c>
      <c r="E838" t="s">
        <v>3609</v>
      </c>
    </row>
    <row r="839" spans="1:5" x14ac:dyDescent="0.25">
      <c r="A839" t="s">
        <v>3545</v>
      </c>
      <c r="B839" t="s">
        <v>3601</v>
      </c>
      <c r="C839" t="s">
        <v>1394</v>
      </c>
      <c r="D839" t="s">
        <v>3607</v>
      </c>
      <c r="E839" t="s">
        <v>3608</v>
      </c>
    </row>
    <row r="840" spans="1:5" x14ac:dyDescent="0.25">
      <c r="A840" t="s">
        <v>3545</v>
      </c>
      <c r="B840" t="s">
        <v>3601</v>
      </c>
      <c r="C840" t="s">
        <v>462</v>
      </c>
      <c r="D840" t="s">
        <v>3603</v>
      </c>
      <c r="E840" t="s">
        <v>3603</v>
      </c>
    </row>
    <row r="841" spans="1:5" x14ac:dyDescent="0.25">
      <c r="A841" t="s">
        <v>3545</v>
      </c>
      <c r="B841" t="s">
        <v>3601</v>
      </c>
      <c r="C841" t="s">
        <v>1534</v>
      </c>
      <c r="D841" t="s">
        <v>3606</v>
      </c>
      <c r="E841" t="s">
        <v>3604</v>
      </c>
    </row>
    <row r="842" spans="1:5" x14ac:dyDescent="0.25">
      <c r="A842" t="s">
        <v>3545</v>
      </c>
      <c r="B842" t="s">
        <v>3601</v>
      </c>
      <c r="C842" t="s">
        <v>490</v>
      </c>
      <c r="D842" t="s">
        <v>3606</v>
      </c>
      <c r="E842" t="s">
        <v>3603</v>
      </c>
    </row>
    <row r="843" spans="1:5" x14ac:dyDescent="0.25">
      <c r="A843" t="s">
        <v>3545</v>
      </c>
      <c r="B843" t="s">
        <v>3601</v>
      </c>
      <c r="C843" t="s">
        <v>2803</v>
      </c>
      <c r="D843" t="s">
        <v>3607</v>
      </c>
      <c r="E843" t="s">
        <v>3608</v>
      </c>
    </row>
    <row r="844" spans="1:5" x14ac:dyDescent="0.25">
      <c r="A844" t="s">
        <v>3545</v>
      </c>
      <c r="B844" t="s">
        <v>3601</v>
      </c>
      <c r="C844" t="s">
        <v>2862</v>
      </c>
      <c r="D844" t="s">
        <v>3602</v>
      </c>
      <c r="E844" t="s">
        <v>3609</v>
      </c>
    </row>
    <row r="845" spans="1:5" x14ac:dyDescent="0.25">
      <c r="A845" t="s">
        <v>3545</v>
      </c>
      <c r="B845" t="s">
        <v>3601</v>
      </c>
      <c r="C845" t="s">
        <v>1508</v>
      </c>
      <c r="D845" t="s">
        <v>3607</v>
      </c>
      <c r="E845" t="s">
        <v>3608</v>
      </c>
    </row>
    <row r="846" spans="1:5" x14ac:dyDescent="0.25">
      <c r="A846" t="s">
        <v>3545</v>
      </c>
      <c r="B846" t="s">
        <v>3601</v>
      </c>
      <c r="C846" t="s">
        <v>1248</v>
      </c>
      <c r="D846" t="s">
        <v>3603</v>
      </c>
      <c r="E846" t="s">
        <v>3603</v>
      </c>
    </row>
    <row r="847" spans="1:5" x14ac:dyDescent="0.25">
      <c r="A847" t="s">
        <v>3545</v>
      </c>
      <c r="B847" t="s">
        <v>3601</v>
      </c>
      <c r="C847" t="s">
        <v>1321</v>
      </c>
      <c r="D847" t="s">
        <v>3602</v>
      </c>
      <c r="E847" t="s">
        <v>3609</v>
      </c>
    </row>
    <row r="848" spans="1:5" x14ac:dyDescent="0.25">
      <c r="A848" t="s">
        <v>3545</v>
      </c>
      <c r="B848" t="s">
        <v>3601</v>
      </c>
      <c r="C848" t="s">
        <v>1513</v>
      </c>
      <c r="D848" t="s">
        <v>3602</v>
      </c>
      <c r="E848" t="s">
        <v>3605</v>
      </c>
    </row>
    <row r="849" spans="1:5" x14ac:dyDescent="0.25">
      <c r="A849" t="s">
        <v>3545</v>
      </c>
      <c r="B849" t="s">
        <v>3601</v>
      </c>
      <c r="C849" t="s">
        <v>1271</v>
      </c>
      <c r="D849" t="s">
        <v>3606</v>
      </c>
      <c r="E849" t="s">
        <v>3604</v>
      </c>
    </row>
    <row r="850" spans="1:5" x14ac:dyDescent="0.25">
      <c r="A850" t="s">
        <v>3545</v>
      </c>
      <c r="B850" t="s">
        <v>3601</v>
      </c>
      <c r="C850" t="s">
        <v>1705</v>
      </c>
      <c r="D850" t="s">
        <v>3602</v>
      </c>
      <c r="E850" t="s">
        <v>3604</v>
      </c>
    </row>
    <row r="851" spans="1:5" x14ac:dyDescent="0.25">
      <c r="A851" t="s">
        <v>3545</v>
      </c>
      <c r="B851" t="s">
        <v>3601</v>
      </c>
      <c r="C851" t="s">
        <v>723</v>
      </c>
      <c r="D851" t="s">
        <v>3606</v>
      </c>
      <c r="E851" t="s">
        <v>3604</v>
      </c>
    </row>
    <row r="852" spans="1:5" x14ac:dyDescent="0.25">
      <c r="A852" t="s">
        <v>3545</v>
      </c>
      <c r="B852" t="s">
        <v>3601</v>
      </c>
      <c r="C852" t="s">
        <v>2638</v>
      </c>
      <c r="D852" t="s">
        <v>3606</v>
      </c>
      <c r="E852" t="s">
        <v>3603</v>
      </c>
    </row>
    <row r="853" spans="1:5" x14ac:dyDescent="0.25">
      <c r="A853" t="s">
        <v>3545</v>
      </c>
      <c r="B853" t="s">
        <v>3601</v>
      </c>
      <c r="C853" t="s">
        <v>1937</v>
      </c>
      <c r="D853" t="s">
        <v>3606</v>
      </c>
      <c r="E853" t="s">
        <v>3605</v>
      </c>
    </row>
    <row r="854" spans="1:5" x14ac:dyDescent="0.25">
      <c r="A854" t="s">
        <v>3545</v>
      </c>
      <c r="B854" t="s">
        <v>3601</v>
      </c>
      <c r="C854" t="s">
        <v>1216</v>
      </c>
      <c r="D854" t="s">
        <v>3607</v>
      </c>
      <c r="E854" t="s">
        <v>3608</v>
      </c>
    </row>
    <row r="855" spans="1:5" x14ac:dyDescent="0.25">
      <c r="A855" t="s">
        <v>3545</v>
      </c>
      <c r="B855" t="s">
        <v>3601</v>
      </c>
      <c r="C855" t="s">
        <v>1413</v>
      </c>
      <c r="D855" t="s">
        <v>3602</v>
      </c>
      <c r="E855" t="s">
        <v>3605</v>
      </c>
    </row>
    <row r="856" spans="1:5" x14ac:dyDescent="0.25">
      <c r="A856" t="s">
        <v>3545</v>
      </c>
      <c r="B856" t="s">
        <v>3601</v>
      </c>
      <c r="C856" t="s">
        <v>2042</v>
      </c>
      <c r="D856" t="s">
        <v>3602</v>
      </c>
      <c r="E856" t="s">
        <v>3603</v>
      </c>
    </row>
    <row r="857" spans="1:5" x14ac:dyDescent="0.25">
      <c r="A857" t="s">
        <v>3545</v>
      </c>
      <c r="B857" t="s">
        <v>3601</v>
      </c>
      <c r="C857" t="s">
        <v>235</v>
      </c>
      <c r="D857" t="s">
        <v>3607</v>
      </c>
      <c r="E857" t="s">
        <v>3608</v>
      </c>
    </row>
    <row r="858" spans="1:5" x14ac:dyDescent="0.25">
      <c r="A858" t="s">
        <v>3545</v>
      </c>
      <c r="B858" t="s">
        <v>3601</v>
      </c>
      <c r="C858" t="s">
        <v>1242</v>
      </c>
      <c r="D858" t="s">
        <v>3603</v>
      </c>
      <c r="E858" t="s">
        <v>3603</v>
      </c>
    </row>
    <row r="859" spans="1:5" x14ac:dyDescent="0.25">
      <c r="A859" t="s">
        <v>3545</v>
      </c>
      <c r="B859" t="s">
        <v>3601</v>
      </c>
      <c r="C859" t="s">
        <v>2474</v>
      </c>
      <c r="D859" t="s">
        <v>3602</v>
      </c>
      <c r="E859" t="s">
        <v>3604</v>
      </c>
    </row>
    <row r="860" spans="1:5" x14ac:dyDescent="0.25">
      <c r="A860" t="s">
        <v>3545</v>
      </c>
      <c r="B860" t="s">
        <v>3601</v>
      </c>
      <c r="C860" t="s">
        <v>2423</v>
      </c>
      <c r="D860" t="s">
        <v>3606</v>
      </c>
      <c r="E860" t="s">
        <v>3603</v>
      </c>
    </row>
    <row r="861" spans="1:5" x14ac:dyDescent="0.25">
      <c r="A861" t="s">
        <v>3545</v>
      </c>
      <c r="B861" t="s">
        <v>3601</v>
      </c>
      <c r="C861" t="s">
        <v>2694</v>
      </c>
      <c r="D861" t="s">
        <v>3606</v>
      </c>
      <c r="E861" t="s">
        <v>3603</v>
      </c>
    </row>
    <row r="862" spans="1:5" x14ac:dyDescent="0.25">
      <c r="A862" t="s">
        <v>3545</v>
      </c>
      <c r="B862" t="s">
        <v>3601</v>
      </c>
      <c r="C862" t="s">
        <v>2738</v>
      </c>
      <c r="D862" t="s">
        <v>3607</v>
      </c>
      <c r="E862" t="s">
        <v>3608</v>
      </c>
    </row>
    <row r="863" spans="1:5" x14ac:dyDescent="0.25">
      <c r="A863" t="s">
        <v>3545</v>
      </c>
      <c r="B863" t="s">
        <v>3601</v>
      </c>
      <c r="C863" t="s">
        <v>2853</v>
      </c>
      <c r="D863" t="s">
        <v>3603</v>
      </c>
      <c r="E863" t="s">
        <v>3609</v>
      </c>
    </row>
    <row r="864" spans="1:5" x14ac:dyDescent="0.25">
      <c r="A864" t="s">
        <v>3545</v>
      </c>
      <c r="B864" t="s">
        <v>3601</v>
      </c>
      <c r="C864" t="s">
        <v>2501</v>
      </c>
      <c r="D864" t="s">
        <v>3607</v>
      </c>
      <c r="E864" t="s">
        <v>3608</v>
      </c>
    </row>
    <row r="865" spans="1:5" x14ac:dyDescent="0.25">
      <c r="A865" t="s">
        <v>3545</v>
      </c>
      <c r="B865" t="s">
        <v>3601</v>
      </c>
      <c r="C865" t="s">
        <v>509</v>
      </c>
      <c r="D865" t="s">
        <v>3607</v>
      </c>
      <c r="E865" t="s">
        <v>3608</v>
      </c>
    </row>
    <row r="866" spans="1:5" x14ac:dyDescent="0.25">
      <c r="A866" t="s">
        <v>3545</v>
      </c>
      <c r="B866" t="s">
        <v>3601</v>
      </c>
      <c r="C866" t="s">
        <v>758</v>
      </c>
      <c r="D866" t="s">
        <v>3606</v>
      </c>
      <c r="E866" t="s">
        <v>3605</v>
      </c>
    </row>
    <row r="867" spans="1:5" x14ac:dyDescent="0.25">
      <c r="A867" t="s">
        <v>3545</v>
      </c>
      <c r="B867" t="s">
        <v>3601</v>
      </c>
      <c r="C867" t="s">
        <v>1601</v>
      </c>
      <c r="D867" t="s">
        <v>3607</v>
      </c>
      <c r="E867" t="s">
        <v>3608</v>
      </c>
    </row>
    <row r="868" spans="1:5" x14ac:dyDescent="0.25">
      <c r="A868" t="s">
        <v>3545</v>
      </c>
      <c r="B868" t="s">
        <v>3601</v>
      </c>
      <c r="C868" t="s">
        <v>2385</v>
      </c>
      <c r="D868" t="s">
        <v>3607</v>
      </c>
      <c r="E868" t="s">
        <v>3608</v>
      </c>
    </row>
    <row r="869" spans="1:5" x14ac:dyDescent="0.25">
      <c r="A869" t="s">
        <v>3545</v>
      </c>
      <c r="B869" t="s">
        <v>3601</v>
      </c>
      <c r="C869" t="s">
        <v>664</v>
      </c>
      <c r="D869" t="s">
        <v>3602</v>
      </c>
      <c r="E869" t="s">
        <v>3603</v>
      </c>
    </row>
    <row r="870" spans="1:5" x14ac:dyDescent="0.25">
      <c r="A870" t="s">
        <v>3545</v>
      </c>
      <c r="B870" t="s">
        <v>3601</v>
      </c>
      <c r="C870" t="s">
        <v>1842</v>
      </c>
      <c r="D870" t="s">
        <v>3607</v>
      </c>
      <c r="E870" t="s">
        <v>3608</v>
      </c>
    </row>
    <row r="871" spans="1:5" x14ac:dyDescent="0.25">
      <c r="A871" t="s">
        <v>3545</v>
      </c>
      <c r="B871" t="s">
        <v>3601</v>
      </c>
      <c r="C871" t="s">
        <v>846</v>
      </c>
      <c r="D871" t="s">
        <v>3602</v>
      </c>
      <c r="E871" t="s">
        <v>3604</v>
      </c>
    </row>
    <row r="872" spans="1:5" x14ac:dyDescent="0.25">
      <c r="A872" t="s">
        <v>3545</v>
      </c>
      <c r="B872" t="s">
        <v>3601</v>
      </c>
      <c r="C872" t="s">
        <v>2522</v>
      </c>
      <c r="D872" t="s">
        <v>3603</v>
      </c>
      <c r="E872" t="s">
        <v>3609</v>
      </c>
    </row>
    <row r="873" spans="1:5" x14ac:dyDescent="0.25">
      <c r="A873" t="s">
        <v>3545</v>
      </c>
      <c r="B873" t="s">
        <v>3601</v>
      </c>
      <c r="C873" t="s">
        <v>1862</v>
      </c>
      <c r="D873" t="s">
        <v>3607</v>
      </c>
      <c r="E873" t="s">
        <v>3608</v>
      </c>
    </row>
    <row r="874" spans="1:5" x14ac:dyDescent="0.25">
      <c r="A874" t="s">
        <v>3545</v>
      </c>
      <c r="B874" t="s">
        <v>3601</v>
      </c>
      <c r="C874" t="s">
        <v>643</v>
      </c>
      <c r="D874" t="s">
        <v>3603</v>
      </c>
      <c r="E874" t="s">
        <v>3609</v>
      </c>
    </row>
    <row r="875" spans="1:5" x14ac:dyDescent="0.25">
      <c r="A875" t="s">
        <v>3545</v>
      </c>
      <c r="B875" t="s">
        <v>3601</v>
      </c>
      <c r="C875" t="s">
        <v>18</v>
      </c>
      <c r="D875" t="s">
        <v>3602</v>
      </c>
      <c r="E875" t="s">
        <v>3604</v>
      </c>
    </row>
    <row r="876" spans="1:5" x14ac:dyDescent="0.25">
      <c r="A876" t="s">
        <v>3545</v>
      </c>
      <c r="B876" t="s">
        <v>3601</v>
      </c>
      <c r="C876" t="s">
        <v>304</v>
      </c>
      <c r="D876" t="s">
        <v>3603</v>
      </c>
      <c r="E876" t="s">
        <v>3605</v>
      </c>
    </row>
    <row r="877" spans="1:5" x14ac:dyDescent="0.25">
      <c r="A877" t="s">
        <v>3545</v>
      </c>
      <c r="B877" t="s">
        <v>3601</v>
      </c>
      <c r="C877" t="s">
        <v>2267</v>
      </c>
      <c r="D877" t="s">
        <v>3607</v>
      </c>
      <c r="E877" t="s">
        <v>3608</v>
      </c>
    </row>
    <row r="878" spans="1:5" x14ac:dyDescent="0.25">
      <c r="A878" t="s">
        <v>3545</v>
      </c>
      <c r="B878" t="s">
        <v>3601</v>
      </c>
      <c r="C878" t="s">
        <v>2409</v>
      </c>
      <c r="D878" t="s">
        <v>3602</v>
      </c>
      <c r="E878" t="s">
        <v>3605</v>
      </c>
    </row>
    <row r="879" spans="1:5" x14ac:dyDescent="0.25">
      <c r="A879" t="s">
        <v>3545</v>
      </c>
      <c r="B879" t="s">
        <v>3601</v>
      </c>
      <c r="C879" t="s">
        <v>717</v>
      </c>
      <c r="D879" t="s">
        <v>3602</v>
      </c>
      <c r="E879" t="s">
        <v>3609</v>
      </c>
    </row>
    <row r="880" spans="1:5" x14ac:dyDescent="0.25">
      <c r="A880" t="s">
        <v>3545</v>
      </c>
      <c r="B880" t="s">
        <v>3601</v>
      </c>
      <c r="C880" t="s">
        <v>2272</v>
      </c>
      <c r="D880" t="s">
        <v>3603</v>
      </c>
      <c r="E880" t="s">
        <v>3604</v>
      </c>
    </row>
    <row r="881" spans="1:5" x14ac:dyDescent="0.25">
      <c r="A881" t="s">
        <v>3545</v>
      </c>
      <c r="B881" t="s">
        <v>3601</v>
      </c>
      <c r="C881" t="s">
        <v>1886</v>
      </c>
      <c r="D881" t="s">
        <v>3602</v>
      </c>
      <c r="E881" t="s">
        <v>3605</v>
      </c>
    </row>
    <row r="882" spans="1:5" x14ac:dyDescent="0.25">
      <c r="A882" t="s">
        <v>3545</v>
      </c>
      <c r="B882" t="s">
        <v>3601</v>
      </c>
      <c r="C882" t="s">
        <v>587</v>
      </c>
      <c r="D882" t="s">
        <v>3606</v>
      </c>
      <c r="E882" t="s">
        <v>3604</v>
      </c>
    </row>
    <row r="883" spans="1:5" x14ac:dyDescent="0.25">
      <c r="A883" t="s">
        <v>3545</v>
      </c>
      <c r="B883" t="s">
        <v>3601</v>
      </c>
      <c r="C883" t="s">
        <v>1927</v>
      </c>
      <c r="D883" t="s">
        <v>3603</v>
      </c>
      <c r="E883" t="s">
        <v>3603</v>
      </c>
    </row>
    <row r="884" spans="1:5" x14ac:dyDescent="0.25">
      <c r="A884" t="s">
        <v>3545</v>
      </c>
      <c r="B884" t="s">
        <v>3601</v>
      </c>
      <c r="C884" t="s">
        <v>1409</v>
      </c>
      <c r="D884" t="s">
        <v>3607</v>
      </c>
      <c r="E884" t="s">
        <v>3608</v>
      </c>
    </row>
    <row r="885" spans="1:5" x14ac:dyDescent="0.25">
      <c r="A885" t="s">
        <v>3545</v>
      </c>
      <c r="B885" t="s">
        <v>3601</v>
      </c>
      <c r="C885" t="s">
        <v>1820</v>
      </c>
      <c r="D885" t="s">
        <v>3607</v>
      </c>
      <c r="E885" t="s">
        <v>3608</v>
      </c>
    </row>
    <row r="886" spans="1:5" x14ac:dyDescent="0.25">
      <c r="A886" t="s">
        <v>3545</v>
      </c>
      <c r="B886" t="s">
        <v>3601</v>
      </c>
      <c r="C886" t="s">
        <v>1684</v>
      </c>
      <c r="D886" t="s">
        <v>3603</v>
      </c>
      <c r="E886" t="s">
        <v>3603</v>
      </c>
    </row>
    <row r="887" spans="1:5" x14ac:dyDescent="0.25">
      <c r="A887" t="s">
        <v>3545</v>
      </c>
      <c r="B887" t="s">
        <v>3601</v>
      </c>
      <c r="C887" t="s">
        <v>1932</v>
      </c>
      <c r="D887" t="s">
        <v>3603</v>
      </c>
      <c r="E887" t="s">
        <v>3605</v>
      </c>
    </row>
    <row r="888" spans="1:5" x14ac:dyDescent="0.25">
      <c r="A888" t="s">
        <v>3545</v>
      </c>
      <c r="B888" t="s">
        <v>3610</v>
      </c>
      <c r="C888" t="s">
        <v>2930</v>
      </c>
      <c r="D888" t="s">
        <v>3611</v>
      </c>
      <c r="E888" t="s">
        <v>3608</v>
      </c>
    </row>
    <row r="889" spans="1:5" x14ac:dyDescent="0.25">
      <c r="A889" t="s">
        <v>3547</v>
      </c>
      <c r="B889" t="s">
        <v>3601</v>
      </c>
      <c r="C889" t="s">
        <v>407</v>
      </c>
      <c r="D889" t="s">
        <v>3602</v>
      </c>
      <c r="E889" t="s">
        <v>3605</v>
      </c>
    </row>
    <row r="890" spans="1:5" x14ac:dyDescent="0.25">
      <c r="A890" t="s">
        <v>3547</v>
      </c>
      <c r="B890" t="s">
        <v>3601</v>
      </c>
      <c r="C890" t="s">
        <v>571</v>
      </c>
      <c r="D890" t="s">
        <v>3607</v>
      </c>
      <c r="E890" t="s">
        <v>3608</v>
      </c>
    </row>
    <row r="891" spans="1:5" x14ac:dyDescent="0.25">
      <c r="A891" t="s">
        <v>3547</v>
      </c>
      <c r="B891" t="s">
        <v>3601</v>
      </c>
      <c r="C891" t="s">
        <v>1815</v>
      </c>
      <c r="D891" t="s">
        <v>3603</v>
      </c>
      <c r="E891" t="s">
        <v>3604</v>
      </c>
    </row>
    <row r="892" spans="1:5" x14ac:dyDescent="0.25">
      <c r="A892" t="s">
        <v>3547</v>
      </c>
      <c r="B892" t="s">
        <v>3601</v>
      </c>
      <c r="C892" t="s">
        <v>1135</v>
      </c>
      <c r="D892" t="s">
        <v>3607</v>
      </c>
      <c r="E892" t="s">
        <v>3608</v>
      </c>
    </row>
    <row r="893" spans="1:5" x14ac:dyDescent="0.25">
      <c r="A893" t="s">
        <v>3547</v>
      </c>
      <c r="B893" t="s">
        <v>3601</v>
      </c>
      <c r="C893" t="s">
        <v>1886</v>
      </c>
      <c r="D893" t="s">
        <v>3603</v>
      </c>
      <c r="E893" t="s">
        <v>3609</v>
      </c>
    </row>
    <row r="894" spans="1:5" x14ac:dyDescent="0.25">
      <c r="A894" t="s">
        <v>3547</v>
      </c>
      <c r="B894" t="s">
        <v>3601</v>
      </c>
      <c r="C894" t="s">
        <v>1672</v>
      </c>
      <c r="D894" t="s">
        <v>3606</v>
      </c>
      <c r="E894" t="s">
        <v>3603</v>
      </c>
    </row>
    <row r="895" spans="1:5" x14ac:dyDescent="0.25">
      <c r="A895" t="s">
        <v>3547</v>
      </c>
      <c r="B895" t="s">
        <v>3601</v>
      </c>
      <c r="C895" t="s">
        <v>2793</v>
      </c>
      <c r="D895" t="s">
        <v>3607</v>
      </c>
      <c r="E895" t="s">
        <v>3608</v>
      </c>
    </row>
    <row r="896" spans="1:5" x14ac:dyDescent="0.25">
      <c r="A896" t="s">
        <v>3547</v>
      </c>
      <c r="B896" t="s">
        <v>3601</v>
      </c>
      <c r="C896" t="s">
        <v>2813</v>
      </c>
      <c r="D896" t="s">
        <v>3603</v>
      </c>
      <c r="E896" t="s">
        <v>3603</v>
      </c>
    </row>
    <row r="897" spans="1:5" x14ac:dyDescent="0.25">
      <c r="A897" t="s">
        <v>3547</v>
      </c>
      <c r="B897" t="s">
        <v>3601</v>
      </c>
      <c r="C897" t="s">
        <v>2537</v>
      </c>
      <c r="D897" t="s">
        <v>3602</v>
      </c>
      <c r="E897" t="s">
        <v>3609</v>
      </c>
    </row>
    <row r="898" spans="1:5" x14ac:dyDescent="0.25">
      <c r="A898" t="s">
        <v>3547</v>
      </c>
      <c r="B898" t="s">
        <v>3601</v>
      </c>
      <c r="C898" t="s">
        <v>2158</v>
      </c>
      <c r="D898" t="s">
        <v>3606</v>
      </c>
      <c r="E898" t="s">
        <v>3603</v>
      </c>
    </row>
    <row r="899" spans="1:5" x14ac:dyDescent="0.25">
      <c r="A899" t="s">
        <v>3547</v>
      </c>
      <c r="B899" t="s">
        <v>3601</v>
      </c>
      <c r="C899" t="s">
        <v>1404</v>
      </c>
      <c r="D899" t="s">
        <v>3603</v>
      </c>
      <c r="E899" t="s">
        <v>3603</v>
      </c>
    </row>
    <row r="900" spans="1:5" x14ac:dyDescent="0.25">
      <c r="A900" t="s">
        <v>3547</v>
      </c>
      <c r="B900" t="s">
        <v>3601</v>
      </c>
      <c r="C900" t="s">
        <v>948</v>
      </c>
      <c r="D900" t="s">
        <v>3607</v>
      </c>
      <c r="E900" t="s">
        <v>3608</v>
      </c>
    </row>
    <row r="901" spans="1:5" x14ac:dyDescent="0.25">
      <c r="A901" t="s">
        <v>3547</v>
      </c>
      <c r="B901" t="s">
        <v>3601</v>
      </c>
      <c r="C901" t="s">
        <v>1053</v>
      </c>
      <c r="D901" t="s">
        <v>3607</v>
      </c>
      <c r="E901" t="s">
        <v>3608</v>
      </c>
    </row>
    <row r="902" spans="1:5" x14ac:dyDescent="0.25">
      <c r="A902" t="s">
        <v>3547</v>
      </c>
      <c r="B902" t="s">
        <v>3601</v>
      </c>
      <c r="C902" t="s">
        <v>1028</v>
      </c>
      <c r="D902" t="s">
        <v>3606</v>
      </c>
      <c r="E902" t="s">
        <v>3609</v>
      </c>
    </row>
    <row r="903" spans="1:5" x14ac:dyDescent="0.25">
      <c r="A903" t="s">
        <v>3547</v>
      </c>
      <c r="B903" t="s">
        <v>3601</v>
      </c>
      <c r="C903" t="s">
        <v>1095</v>
      </c>
      <c r="D903" t="s">
        <v>3602</v>
      </c>
      <c r="E903" t="s">
        <v>3605</v>
      </c>
    </row>
    <row r="904" spans="1:5" x14ac:dyDescent="0.25">
      <c r="A904" t="s">
        <v>3547</v>
      </c>
      <c r="B904" t="s">
        <v>3601</v>
      </c>
      <c r="C904" t="s">
        <v>2153</v>
      </c>
      <c r="D904" t="s">
        <v>3602</v>
      </c>
      <c r="E904" t="s">
        <v>3609</v>
      </c>
    </row>
    <row r="905" spans="1:5" x14ac:dyDescent="0.25">
      <c r="A905" t="s">
        <v>3547</v>
      </c>
      <c r="B905" t="s">
        <v>3601</v>
      </c>
      <c r="C905" t="s">
        <v>2733</v>
      </c>
      <c r="D905" t="s">
        <v>3607</v>
      </c>
      <c r="E905" t="s">
        <v>3608</v>
      </c>
    </row>
    <row r="906" spans="1:5" x14ac:dyDescent="0.25">
      <c r="A906" t="s">
        <v>3547</v>
      </c>
      <c r="B906" t="s">
        <v>3601</v>
      </c>
      <c r="C906" t="s">
        <v>2833</v>
      </c>
      <c r="D906" t="s">
        <v>3606</v>
      </c>
      <c r="E906" t="s">
        <v>3603</v>
      </c>
    </row>
    <row r="907" spans="1:5" x14ac:dyDescent="0.25">
      <c r="A907" t="s">
        <v>3547</v>
      </c>
      <c r="B907" t="s">
        <v>3601</v>
      </c>
      <c r="C907" t="s">
        <v>2027</v>
      </c>
      <c r="D907" t="s">
        <v>3606</v>
      </c>
      <c r="E907" t="s">
        <v>3609</v>
      </c>
    </row>
    <row r="908" spans="1:5" x14ac:dyDescent="0.25">
      <c r="A908" t="s">
        <v>3547</v>
      </c>
      <c r="B908" t="s">
        <v>3601</v>
      </c>
      <c r="C908" t="s">
        <v>2449</v>
      </c>
      <c r="D908" t="s">
        <v>3607</v>
      </c>
      <c r="E908" t="s">
        <v>3608</v>
      </c>
    </row>
    <row r="909" spans="1:5" x14ac:dyDescent="0.25">
      <c r="A909" t="s">
        <v>3547</v>
      </c>
      <c r="B909" t="s">
        <v>3601</v>
      </c>
      <c r="C909" t="s">
        <v>2281</v>
      </c>
      <c r="D909" t="s">
        <v>3607</v>
      </c>
      <c r="E909" t="s">
        <v>3608</v>
      </c>
    </row>
    <row r="910" spans="1:5" x14ac:dyDescent="0.25">
      <c r="A910" t="s">
        <v>3547</v>
      </c>
      <c r="B910" t="s">
        <v>3601</v>
      </c>
      <c r="C910" t="s">
        <v>705</v>
      </c>
      <c r="D910" t="s">
        <v>3603</v>
      </c>
      <c r="E910" t="s">
        <v>3605</v>
      </c>
    </row>
    <row r="911" spans="1:5" x14ac:dyDescent="0.25">
      <c r="A911" t="s">
        <v>3547</v>
      </c>
      <c r="B911" t="s">
        <v>3601</v>
      </c>
      <c r="C911" t="s">
        <v>2618</v>
      </c>
      <c r="D911" t="s">
        <v>3603</v>
      </c>
      <c r="E911" t="s">
        <v>3603</v>
      </c>
    </row>
    <row r="912" spans="1:5" x14ac:dyDescent="0.25">
      <c r="A912" t="s">
        <v>3547</v>
      </c>
      <c r="B912" t="s">
        <v>3601</v>
      </c>
      <c r="C912" t="s">
        <v>2808</v>
      </c>
      <c r="D912" t="s">
        <v>3606</v>
      </c>
      <c r="E912" t="s">
        <v>3605</v>
      </c>
    </row>
    <row r="913" spans="1:5" x14ac:dyDescent="0.25">
      <c r="A913" t="s">
        <v>3547</v>
      </c>
      <c r="B913" t="s">
        <v>3601</v>
      </c>
      <c r="C913" t="s">
        <v>2259</v>
      </c>
      <c r="D913" t="s">
        <v>3607</v>
      </c>
      <c r="E913" t="s">
        <v>3608</v>
      </c>
    </row>
    <row r="914" spans="1:5" x14ac:dyDescent="0.25">
      <c r="A914" t="s">
        <v>3547</v>
      </c>
      <c r="B914" t="s">
        <v>3601</v>
      </c>
      <c r="C914" t="s">
        <v>1232</v>
      </c>
      <c r="D914" t="s">
        <v>3603</v>
      </c>
      <c r="E914" t="s">
        <v>3609</v>
      </c>
    </row>
    <row r="915" spans="1:5" x14ac:dyDescent="0.25">
      <c r="A915" t="s">
        <v>3547</v>
      </c>
      <c r="B915" t="s">
        <v>3601</v>
      </c>
      <c r="C915" t="s">
        <v>1558</v>
      </c>
      <c r="D915" t="s">
        <v>3606</v>
      </c>
      <c r="E915" t="s">
        <v>3609</v>
      </c>
    </row>
    <row r="916" spans="1:5" x14ac:dyDescent="0.25">
      <c r="A916" t="s">
        <v>3547</v>
      </c>
      <c r="B916" t="s">
        <v>3601</v>
      </c>
      <c r="C916" t="s">
        <v>1586</v>
      </c>
      <c r="D916" t="s">
        <v>3606</v>
      </c>
      <c r="E916" t="s">
        <v>3604</v>
      </c>
    </row>
    <row r="917" spans="1:5" x14ac:dyDescent="0.25">
      <c r="A917" t="s">
        <v>3547</v>
      </c>
      <c r="B917" t="s">
        <v>3601</v>
      </c>
      <c r="C917" t="s">
        <v>2872</v>
      </c>
      <c r="D917" t="s">
        <v>3602</v>
      </c>
      <c r="E917" t="s">
        <v>3609</v>
      </c>
    </row>
    <row r="918" spans="1:5" x14ac:dyDescent="0.25">
      <c r="A918" t="s">
        <v>3547</v>
      </c>
      <c r="B918" t="s">
        <v>3601</v>
      </c>
      <c r="C918" t="s">
        <v>997</v>
      </c>
      <c r="D918" t="s">
        <v>3603</v>
      </c>
      <c r="E918" t="s">
        <v>3609</v>
      </c>
    </row>
    <row r="919" spans="1:5" x14ac:dyDescent="0.25">
      <c r="A919" t="s">
        <v>3547</v>
      </c>
      <c r="B919" t="s">
        <v>3601</v>
      </c>
      <c r="C919" t="s">
        <v>1428</v>
      </c>
      <c r="D919" t="s">
        <v>3607</v>
      </c>
      <c r="E919" t="s">
        <v>3608</v>
      </c>
    </row>
    <row r="920" spans="1:5" x14ac:dyDescent="0.25">
      <c r="A920" t="s">
        <v>3547</v>
      </c>
      <c r="B920" t="s">
        <v>3601</v>
      </c>
      <c r="C920" t="s">
        <v>2301</v>
      </c>
      <c r="D920" t="s">
        <v>3602</v>
      </c>
      <c r="E920" t="s">
        <v>3609</v>
      </c>
    </row>
    <row r="921" spans="1:5" x14ac:dyDescent="0.25">
      <c r="A921" t="s">
        <v>3547</v>
      </c>
      <c r="B921" t="s">
        <v>3601</v>
      </c>
      <c r="C921" t="s">
        <v>1678</v>
      </c>
      <c r="D921" t="s">
        <v>3603</v>
      </c>
      <c r="E921" t="s">
        <v>3605</v>
      </c>
    </row>
    <row r="922" spans="1:5" x14ac:dyDescent="0.25">
      <c r="A922" t="s">
        <v>3547</v>
      </c>
      <c r="B922" t="s">
        <v>3601</v>
      </c>
      <c r="C922" t="s">
        <v>1974</v>
      </c>
      <c r="D922" t="s">
        <v>3606</v>
      </c>
      <c r="E922" t="s">
        <v>3609</v>
      </c>
    </row>
    <row r="923" spans="1:5" x14ac:dyDescent="0.25">
      <c r="A923" t="s">
        <v>3547</v>
      </c>
      <c r="B923" t="s">
        <v>3601</v>
      </c>
      <c r="C923" t="s">
        <v>1724</v>
      </c>
      <c r="D923" t="s">
        <v>3602</v>
      </c>
      <c r="E923" t="s">
        <v>3605</v>
      </c>
    </row>
    <row r="924" spans="1:5" x14ac:dyDescent="0.25">
      <c r="A924" t="s">
        <v>3547</v>
      </c>
      <c r="B924" t="s">
        <v>3601</v>
      </c>
      <c r="C924" t="s">
        <v>297</v>
      </c>
      <c r="D924" t="s">
        <v>3607</v>
      </c>
      <c r="E924" t="s">
        <v>3608</v>
      </c>
    </row>
    <row r="925" spans="1:5" x14ac:dyDescent="0.25">
      <c r="A925" t="s">
        <v>3547</v>
      </c>
      <c r="B925" t="s">
        <v>3601</v>
      </c>
      <c r="C925" t="s">
        <v>2163</v>
      </c>
      <c r="D925" t="s">
        <v>3603</v>
      </c>
      <c r="E925" t="s">
        <v>3609</v>
      </c>
    </row>
    <row r="926" spans="1:5" x14ac:dyDescent="0.25">
      <c r="A926" t="s">
        <v>3547</v>
      </c>
      <c r="B926" t="s">
        <v>3601</v>
      </c>
      <c r="C926" t="s">
        <v>2254</v>
      </c>
      <c r="D926" t="s">
        <v>3603</v>
      </c>
      <c r="E926" t="s">
        <v>3605</v>
      </c>
    </row>
    <row r="927" spans="1:5" x14ac:dyDescent="0.25">
      <c r="A927" t="s">
        <v>3547</v>
      </c>
      <c r="B927" t="s">
        <v>3601</v>
      </c>
      <c r="C927" t="s">
        <v>803</v>
      </c>
      <c r="D927" t="s">
        <v>3607</v>
      </c>
      <c r="E927" t="s">
        <v>3608</v>
      </c>
    </row>
    <row r="928" spans="1:5" x14ac:dyDescent="0.25">
      <c r="A928" t="s">
        <v>3547</v>
      </c>
      <c r="B928" t="s">
        <v>3601</v>
      </c>
      <c r="C928" t="s">
        <v>1150</v>
      </c>
      <c r="D928" t="s">
        <v>3606</v>
      </c>
      <c r="E928" t="s">
        <v>3609</v>
      </c>
    </row>
    <row r="929" spans="1:5" x14ac:dyDescent="0.25">
      <c r="A929" t="s">
        <v>3547</v>
      </c>
      <c r="B929" t="s">
        <v>3601</v>
      </c>
      <c r="C929" t="s">
        <v>1327</v>
      </c>
      <c r="D929" t="s">
        <v>3603</v>
      </c>
      <c r="E929" t="s">
        <v>3603</v>
      </c>
    </row>
    <row r="930" spans="1:5" x14ac:dyDescent="0.25">
      <c r="A930" t="s">
        <v>3547</v>
      </c>
      <c r="B930" t="s">
        <v>3601</v>
      </c>
      <c r="C930" t="s">
        <v>304</v>
      </c>
      <c r="D930" t="s">
        <v>3603</v>
      </c>
      <c r="E930" t="s">
        <v>3603</v>
      </c>
    </row>
    <row r="931" spans="1:5" x14ac:dyDescent="0.25">
      <c r="A931" t="s">
        <v>3547</v>
      </c>
      <c r="B931" t="s">
        <v>3601</v>
      </c>
      <c r="C931" t="s">
        <v>809</v>
      </c>
      <c r="D931" t="s">
        <v>3607</v>
      </c>
      <c r="E931" t="s">
        <v>3608</v>
      </c>
    </row>
    <row r="932" spans="1:5" x14ac:dyDescent="0.25">
      <c r="A932" t="s">
        <v>3547</v>
      </c>
      <c r="B932" t="s">
        <v>3601</v>
      </c>
      <c r="C932" t="s">
        <v>1194</v>
      </c>
      <c r="D932" t="s">
        <v>3606</v>
      </c>
      <c r="E932" t="s">
        <v>3605</v>
      </c>
    </row>
    <row r="933" spans="1:5" x14ac:dyDescent="0.25">
      <c r="A933" t="s">
        <v>3547</v>
      </c>
      <c r="B933" t="s">
        <v>3601</v>
      </c>
      <c r="C933" t="s">
        <v>363</v>
      </c>
      <c r="D933" t="s">
        <v>3602</v>
      </c>
      <c r="E933" t="s">
        <v>3604</v>
      </c>
    </row>
    <row r="934" spans="1:5" x14ac:dyDescent="0.25">
      <c r="A934" t="s">
        <v>3547</v>
      </c>
      <c r="B934" t="s">
        <v>3601</v>
      </c>
      <c r="C934" t="s">
        <v>1110</v>
      </c>
      <c r="D934" t="s">
        <v>3607</v>
      </c>
      <c r="E934" t="s">
        <v>3608</v>
      </c>
    </row>
    <row r="935" spans="1:5" x14ac:dyDescent="0.25">
      <c r="A935" t="s">
        <v>3547</v>
      </c>
      <c r="B935" t="s">
        <v>3601</v>
      </c>
      <c r="C935" t="s">
        <v>385</v>
      </c>
      <c r="D935" t="s">
        <v>3607</v>
      </c>
      <c r="E935" t="s">
        <v>3608</v>
      </c>
    </row>
    <row r="936" spans="1:5" x14ac:dyDescent="0.25">
      <c r="A936" t="s">
        <v>3547</v>
      </c>
      <c r="B936" t="s">
        <v>3601</v>
      </c>
      <c r="C936" t="s">
        <v>477</v>
      </c>
      <c r="D936" t="s">
        <v>3607</v>
      </c>
      <c r="E936" t="s">
        <v>3608</v>
      </c>
    </row>
    <row r="937" spans="1:5" x14ac:dyDescent="0.25">
      <c r="A937" t="s">
        <v>3547</v>
      </c>
      <c r="B937" t="s">
        <v>3601</v>
      </c>
      <c r="C937" t="s">
        <v>1002</v>
      </c>
      <c r="D937" t="s">
        <v>3606</v>
      </c>
      <c r="E937" t="s">
        <v>3609</v>
      </c>
    </row>
    <row r="938" spans="1:5" x14ac:dyDescent="0.25">
      <c r="A938" t="s">
        <v>3547</v>
      </c>
      <c r="B938" t="s">
        <v>3601</v>
      </c>
      <c r="C938" t="s">
        <v>2148</v>
      </c>
      <c r="D938" t="s">
        <v>3606</v>
      </c>
      <c r="E938" t="s">
        <v>3609</v>
      </c>
    </row>
    <row r="939" spans="1:5" x14ac:dyDescent="0.25">
      <c r="A939" t="s">
        <v>3547</v>
      </c>
      <c r="B939" t="s">
        <v>3601</v>
      </c>
      <c r="C939" t="s">
        <v>2659</v>
      </c>
      <c r="D939" t="s">
        <v>3602</v>
      </c>
      <c r="E939" t="s">
        <v>3604</v>
      </c>
    </row>
    <row r="940" spans="1:5" x14ac:dyDescent="0.25">
      <c r="A940" t="s">
        <v>3547</v>
      </c>
      <c r="B940" t="s">
        <v>3601</v>
      </c>
      <c r="C940" t="s">
        <v>1216</v>
      </c>
      <c r="D940" t="s">
        <v>3603</v>
      </c>
      <c r="E940" t="s">
        <v>3609</v>
      </c>
    </row>
    <row r="941" spans="1:5" x14ac:dyDescent="0.25">
      <c r="A941" t="s">
        <v>3547</v>
      </c>
      <c r="B941" t="s">
        <v>3601</v>
      </c>
      <c r="C941" t="s">
        <v>903</v>
      </c>
      <c r="D941" t="s">
        <v>3607</v>
      </c>
      <c r="E941" t="s">
        <v>3608</v>
      </c>
    </row>
    <row r="942" spans="1:5" x14ac:dyDescent="0.25">
      <c r="A942" t="s">
        <v>3547</v>
      </c>
      <c r="B942" t="s">
        <v>3601</v>
      </c>
      <c r="C942" t="s">
        <v>1601</v>
      </c>
      <c r="D942" t="s">
        <v>3607</v>
      </c>
      <c r="E942" t="s">
        <v>3608</v>
      </c>
    </row>
    <row r="943" spans="1:5" x14ac:dyDescent="0.25">
      <c r="A943" t="s">
        <v>3547</v>
      </c>
      <c r="B943" t="s">
        <v>3601</v>
      </c>
      <c r="C943" t="s">
        <v>1100</v>
      </c>
      <c r="D943" t="s">
        <v>3607</v>
      </c>
      <c r="E943" t="s">
        <v>3608</v>
      </c>
    </row>
    <row r="944" spans="1:5" x14ac:dyDescent="0.25">
      <c r="A944" t="s">
        <v>3547</v>
      </c>
      <c r="B944" t="s">
        <v>3601</v>
      </c>
      <c r="C944" t="s">
        <v>2385</v>
      </c>
      <c r="D944" t="s">
        <v>3603</v>
      </c>
      <c r="E944" t="s">
        <v>3603</v>
      </c>
    </row>
    <row r="945" spans="1:5" x14ac:dyDescent="0.25">
      <c r="A945" t="s">
        <v>3547</v>
      </c>
      <c r="B945" t="s">
        <v>3601</v>
      </c>
      <c r="C945" t="s">
        <v>2728</v>
      </c>
      <c r="D945" t="s">
        <v>3603</v>
      </c>
      <c r="E945" t="s">
        <v>3609</v>
      </c>
    </row>
    <row r="946" spans="1:5" x14ac:dyDescent="0.25">
      <c r="A946" t="s">
        <v>3547</v>
      </c>
      <c r="B946" t="s">
        <v>3601</v>
      </c>
      <c r="C946" t="s">
        <v>1492</v>
      </c>
      <c r="D946" t="s">
        <v>3603</v>
      </c>
      <c r="E946" t="s">
        <v>3604</v>
      </c>
    </row>
    <row r="947" spans="1:5" x14ac:dyDescent="0.25">
      <c r="A947" t="s">
        <v>3547</v>
      </c>
      <c r="B947" t="s">
        <v>3601</v>
      </c>
      <c r="C947" t="s">
        <v>992</v>
      </c>
      <c r="D947" t="s">
        <v>3607</v>
      </c>
      <c r="E947" t="s">
        <v>3608</v>
      </c>
    </row>
    <row r="948" spans="1:5" x14ac:dyDescent="0.25">
      <c r="A948" t="s">
        <v>3547</v>
      </c>
      <c r="B948" t="s">
        <v>3601</v>
      </c>
      <c r="C948" t="s">
        <v>1656</v>
      </c>
      <c r="D948" t="s">
        <v>3606</v>
      </c>
      <c r="E948" t="s">
        <v>3609</v>
      </c>
    </row>
    <row r="949" spans="1:5" x14ac:dyDescent="0.25">
      <c r="A949" t="s">
        <v>3547</v>
      </c>
      <c r="B949" t="s">
        <v>3601</v>
      </c>
      <c r="C949" t="s">
        <v>2773</v>
      </c>
      <c r="D949" t="s">
        <v>3602</v>
      </c>
      <c r="E949" t="s">
        <v>3603</v>
      </c>
    </row>
    <row r="950" spans="1:5" x14ac:dyDescent="0.25">
      <c r="A950" t="s">
        <v>3547</v>
      </c>
      <c r="B950" t="s">
        <v>3601</v>
      </c>
      <c r="C950" t="s">
        <v>1779</v>
      </c>
      <c r="D950" t="s">
        <v>3606</v>
      </c>
      <c r="E950" t="s">
        <v>3604</v>
      </c>
    </row>
    <row r="951" spans="1:5" x14ac:dyDescent="0.25">
      <c r="A951" t="s">
        <v>3547</v>
      </c>
      <c r="B951" t="s">
        <v>3601</v>
      </c>
      <c r="C951" t="s">
        <v>1145</v>
      </c>
      <c r="D951" t="s">
        <v>3606</v>
      </c>
      <c r="E951" t="s">
        <v>3605</v>
      </c>
    </row>
    <row r="952" spans="1:5" x14ac:dyDescent="0.25">
      <c r="A952" t="s">
        <v>3547</v>
      </c>
      <c r="B952" t="s">
        <v>3601</v>
      </c>
      <c r="C952" t="s">
        <v>2633</v>
      </c>
      <c r="D952" t="s">
        <v>3603</v>
      </c>
      <c r="E952" t="s">
        <v>3605</v>
      </c>
    </row>
    <row r="953" spans="1:5" x14ac:dyDescent="0.25">
      <c r="A953" t="s">
        <v>3547</v>
      </c>
      <c r="B953" t="s">
        <v>3601</v>
      </c>
      <c r="C953" t="s">
        <v>1646</v>
      </c>
      <c r="D953" t="s">
        <v>3603</v>
      </c>
      <c r="E953" t="s">
        <v>3605</v>
      </c>
    </row>
    <row r="954" spans="1:5" x14ac:dyDescent="0.25">
      <c r="A954" t="s">
        <v>3547</v>
      </c>
      <c r="B954" t="s">
        <v>3601</v>
      </c>
      <c r="C954" t="s">
        <v>858</v>
      </c>
      <c r="D954" t="s">
        <v>3603</v>
      </c>
      <c r="E954" t="s">
        <v>3605</v>
      </c>
    </row>
    <row r="955" spans="1:5" x14ac:dyDescent="0.25">
      <c r="A955" t="s">
        <v>3547</v>
      </c>
      <c r="B955" t="s">
        <v>3601</v>
      </c>
      <c r="C955" t="s">
        <v>1640</v>
      </c>
      <c r="D955" t="s">
        <v>3606</v>
      </c>
      <c r="E955" t="s">
        <v>3603</v>
      </c>
    </row>
    <row r="956" spans="1:5" x14ac:dyDescent="0.25">
      <c r="A956" t="s">
        <v>3547</v>
      </c>
      <c r="B956" t="s">
        <v>3601</v>
      </c>
      <c r="C956" t="s">
        <v>1204</v>
      </c>
      <c r="D956" t="s">
        <v>3606</v>
      </c>
      <c r="E956" t="s">
        <v>3605</v>
      </c>
    </row>
    <row r="957" spans="1:5" x14ac:dyDescent="0.25">
      <c r="A957" t="s">
        <v>3547</v>
      </c>
      <c r="B957" t="s">
        <v>3601</v>
      </c>
      <c r="C957" t="s">
        <v>1248</v>
      </c>
      <c r="D957" t="s">
        <v>3606</v>
      </c>
      <c r="E957" t="s">
        <v>3609</v>
      </c>
    </row>
    <row r="958" spans="1:5" x14ac:dyDescent="0.25">
      <c r="A958" t="s">
        <v>3547</v>
      </c>
      <c r="B958" t="s">
        <v>3601</v>
      </c>
      <c r="C958" t="s">
        <v>1342</v>
      </c>
      <c r="D958" t="s">
        <v>3602</v>
      </c>
      <c r="E958" t="s">
        <v>3603</v>
      </c>
    </row>
    <row r="959" spans="1:5" x14ac:dyDescent="0.25">
      <c r="A959" t="s">
        <v>3547</v>
      </c>
      <c r="B959" t="s">
        <v>3601</v>
      </c>
      <c r="C959" t="s">
        <v>1370</v>
      </c>
      <c r="D959" t="s">
        <v>3602</v>
      </c>
      <c r="E959" t="s">
        <v>3609</v>
      </c>
    </row>
    <row r="960" spans="1:5" x14ac:dyDescent="0.25">
      <c r="A960" t="s">
        <v>3547</v>
      </c>
      <c r="B960" t="s">
        <v>3601</v>
      </c>
      <c r="C960" t="s">
        <v>2409</v>
      </c>
      <c r="D960" t="s">
        <v>3607</v>
      </c>
      <c r="E960" t="s">
        <v>3608</v>
      </c>
    </row>
    <row r="961" spans="1:5" x14ac:dyDescent="0.25">
      <c r="A961" t="s">
        <v>3547</v>
      </c>
      <c r="B961" t="s">
        <v>3601</v>
      </c>
      <c r="C961" t="s">
        <v>1347</v>
      </c>
      <c r="D961" t="s">
        <v>3603</v>
      </c>
      <c r="E961" t="s">
        <v>3603</v>
      </c>
    </row>
    <row r="962" spans="1:5" x14ac:dyDescent="0.25">
      <c r="A962" t="s">
        <v>3547</v>
      </c>
      <c r="B962" t="s">
        <v>3601</v>
      </c>
      <c r="C962" t="s">
        <v>1121</v>
      </c>
      <c r="D962" t="s">
        <v>3603</v>
      </c>
      <c r="E962" t="s">
        <v>3603</v>
      </c>
    </row>
    <row r="963" spans="1:5" x14ac:dyDescent="0.25">
      <c r="A963" t="s">
        <v>3547</v>
      </c>
      <c r="B963" t="s">
        <v>3601</v>
      </c>
      <c r="C963" t="s">
        <v>456</v>
      </c>
      <c r="D963" t="s">
        <v>3603</v>
      </c>
      <c r="E963" t="s">
        <v>3605</v>
      </c>
    </row>
    <row r="964" spans="1:5" x14ac:dyDescent="0.25">
      <c r="A964" t="s">
        <v>3547</v>
      </c>
      <c r="B964" t="s">
        <v>3601</v>
      </c>
      <c r="C964" t="s">
        <v>1458</v>
      </c>
      <c r="D964" t="s">
        <v>3602</v>
      </c>
      <c r="E964" t="s">
        <v>3604</v>
      </c>
    </row>
    <row r="965" spans="1:5" x14ac:dyDescent="0.25">
      <c r="A965" t="s">
        <v>3547</v>
      </c>
      <c r="B965" t="s">
        <v>3601</v>
      </c>
      <c r="C965" t="s">
        <v>1434</v>
      </c>
      <c r="D965" t="s">
        <v>3606</v>
      </c>
      <c r="E965" t="s">
        <v>3604</v>
      </c>
    </row>
    <row r="966" spans="1:5" x14ac:dyDescent="0.25">
      <c r="A966" t="s">
        <v>3547</v>
      </c>
      <c r="B966" t="s">
        <v>3601</v>
      </c>
      <c r="C966" t="s">
        <v>2748</v>
      </c>
      <c r="D966" t="s">
        <v>3602</v>
      </c>
      <c r="E966" t="s">
        <v>3604</v>
      </c>
    </row>
    <row r="967" spans="1:5" x14ac:dyDescent="0.25">
      <c r="A967" t="s">
        <v>3547</v>
      </c>
      <c r="B967" t="s">
        <v>3601</v>
      </c>
      <c r="C967" t="s">
        <v>614</v>
      </c>
      <c r="D967" t="s">
        <v>3607</v>
      </c>
      <c r="E967" t="s">
        <v>3608</v>
      </c>
    </row>
    <row r="968" spans="1:5" x14ac:dyDescent="0.25">
      <c r="A968" t="s">
        <v>3547</v>
      </c>
      <c r="B968" t="s">
        <v>3601</v>
      </c>
      <c r="C968" t="s">
        <v>503</v>
      </c>
      <c r="D968" t="s">
        <v>3606</v>
      </c>
      <c r="E968" t="s">
        <v>3603</v>
      </c>
    </row>
    <row r="969" spans="1:5" x14ac:dyDescent="0.25">
      <c r="A969" t="s">
        <v>3547</v>
      </c>
      <c r="B969" t="s">
        <v>3601</v>
      </c>
      <c r="C969" t="s">
        <v>1710</v>
      </c>
      <c r="D969" t="s">
        <v>3607</v>
      </c>
      <c r="E969" t="s">
        <v>3608</v>
      </c>
    </row>
    <row r="970" spans="1:5" x14ac:dyDescent="0.25">
      <c r="A970" t="s">
        <v>3547</v>
      </c>
      <c r="B970" t="s">
        <v>3601</v>
      </c>
      <c r="C970" t="s">
        <v>670</v>
      </c>
      <c r="D970" t="s">
        <v>3602</v>
      </c>
      <c r="E970" t="s">
        <v>3609</v>
      </c>
    </row>
    <row r="971" spans="1:5" x14ac:dyDescent="0.25">
      <c r="A971" t="s">
        <v>3547</v>
      </c>
      <c r="B971" t="s">
        <v>3601</v>
      </c>
      <c r="C971" t="s">
        <v>44</v>
      </c>
      <c r="D971" t="s">
        <v>3602</v>
      </c>
      <c r="E971" t="s">
        <v>3605</v>
      </c>
    </row>
    <row r="972" spans="1:5" x14ac:dyDescent="0.25">
      <c r="A972" t="s">
        <v>3547</v>
      </c>
      <c r="B972" t="s">
        <v>3601</v>
      </c>
      <c r="C972" t="s">
        <v>2296</v>
      </c>
      <c r="D972" t="s">
        <v>3606</v>
      </c>
      <c r="E972" t="s">
        <v>3605</v>
      </c>
    </row>
    <row r="973" spans="1:5" x14ac:dyDescent="0.25">
      <c r="A973" t="s">
        <v>3547</v>
      </c>
      <c r="B973" t="s">
        <v>3601</v>
      </c>
      <c r="C973" t="s">
        <v>2095</v>
      </c>
      <c r="D973" t="s">
        <v>3602</v>
      </c>
      <c r="E973" t="s">
        <v>3605</v>
      </c>
    </row>
    <row r="974" spans="1:5" x14ac:dyDescent="0.25">
      <c r="A974" t="s">
        <v>3547</v>
      </c>
      <c r="B974" t="s">
        <v>3601</v>
      </c>
      <c r="C974" t="s">
        <v>1365</v>
      </c>
      <c r="D974" t="s">
        <v>3603</v>
      </c>
      <c r="E974" t="s">
        <v>3603</v>
      </c>
    </row>
    <row r="975" spans="1:5" x14ac:dyDescent="0.25">
      <c r="A975" t="s">
        <v>3547</v>
      </c>
      <c r="B975" t="s">
        <v>3601</v>
      </c>
      <c r="C975" t="s">
        <v>2032</v>
      </c>
      <c r="D975" t="s">
        <v>3602</v>
      </c>
      <c r="E975" t="s">
        <v>3604</v>
      </c>
    </row>
    <row r="976" spans="1:5" x14ac:dyDescent="0.25">
      <c r="A976" t="s">
        <v>3547</v>
      </c>
      <c r="B976" t="s">
        <v>3601</v>
      </c>
      <c r="C976" t="s">
        <v>1922</v>
      </c>
      <c r="D976" t="s">
        <v>3606</v>
      </c>
      <c r="E976" t="s">
        <v>3609</v>
      </c>
    </row>
    <row r="977" spans="1:5" x14ac:dyDescent="0.25">
      <c r="A977" t="s">
        <v>3547</v>
      </c>
      <c r="B977" t="s">
        <v>3601</v>
      </c>
      <c r="C977" t="s">
        <v>636</v>
      </c>
      <c r="D977" t="s">
        <v>3607</v>
      </c>
      <c r="E977" t="s">
        <v>3608</v>
      </c>
    </row>
    <row r="978" spans="1:5" x14ac:dyDescent="0.25">
      <c r="A978" t="s">
        <v>3547</v>
      </c>
      <c r="B978" t="s">
        <v>3601</v>
      </c>
      <c r="C978" t="s">
        <v>960</v>
      </c>
      <c r="D978" t="s">
        <v>3602</v>
      </c>
      <c r="E978" t="s">
        <v>3603</v>
      </c>
    </row>
    <row r="979" spans="1:5" x14ac:dyDescent="0.25">
      <c r="A979" t="s">
        <v>3547</v>
      </c>
      <c r="B979" t="s">
        <v>3601</v>
      </c>
      <c r="C979" t="s">
        <v>1979</v>
      </c>
      <c r="D979" t="s">
        <v>3603</v>
      </c>
      <c r="E979" t="s">
        <v>3603</v>
      </c>
    </row>
    <row r="980" spans="1:5" x14ac:dyDescent="0.25">
      <c r="A980" t="s">
        <v>3547</v>
      </c>
      <c r="B980" t="s">
        <v>3601</v>
      </c>
      <c r="C980" t="s">
        <v>2699</v>
      </c>
      <c r="D980" t="s">
        <v>3602</v>
      </c>
      <c r="E980" t="s">
        <v>3609</v>
      </c>
    </row>
    <row r="981" spans="1:5" x14ac:dyDescent="0.25">
      <c r="A981" t="s">
        <v>3547</v>
      </c>
      <c r="B981" t="s">
        <v>3601</v>
      </c>
      <c r="C981" t="s">
        <v>740</v>
      </c>
      <c r="D981" t="s">
        <v>3603</v>
      </c>
      <c r="E981" t="s">
        <v>3603</v>
      </c>
    </row>
    <row r="982" spans="1:5" x14ac:dyDescent="0.25">
      <c r="A982" t="s">
        <v>3547</v>
      </c>
      <c r="B982" t="s">
        <v>3601</v>
      </c>
      <c r="C982" t="s">
        <v>677</v>
      </c>
      <c r="D982" t="s">
        <v>3606</v>
      </c>
      <c r="E982" t="s">
        <v>3603</v>
      </c>
    </row>
    <row r="983" spans="1:5" x14ac:dyDescent="0.25">
      <c r="A983" t="s">
        <v>3547</v>
      </c>
      <c r="B983" t="s">
        <v>3601</v>
      </c>
      <c r="C983" t="s">
        <v>1409</v>
      </c>
      <c r="D983" t="s">
        <v>3603</v>
      </c>
      <c r="E983" t="s">
        <v>3605</v>
      </c>
    </row>
    <row r="984" spans="1:5" x14ac:dyDescent="0.25">
      <c r="A984" t="s">
        <v>3547</v>
      </c>
      <c r="B984" t="s">
        <v>3601</v>
      </c>
      <c r="C984" t="s">
        <v>235</v>
      </c>
      <c r="D984" t="s">
        <v>3603</v>
      </c>
      <c r="E984" t="s">
        <v>3603</v>
      </c>
    </row>
    <row r="985" spans="1:5" x14ac:dyDescent="0.25">
      <c r="A985" t="s">
        <v>3547</v>
      </c>
      <c r="B985" t="s">
        <v>3601</v>
      </c>
      <c r="C985" t="s">
        <v>2207</v>
      </c>
      <c r="D985" t="s">
        <v>3607</v>
      </c>
      <c r="E985" t="s">
        <v>3608</v>
      </c>
    </row>
    <row r="986" spans="1:5" x14ac:dyDescent="0.25">
      <c r="A986" t="s">
        <v>3547</v>
      </c>
      <c r="B986" t="s">
        <v>3601</v>
      </c>
      <c r="C986" t="s">
        <v>1661</v>
      </c>
      <c r="D986" t="s">
        <v>3602</v>
      </c>
      <c r="E986" t="s">
        <v>3604</v>
      </c>
    </row>
    <row r="987" spans="1:5" x14ac:dyDescent="0.25">
      <c r="A987" t="s">
        <v>3547</v>
      </c>
      <c r="B987" t="s">
        <v>3601</v>
      </c>
      <c r="C987" t="s">
        <v>325</v>
      </c>
      <c r="D987" t="s">
        <v>3606</v>
      </c>
      <c r="E987" t="s">
        <v>3605</v>
      </c>
    </row>
    <row r="988" spans="1:5" x14ac:dyDescent="0.25">
      <c r="A988" t="s">
        <v>3547</v>
      </c>
      <c r="B988" t="s">
        <v>3601</v>
      </c>
      <c r="C988" t="s">
        <v>1635</v>
      </c>
      <c r="D988" t="s">
        <v>3606</v>
      </c>
      <c r="E988" t="s">
        <v>3609</v>
      </c>
    </row>
    <row r="989" spans="1:5" x14ac:dyDescent="0.25">
      <c r="A989" t="s">
        <v>3547</v>
      </c>
      <c r="B989" t="s">
        <v>3601</v>
      </c>
      <c r="C989" t="s">
        <v>2674</v>
      </c>
      <c r="D989" t="s">
        <v>3603</v>
      </c>
      <c r="E989" t="s">
        <v>3605</v>
      </c>
    </row>
    <row r="990" spans="1:5" x14ac:dyDescent="0.25">
      <c r="A990" t="s">
        <v>3547</v>
      </c>
      <c r="B990" t="s">
        <v>3601</v>
      </c>
      <c r="C990" t="s">
        <v>258</v>
      </c>
      <c r="D990" t="s">
        <v>3607</v>
      </c>
      <c r="E990" t="s">
        <v>3608</v>
      </c>
    </row>
    <row r="991" spans="1:5" x14ac:dyDescent="0.25">
      <c r="A991" t="s">
        <v>3547</v>
      </c>
      <c r="B991" t="s">
        <v>3601</v>
      </c>
      <c r="C991" t="s">
        <v>2203</v>
      </c>
      <c r="D991" t="s">
        <v>3603</v>
      </c>
      <c r="E991" t="s">
        <v>3605</v>
      </c>
    </row>
    <row r="992" spans="1:5" x14ac:dyDescent="0.25">
      <c r="A992" t="s">
        <v>3547</v>
      </c>
      <c r="B992" t="s">
        <v>3601</v>
      </c>
      <c r="C992" t="s">
        <v>1902</v>
      </c>
      <c r="D992" t="s">
        <v>3602</v>
      </c>
      <c r="E992" t="s">
        <v>3609</v>
      </c>
    </row>
    <row r="993" spans="1:5" x14ac:dyDescent="0.25">
      <c r="A993" t="s">
        <v>3547</v>
      </c>
      <c r="B993" t="s">
        <v>3601</v>
      </c>
      <c r="C993" t="s">
        <v>1513</v>
      </c>
      <c r="D993" t="s">
        <v>3606</v>
      </c>
      <c r="E993" t="s">
        <v>3604</v>
      </c>
    </row>
    <row r="994" spans="1:5" x14ac:dyDescent="0.25">
      <c r="A994" t="s">
        <v>3547</v>
      </c>
      <c r="B994" t="s">
        <v>3601</v>
      </c>
      <c r="C994" t="s">
        <v>516</v>
      </c>
      <c r="D994" t="s">
        <v>3603</v>
      </c>
      <c r="E994" t="s">
        <v>3609</v>
      </c>
    </row>
    <row r="995" spans="1:5" x14ac:dyDescent="0.25">
      <c r="A995" t="s">
        <v>3547</v>
      </c>
      <c r="B995" t="s">
        <v>3601</v>
      </c>
      <c r="C995" t="s">
        <v>179</v>
      </c>
      <c r="D995" t="s">
        <v>3606</v>
      </c>
      <c r="E995" t="s">
        <v>3603</v>
      </c>
    </row>
    <row r="996" spans="1:5" x14ac:dyDescent="0.25">
      <c r="A996" t="s">
        <v>3547</v>
      </c>
      <c r="B996" t="s">
        <v>3601</v>
      </c>
      <c r="C996" t="s">
        <v>2798</v>
      </c>
      <c r="D996" t="s">
        <v>3606</v>
      </c>
      <c r="E996" t="s">
        <v>3603</v>
      </c>
    </row>
    <row r="997" spans="1:5" x14ac:dyDescent="0.25">
      <c r="A997" t="s">
        <v>3547</v>
      </c>
      <c r="B997" t="s">
        <v>3601</v>
      </c>
      <c r="C997" t="s">
        <v>1167</v>
      </c>
      <c r="D997" t="s">
        <v>3603</v>
      </c>
      <c r="E997" t="s">
        <v>3604</v>
      </c>
    </row>
    <row r="998" spans="1:5" x14ac:dyDescent="0.25">
      <c r="A998" t="s">
        <v>3547</v>
      </c>
      <c r="B998" t="s">
        <v>3601</v>
      </c>
      <c r="C998" t="s">
        <v>2376</v>
      </c>
      <c r="D998" t="s">
        <v>3607</v>
      </c>
      <c r="E998" t="s">
        <v>3608</v>
      </c>
    </row>
    <row r="999" spans="1:5" x14ac:dyDescent="0.25">
      <c r="A999" t="s">
        <v>3547</v>
      </c>
      <c r="B999" t="s">
        <v>3601</v>
      </c>
      <c r="C999" t="s">
        <v>1740</v>
      </c>
      <c r="D999" t="s">
        <v>3606</v>
      </c>
      <c r="E999" t="s">
        <v>3604</v>
      </c>
    </row>
    <row r="1000" spans="1:5" x14ac:dyDescent="0.25">
      <c r="A1000" t="s">
        <v>3547</v>
      </c>
      <c r="B1000" t="s">
        <v>3601</v>
      </c>
      <c r="C1000" t="s">
        <v>1700</v>
      </c>
      <c r="D1000" t="s">
        <v>3607</v>
      </c>
      <c r="E1000" t="s">
        <v>3608</v>
      </c>
    </row>
    <row r="1001" spans="1:5" x14ac:dyDescent="0.25">
      <c r="A1001" t="s">
        <v>3547</v>
      </c>
      <c r="B1001" t="s">
        <v>3601</v>
      </c>
      <c r="C1001" t="s">
        <v>577</v>
      </c>
      <c r="D1001" t="s">
        <v>3606</v>
      </c>
      <c r="E1001" t="s">
        <v>3605</v>
      </c>
    </row>
    <row r="1002" spans="1:5" x14ac:dyDescent="0.25">
      <c r="A1002" t="s">
        <v>3547</v>
      </c>
      <c r="B1002" t="s">
        <v>3610</v>
      </c>
      <c r="C1002" t="s">
        <v>2943</v>
      </c>
      <c r="D1002" t="s">
        <v>3611</v>
      </c>
      <c r="E1002" t="s">
        <v>3608</v>
      </c>
    </row>
    <row r="1003" spans="1:5" x14ac:dyDescent="0.25">
      <c r="A1003" t="s">
        <v>3547</v>
      </c>
      <c r="B1003" t="s">
        <v>3610</v>
      </c>
      <c r="C1003" t="s">
        <v>2913</v>
      </c>
      <c r="D1003" t="s">
        <v>3607</v>
      </c>
      <c r="E1003" t="s">
        <v>3608</v>
      </c>
    </row>
    <row r="1004" spans="1:5" x14ac:dyDescent="0.25">
      <c r="A1004" t="s">
        <v>3547</v>
      </c>
      <c r="B1004" t="s">
        <v>3610</v>
      </c>
      <c r="C1004" t="s">
        <v>2907</v>
      </c>
      <c r="D1004" t="s">
        <v>3611</v>
      </c>
      <c r="E1004" t="s">
        <v>3608</v>
      </c>
    </row>
    <row r="1005" spans="1:5" x14ac:dyDescent="0.25">
      <c r="A1005" t="s">
        <v>3551</v>
      </c>
      <c r="B1005" t="s">
        <v>3601</v>
      </c>
      <c r="C1005" t="s">
        <v>54</v>
      </c>
      <c r="D1005" t="s">
        <v>3606</v>
      </c>
      <c r="E1005" t="s">
        <v>3603</v>
      </c>
    </row>
    <row r="1006" spans="1:5" x14ac:dyDescent="0.25">
      <c r="A1006" t="s">
        <v>3551</v>
      </c>
      <c r="B1006" t="s">
        <v>3601</v>
      </c>
      <c r="C1006" t="s">
        <v>2699</v>
      </c>
      <c r="D1006" t="s">
        <v>3606</v>
      </c>
      <c r="E1006" t="s">
        <v>3603</v>
      </c>
    </row>
    <row r="1007" spans="1:5" x14ac:dyDescent="0.25">
      <c r="A1007" t="s">
        <v>3551</v>
      </c>
      <c r="B1007" t="s">
        <v>3601</v>
      </c>
      <c r="C1007" t="s">
        <v>2366</v>
      </c>
      <c r="D1007" t="s">
        <v>3603</v>
      </c>
      <c r="E1007" t="s">
        <v>3605</v>
      </c>
    </row>
    <row r="1008" spans="1:5" x14ac:dyDescent="0.25">
      <c r="A1008" t="s">
        <v>3551</v>
      </c>
      <c r="B1008" t="s">
        <v>3601</v>
      </c>
      <c r="C1008" t="s">
        <v>898</v>
      </c>
      <c r="D1008" t="s">
        <v>3607</v>
      </c>
      <c r="E1008" t="s">
        <v>3608</v>
      </c>
    </row>
    <row r="1009" spans="1:5" x14ac:dyDescent="0.25">
      <c r="A1009" t="s">
        <v>3551</v>
      </c>
      <c r="B1009" t="s">
        <v>3601</v>
      </c>
      <c r="C1009" t="s">
        <v>496</v>
      </c>
      <c r="D1009" t="s">
        <v>3607</v>
      </c>
      <c r="E1009" t="s">
        <v>3608</v>
      </c>
    </row>
    <row r="1010" spans="1:5" x14ac:dyDescent="0.25">
      <c r="A1010" t="s">
        <v>3551</v>
      </c>
      <c r="B1010" t="s">
        <v>3601</v>
      </c>
      <c r="C1010" t="s">
        <v>1454</v>
      </c>
      <c r="D1010" t="s">
        <v>3602</v>
      </c>
      <c r="E1010" t="s">
        <v>3605</v>
      </c>
    </row>
    <row r="1011" spans="1:5" x14ac:dyDescent="0.25">
      <c r="A1011" t="s">
        <v>3551</v>
      </c>
      <c r="B1011" t="s">
        <v>3601</v>
      </c>
      <c r="C1011" t="s">
        <v>783</v>
      </c>
      <c r="D1011" t="s">
        <v>3603</v>
      </c>
      <c r="E1011" t="s">
        <v>3609</v>
      </c>
    </row>
    <row r="1012" spans="1:5" x14ac:dyDescent="0.25">
      <c r="A1012" t="s">
        <v>3551</v>
      </c>
      <c r="B1012" t="s">
        <v>3601</v>
      </c>
      <c r="C1012" t="s">
        <v>2315</v>
      </c>
      <c r="D1012" t="s">
        <v>3603</v>
      </c>
      <c r="E1012" t="s">
        <v>3609</v>
      </c>
    </row>
    <row r="1013" spans="1:5" x14ac:dyDescent="0.25">
      <c r="A1013" t="s">
        <v>3551</v>
      </c>
      <c r="B1013" t="s">
        <v>3601</v>
      </c>
      <c r="C1013" t="s">
        <v>1689</v>
      </c>
      <c r="D1013" t="s">
        <v>3607</v>
      </c>
      <c r="E1013" t="s">
        <v>3608</v>
      </c>
    </row>
    <row r="1014" spans="1:5" x14ac:dyDescent="0.25">
      <c r="A1014" t="s">
        <v>3551</v>
      </c>
      <c r="B1014" t="s">
        <v>3601</v>
      </c>
      <c r="C1014" t="s">
        <v>2163</v>
      </c>
      <c r="D1014" t="s">
        <v>3603</v>
      </c>
      <c r="E1014" t="s">
        <v>3605</v>
      </c>
    </row>
    <row r="1015" spans="1:5" x14ac:dyDescent="0.25">
      <c r="A1015" t="s">
        <v>3551</v>
      </c>
      <c r="B1015" t="s">
        <v>3601</v>
      </c>
      <c r="C1015" t="s">
        <v>2027</v>
      </c>
      <c r="D1015" t="s">
        <v>3607</v>
      </c>
      <c r="E1015" t="s">
        <v>3608</v>
      </c>
    </row>
    <row r="1016" spans="1:5" x14ac:dyDescent="0.25">
      <c r="A1016" t="s">
        <v>3551</v>
      </c>
      <c r="B1016" t="s">
        <v>3601</v>
      </c>
      <c r="C1016" t="s">
        <v>1428</v>
      </c>
      <c r="D1016" t="s">
        <v>3606</v>
      </c>
      <c r="E1016" t="s">
        <v>3609</v>
      </c>
    </row>
    <row r="1017" spans="1:5" x14ac:dyDescent="0.25">
      <c r="A1017" t="s">
        <v>3551</v>
      </c>
      <c r="B1017" t="s">
        <v>3601</v>
      </c>
      <c r="C1017" t="s">
        <v>1508</v>
      </c>
      <c r="D1017" t="s">
        <v>3607</v>
      </c>
      <c r="E1017" t="s">
        <v>3608</v>
      </c>
    </row>
    <row r="1018" spans="1:5" x14ac:dyDescent="0.25">
      <c r="A1018" t="s">
        <v>3551</v>
      </c>
      <c r="B1018" t="s">
        <v>3601</v>
      </c>
      <c r="C1018" t="s">
        <v>1199</v>
      </c>
      <c r="D1018" t="s">
        <v>3602</v>
      </c>
      <c r="E1018" t="s">
        <v>3609</v>
      </c>
    </row>
    <row r="1019" spans="1:5" x14ac:dyDescent="0.25">
      <c r="A1019" t="s">
        <v>3551</v>
      </c>
      <c r="B1019" t="s">
        <v>3601</v>
      </c>
      <c r="C1019" t="s">
        <v>1762</v>
      </c>
      <c r="D1019" t="s">
        <v>3602</v>
      </c>
      <c r="E1019" t="s">
        <v>3609</v>
      </c>
    </row>
    <row r="1020" spans="1:5" x14ac:dyDescent="0.25">
      <c r="A1020" t="s">
        <v>3551</v>
      </c>
      <c r="B1020" t="s">
        <v>3601</v>
      </c>
      <c r="C1020" t="s">
        <v>2238</v>
      </c>
      <c r="D1020" t="s">
        <v>3607</v>
      </c>
      <c r="E1020" t="s">
        <v>3608</v>
      </c>
    </row>
    <row r="1021" spans="1:5" x14ac:dyDescent="0.25">
      <c r="A1021" t="s">
        <v>3551</v>
      </c>
      <c r="B1021" t="s">
        <v>3601</v>
      </c>
      <c r="C1021" t="s">
        <v>2263</v>
      </c>
      <c r="D1021" t="s">
        <v>3603</v>
      </c>
      <c r="E1021" t="s">
        <v>3609</v>
      </c>
    </row>
    <row r="1022" spans="1:5" x14ac:dyDescent="0.25">
      <c r="A1022" t="s">
        <v>3551</v>
      </c>
      <c r="B1022" t="s">
        <v>3601</v>
      </c>
      <c r="C1022" t="s">
        <v>1135</v>
      </c>
      <c r="D1022" t="s">
        <v>3607</v>
      </c>
      <c r="E1022" t="s">
        <v>3608</v>
      </c>
    </row>
    <row r="1023" spans="1:5" x14ac:dyDescent="0.25">
      <c r="A1023" t="s">
        <v>3551</v>
      </c>
      <c r="B1023" t="s">
        <v>3601</v>
      </c>
      <c r="C1023" t="s">
        <v>728</v>
      </c>
      <c r="D1023" t="s">
        <v>3602</v>
      </c>
      <c r="E1023" t="s">
        <v>3605</v>
      </c>
    </row>
    <row r="1024" spans="1:5" x14ac:dyDescent="0.25">
      <c r="A1024" t="s">
        <v>3551</v>
      </c>
      <c r="B1024" t="s">
        <v>3601</v>
      </c>
      <c r="C1024" t="s">
        <v>2862</v>
      </c>
      <c r="D1024" t="s">
        <v>3602</v>
      </c>
      <c r="E1024" t="s">
        <v>3603</v>
      </c>
    </row>
    <row r="1025" spans="1:5" x14ac:dyDescent="0.25">
      <c r="A1025" t="s">
        <v>3551</v>
      </c>
      <c r="B1025" t="s">
        <v>3601</v>
      </c>
      <c r="C1025" t="s">
        <v>1630</v>
      </c>
      <c r="D1025" t="s">
        <v>3602</v>
      </c>
      <c r="E1025" t="s">
        <v>3605</v>
      </c>
    </row>
    <row r="1026" spans="1:5" x14ac:dyDescent="0.25">
      <c r="A1026" t="s">
        <v>3551</v>
      </c>
      <c r="B1026" t="s">
        <v>3601</v>
      </c>
      <c r="C1026" t="s">
        <v>1140</v>
      </c>
      <c r="D1026" t="s">
        <v>3602</v>
      </c>
      <c r="E1026" t="s">
        <v>3605</v>
      </c>
    </row>
    <row r="1027" spans="1:5" x14ac:dyDescent="0.25">
      <c r="A1027" t="s">
        <v>3551</v>
      </c>
      <c r="B1027" t="s">
        <v>3601</v>
      </c>
      <c r="C1027" t="s">
        <v>450</v>
      </c>
      <c r="D1027" t="s">
        <v>3606</v>
      </c>
      <c r="E1027" t="s">
        <v>3603</v>
      </c>
    </row>
    <row r="1028" spans="1:5" x14ac:dyDescent="0.25">
      <c r="A1028" t="s">
        <v>3551</v>
      </c>
      <c r="B1028" t="s">
        <v>3601</v>
      </c>
      <c r="C1028" t="s">
        <v>349</v>
      </c>
      <c r="D1028" t="s">
        <v>3607</v>
      </c>
      <c r="E1028" t="s">
        <v>3608</v>
      </c>
    </row>
    <row r="1029" spans="1:5" x14ac:dyDescent="0.25">
      <c r="A1029" t="s">
        <v>3551</v>
      </c>
      <c r="B1029" t="s">
        <v>3601</v>
      </c>
      <c r="C1029" t="s">
        <v>1503</v>
      </c>
      <c r="D1029" t="s">
        <v>3606</v>
      </c>
      <c r="E1029" t="s">
        <v>3603</v>
      </c>
    </row>
    <row r="1030" spans="1:5" x14ac:dyDescent="0.25">
      <c r="A1030" t="s">
        <v>3551</v>
      </c>
      <c r="B1030" t="s">
        <v>3601</v>
      </c>
      <c r="C1030" t="s">
        <v>97</v>
      </c>
      <c r="D1030" t="s">
        <v>3607</v>
      </c>
      <c r="E1030" t="s">
        <v>3608</v>
      </c>
    </row>
    <row r="1031" spans="1:5" x14ac:dyDescent="0.25">
      <c r="A1031" t="s">
        <v>3551</v>
      </c>
      <c r="B1031" t="s">
        <v>3601</v>
      </c>
      <c r="C1031" t="s">
        <v>1498</v>
      </c>
      <c r="D1031" t="s">
        <v>3602</v>
      </c>
      <c r="E1031" t="s">
        <v>3605</v>
      </c>
    </row>
    <row r="1032" spans="1:5" x14ac:dyDescent="0.25">
      <c r="A1032" t="s">
        <v>3551</v>
      </c>
      <c r="B1032" t="s">
        <v>3601</v>
      </c>
      <c r="C1032" t="s">
        <v>670</v>
      </c>
      <c r="D1032" t="s">
        <v>3606</v>
      </c>
      <c r="E1032" t="s">
        <v>3605</v>
      </c>
    </row>
    <row r="1033" spans="1:5" x14ac:dyDescent="0.25">
      <c r="A1033" t="s">
        <v>3551</v>
      </c>
      <c r="B1033" t="s">
        <v>3601</v>
      </c>
      <c r="C1033" t="s">
        <v>1394</v>
      </c>
      <c r="D1033" t="s">
        <v>3607</v>
      </c>
      <c r="E1033" t="s">
        <v>3608</v>
      </c>
    </row>
    <row r="1034" spans="1:5" x14ac:dyDescent="0.25">
      <c r="A1034" t="s">
        <v>3551</v>
      </c>
      <c r="B1034" t="s">
        <v>3601</v>
      </c>
      <c r="C1034" t="s">
        <v>1216</v>
      </c>
      <c r="D1034" t="s">
        <v>3606</v>
      </c>
      <c r="E1034" t="s">
        <v>3605</v>
      </c>
    </row>
    <row r="1035" spans="1:5" x14ac:dyDescent="0.25">
      <c r="A1035" t="s">
        <v>3551</v>
      </c>
      <c r="B1035" t="s">
        <v>3601</v>
      </c>
      <c r="C1035" t="s">
        <v>1886</v>
      </c>
      <c r="D1035" t="s">
        <v>3606</v>
      </c>
      <c r="E1035" t="s">
        <v>3603</v>
      </c>
    </row>
    <row r="1036" spans="1:5" x14ac:dyDescent="0.25">
      <c r="A1036" t="s">
        <v>3551</v>
      </c>
      <c r="B1036" t="s">
        <v>3601</v>
      </c>
      <c r="C1036" t="s">
        <v>1912</v>
      </c>
      <c r="D1036" t="s">
        <v>3606</v>
      </c>
      <c r="E1036" t="s">
        <v>3605</v>
      </c>
    </row>
    <row r="1037" spans="1:5" x14ac:dyDescent="0.25">
      <c r="A1037" t="s">
        <v>3551</v>
      </c>
      <c r="B1037" t="s">
        <v>3601</v>
      </c>
      <c r="C1037" t="s">
        <v>341</v>
      </c>
      <c r="D1037" t="s">
        <v>3607</v>
      </c>
      <c r="E1037" t="s">
        <v>3608</v>
      </c>
    </row>
    <row r="1038" spans="1:5" x14ac:dyDescent="0.25">
      <c r="A1038" t="s">
        <v>3551</v>
      </c>
      <c r="B1038" t="s">
        <v>3601</v>
      </c>
      <c r="C1038" t="s">
        <v>1116</v>
      </c>
      <c r="D1038" t="s">
        <v>3602</v>
      </c>
      <c r="E1038" t="s">
        <v>3605</v>
      </c>
    </row>
    <row r="1039" spans="1:5" x14ac:dyDescent="0.25">
      <c r="A1039" t="s">
        <v>3551</v>
      </c>
      <c r="B1039" t="s">
        <v>3601</v>
      </c>
      <c r="C1039" t="s">
        <v>2527</v>
      </c>
      <c r="D1039" t="s">
        <v>3607</v>
      </c>
      <c r="E1039" t="s">
        <v>3608</v>
      </c>
    </row>
    <row r="1040" spans="1:5" x14ac:dyDescent="0.25">
      <c r="A1040" t="s">
        <v>3551</v>
      </c>
      <c r="B1040" t="s">
        <v>3601</v>
      </c>
      <c r="C1040" t="s">
        <v>2340</v>
      </c>
      <c r="D1040" t="s">
        <v>3607</v>
      </c>
      <c r="E1040" t="s">
        <v>3608</v>
      </c>
    </row>
    <row r="1041" spans="1:5" x14ac:dyDescent="0.25">
      <c r="A1041" t="s">
        <v>3551</v>
      </c>
      <c r="B1041" t="s">
        <v>3601</v>
      </c>
      <c r="C1041" t="s">
        <v>1023</v>
      </c>
      <c r="D1041" t="s">
        <v>3602</v>
      </c>
      <c r="E1041" t="s">
        <v>3605</v>
      </c>
    </row>
    <row r="1042" spans="1:5" x14ac:dyDescent="0.25">
      <c r="A1042" t="s">
        <v>3551</v>
      </c>
      <c r="B1042" t="s">
        <v>3601</v>
      </c>
      <c r="C1042" t="s">
        <v>1731</v>
      </c>
      <c r="D1042" t="s">
        <v>3607</v>
      </c>
      <c r="E1042" t="s">
        <v>3608</v>
      </c>
    </row>
    <row r="1043" spans="1:5" x14ac:dyDescent="0.25">
      <c r="A1043" t="s">
        <v>3551</v>
      </c>
      <c r="B1043" t="s">
        <v>3601</v>
      </c>
      <c r="C1043" t="s">
        <v>124</v>
      </c>
      <c r="D1043" t="s">
        <v>3607</v>
      </c>
      <c r="E1043" t="s">
        <v>3608</v>
      </c>
    </row>
    <row r="1044" spans="1:5" x14ac:dyDescent="0.25">
      <c r="A1044" t="s">
        <v>3551</v>
      </c>
      <c r="B1044" t="s">
        <v>3601</v>
      </c>
      <c r="C1044" t="s">
        <v>65</v>
      </c>
      <c r="D1044" t="s">
        <v>3606</v>
      </c>
      <c r="E1044" t="s">
        <v>3609</v>
      </c>
    </row>
    <row r="1045" spans="1:5" x14ac:dyDescent="0.25">
      <c r="A1045" t="s">
        <v>3551</v>
      </c>
      <c r="B1045" t="s">
        <v>3601</v>
      </c>
      <c r="C1045" t="s">
        <v>1434</v>
      </c>
      <c r="D1045" t="s">
        <v>3607</v>
      </c>
      <c r="E1045" t="s">
        <v>3608</v>
      </c>
    </row>
    <row r="1046" spans="1:5" x14ac:dyDescent="0.25">
      <c r="A1046" t="s">
        <v>3551</v>
      </c>
      <c r="B1046" t="s">
        <v>3601</v>
      </c>
      <c r="C1046" t="s">
        <v>333</v>
      </c>
      <c r="D1046" t="s">
        <v>3606</v>
      </c>
      <c r="E1046" t="s">
        <v>3605</v>
      </c>
    </row>
    <row r="1047" spans="1:5" x14ac:dyDescent="0.25">
      <c r="A1047" t="s">
        <v>3551</v>
      </c>
      <c r="B1047" t="s">
        <v>3601</v>
      </c>
      <c r="C1047" t="s">
        <v>826</v>
      </c>
      <c r="D1047" t="s">
        <v>3606</v>
      </c>
      <c r="E1047" t="s">
        <v>3605</v>
      </c>
    </row>
    <row r="1048" spans="1:5" x14ac:dyDescent="0.25">
      <c r="A1048" t="s">
        <v>3551</v>
      </c>
      <c r="B1048" t="s">
        <v>3601</v>
      </c>
      <c r="C1048" t="s">
        <v>1852</v>
      </c>
      <c r="D1048" t="s">
        <v>3607</v>
      </c>
      <c r="E1048" t="s">
        <v>3608</v>
      </c>
    </row>
    <row r="1049" spans="1:5" x14ac:dyDescent="0.25">
      <c r="A1049" t="s">
        <v>3551</v>
      </c>
      <c r="B1049" t="s">
        <v>3601</v>
      </c>
      <c r="C1049" t="s">
        <v>1678</v>
      </c>
      <c r="D1049" t="s">
        <v>3603</v>
      </c>
      <c r="E1049" t="s">
        <v>3605</v>
      </c>
    </row>
    <row r="1050" spans="1:5" x14ac:dyDescent="0.25">
      <c r="A1050" t="s">
        <v>3551</v>
      </c>
      <c r="B1050" t="s">
        <v>3601</v>
      </c>
      <c r="C1050" t="s">
        <v>771</v>
      </c>
      <c r="D1050" t="s">
        <v>3603</v>
      </c>
      <c r="E1050" t="s">
        <v>3605</v>
      </c>
    </row>
    <row r="1051" spans="1:5" x14ac:dyDescent="0.25">
      <c r="A1051" t="s">
        <v>3551</v>
      </c>
      <c r="B1051" t="s">
        <v>3601</v>
      </c>
      <c r="C1051" t="s">
        <v>1810</v>
      </c>
      <c r="D1051" t="s">
        <v>3602</v>
      </c>
      <c r="E1051" t="s">
        <v>3603</v>
      </c>
    </row>
    <row r="1052" spans="1:5" x14ac:dyDescent="0.25">
      <c r="A1052" t="s">
        <v>3551</v>
      </c>
      <c r="B1052" t="s">
        <v>3601</v>
      </c>
      <c r="C1052" t="s">
        <v>1942</v>
      </c>
      <c r="D1052" t="s">
        <v>3607</v>
      </c>
      <c r="E1052" t="s">
        <v>3608</v>
      </c>
    </row>
    <row r="1053" spans="1:5" x14ac:dyDescent="0.25">
      <c r="A1053" t="s">
        <v>3551</v>
      </c>
      <c r="B1053" t="s">
        <v>3601</v>
      </c>
      <c r="C1053" t="s">
        <v>1534</v>
      </c>
      <c r="D1053" t="s">
        <v>3602</v>
      </c>
      <c r="E1053" t="s">
        <v>3605</v>
      </c>
    </row>
    <row r="1054" spans="1:5" x14ac:dyDescent="0.25">
      <c r="A1054" t="s">
        <v>3551</v>
      </c>
      <c r="B1054" t="s">
        <v>3601</v>
      </c>
      <c r="C1054" t="s">
        <v>979</v>
      </c>
      <c r="D1054" t="s">
        <v>3607</v>
      </c>
      <c r="E1054" t="s">
        <v>3608</v>
      </c>
    </row>
    <row r="1055" spans="1:5" x14ac:dyDescent="0.25">
      <c r="A1055" t="s">
        <v>3551</v>
      </c>
      <c r="B1055" t="s">
        <v>3601</v>
      </c>
      <c r="C1055" t="s">
        <v>1007</v>
      </c>
      <c r="D1055" t="s">
        <v>3602</v>
      </c>
      <c r="E1055" t="s">
        <v>3605</v>
      </c>
    </row>
    <row r="1056" spans="1:5" x14ac:dyDescent="0.25">
      <c r="A1056" t="s">
        <v>3551</v>
      </c>
      <c r="B1056" t="s">
        <v>3601</v>
      </c>
      <c r="C1056" t="s">
        <v>1570</v>
      </c>
      <c r="D1056" t="s">
        <v>3602</v>
      </c>
      <c r="E1056" t="s">
        <v>3609</v>
      </c>
    </row>
    <row r="1057" spans="1:5" x14ac:dyDescent="0.25">
      <c r="A1057" t="s">
        <v>3551</v>
      </c>
      <c r="B1057" t="s">
        <v>3601</v>
      </c>
      <c r="C1057" t="s">
        <v>2423</v>
      </c>
      <c r="D1057" t="s">
        <v>3607</v>
      </c>
      <c r="E1057" t="s">
        <v>3608</v>
      </c>
    </row>
    <row r="1058" spans="1:5" x14ac:dyDescent="0.25">
      <c r="A1058" t="s">
        <v>3551</v>
      </c>
      <c r="B1058" t="s">
        <v>3601</v>
      </c>
      <c r="C1058" t="s">
        <v>1444</v>
      </c>
      <c r="D1058" t="s">
        <v>3607</v>
      </c>
      <c r="E1058" t="s">
        <v>3608</v>
      </c>
    </row>
    <row r="1059" spans="1:5" x14ac:dyDescent="0.25">
      <c r="A1059" t="s">
        <v>3551</v>
      </c>
      <c r="B1059" t="s">
        <v>3601</v>
      </c>
      <c r="C1059" t="s">
        <v>960</v>
      </c>
      <c r="D1059" t="s">
        <v>3602</v>
      </c>
      <c r="E1059" t="s">
        <v>3603</v>
      </c>
    </row>
    <row r="1060" spans="1:5" x14ac:dyDescent="0.25">
      <c r="A1060" t="s">
        <v>3551</v>
      </c>
      <c r="B1060" t="s">
        <v>3601</v>
      </c>
      <c r="C1060" t="s">
        <v>2091</v>
      </c>
      <c r="D1060" t="s">
        <v>3606</v>
      </c>
      <c r="E1060" t="s">
        <v>3605</v>
      </c>
    </row>
    <row r="1061" spans="1:5" x14ac:dyDescent="0.25">
      <c r="A1061" t="s">
        <v>3551</v>
      </c>
      <c r="B1061" t="s">
        <v>3601</v>
      </c>
      <c r="C1061" t="s">
        <v>1211</v>
      </c>
      <c r="D1061" t="s">
        <v>3603</v>
      </c>
      <c r="E1061" t="s">
        <v>3609</v>
      </c>
    </row>
    <row r="1062" spans="1:5" x14ac:dyDescent="0.25">
      <c r="A1062" t="s">
        <v>3551</v>
      </c>
      <c r="B1062" t="s">
        <v>3601</v>
      </c>
      <c r="C1062" t="s">
        <v>2763</v>
      </c>
      <c r="D1062" t="s">
        <v>3606</v>
      </c>
      <c r="E1062" t="s">
        <v>3603</v>
      </c>
    </row>
    <row r="1063" spans="1:5" x14ac:dyDescent="0.25">
      <c r="A1063" t="s">
        <v>3551</v>
      </c>
      <c r="B1063" t="s">
        <v>3601</v>
      </c>
      <c r="C1063" t="s">
        <v>1478</v>
      </c>
      <c r="D1063" t="s">
        <v>3603</v>
      </c>
      <c r="E1063" t="s">
        <v>3609</v>
      </c>
    </row>
    <row r="1064" spans="1:5" x14ac:dyDescent="0.25">
      <c r="A1064" t="s">
        <v>3551</v>
      </c>
      <c r="B1064" t="s">
        <v>3601</v>
      </c>
      <c r="C1064" t="s">
        <v>2758</v>
      </c>
      <c r="D1064" t="s">
        <v>3607</v>
      </c>
      <c r="E1064" t="s">
        <v>3608</v>
      </c>
    </row>
    <row r="1065" spans="1:5" x14ac:dyDescent="0.25">
      <c r="A1065" t="s">
        <v>3551</v>
      </c>
      <c r="B1065" t="s">
        <v>3601</v>
      </c>
      <c r="C1065" t="s">
        <v>1617</v>
      </c>
      <c r="D1065" t="s">
        <v>3607</v>
      </c>
      <c r="E1065" t="s">
        <v>3608</v>
      </c>
    </row>
    <row r="1066" spans="1:5" x14ac:dyDescent="0.25">
      <c r="A1066" t="s">
        <v>3551</v>
      </c>
      <c r="B1066" t="s">
        <v>3601</v>
      </c>
      <c r="C1066" t="s">
        <v>2143</v>
      </c>
      <c r="D1066" t="s">
        <v>3602</v>
      </c>
      <c r="E1066" t="s">
        <v>3603</v>
      </c>
    </row>
    <row r="1067" spans="1:5" x14ac:dyDescent="0.25">
      <c r="A1067" t="s">
        <v>3551</v>
      </c>
      <c r="B1067" t="s">
        <v>3601</v>
      </c>
      <c r="C1067" t="s">
        <v>2674</v>
      </c>
      <c r="D1067" t="s">
        <v>3603</v>
      </c>
      <c r="E1067" t="s">
        <v>3605</v>
      </c>
    </row>
    <row r="1068" spans="1:5" x14ac:dyDescent="0.25">
      <c r="A1068" t="s">
        <v>3551</v>
      </c>
      <c r="B1068" t="s">
        <v>3601</v>
      </c>
      <c r="C1068" t="s">
        <v>705</v>
      </c>
      <c r="D1068" t="s">
        <v>3607</v>
      </c>
      <c r="E1068" t="s">
        <v>3608</v>
      </c>
    </row>
    <row r="1069" spans="1:5" x14ac:dyDescent="0.25">
      <c r="A1069" t="s">
        <v>3551</v>
      </c>
      <c r="B1069" t="s">
        <v>3601</v>
      </c>
      <c r="C1069" t="s">
        <v>2058</v>
      </c>
      <c r="D1069" t="s">
        <v>3606</v>
      </c>
      <c r="E1069" t="s">
        <v>3609</v>
      </c>
    </row>
    <row r="1070" spans="1:5" x14ac:dyDescent="0.25">
      <c r="A1070" t="s">
        <v>3551</v>
      </c>
      <c r="B1070" t="s">
        <v>3601</v>
      </c>
      <c r="C1070" t="s">
        <v>992</v>
      </c>
      <c r="D1070" t="s">
        <v>3607</v>
      </c>
      <c r="E1070" t="s">
        <v>3608</v>
      </c>
    </row>
    <row r="1071" spans="1:5" x14ac:dyDescent="0.25">
      <c r="A1071" t="s">
        <v>3551</v>
      </c>
      <c r="B1071" t="s">
        <v>3601</v>
      </c>
      <c r="C1071" t="s">
        <v>1305</v>
      </c>
      <c r="D1071" t="s">
        <v>3606</v>
      </c>
      <c r="E1071" t="s">
        <v>3605</v>
      </c>
    </row>
    <row r="1072" spans="1:5" x14ac:dyDescent="0.25">
      <c r="A1072" t="s">
        <v>3551</v>
      </c>
      <c r="B1072" t="s">
        <v>3601</v>
      </c>
      <c r="C1072" t="s">
        <v>2376</v>
      </c>
      <c r="D1072" t="s">
        <v>3603</v>
      </c>
      <c r="E1072" t="s">
        <v>3609</v>
      </c>
    </row>
    <row r="1073" spans="1:5" x14ac:dyDescent="0.25">
      <c r="A1073" t="s">
        <v>3551</v>
      </c>
      <c r="B1073" t="s">
        <v>3601</v>
      </c>
      <c r="C1073" t="s">
        <v>2552</v>
      </c>
      <c r="D1073" t="s">
        <v>3602</v>
      </c>
      <c r="E1073" t="s">
        <v>3605</v>
      </c>
    </row>
    <row r="1074" spans="1:5" x14ac:dyDescent="0.25">
      <c r="A1074" t="s">
        <v>3551</v>
      </c>
      <c r="B1074" t="s">
        <v>3601</v>
      </c>
      <c r="C1074" t="s">
        <v>1012</v>
      </c>
      <c r="D1074" t="s">
        <v>3602</v>
      </c>
      <c r="E1074" t="s">
        <v>3609</v>
      </c>
    </row>
    <row r="1075" spans="1:5" x14ac:dyDescent="0.25">
      <c r="A1075" t="s">
        <v>3551</v>
      </c>
      <c r="B1075" t="s">
        <v>3601</v>
      </c>
      <c r="C1075" t="s">
        <v>1715</v>
      </c>
      <c r="D1075" t="s">
        <v>3607</v>
      </c>
      <c r="E1075" t="s">
        <v>3608</v>
      </c>
    </row>
    <row r="1076" spans="1:5" x14ac:dyDescent="0.25">
      <c r="A1076" t="s">
        <v>3551</v>
      </c>
      <c r="B1076" t="s">
        <v>3601</v>
      </c>
      <c r="C1076" t="s">
        <v>965</v>
      </c>
      <c r="D1076" t="s">
        <v>3603</v>
      </c>
      <c r="E1076" t="s">
        <v>3605</v>
      </c>
    </row>
    <row r="1077" spans="1:5" x14ac:dyDescent="0.25">
      <c r="A1077" t="s">
        <v>3551</v>
      </c>
      <c r="B1077" t="s">
        <v>3601</v>
      </c>
      <c r="C1077" t="s">
        <v>2542</v>
      </c>
      <c r="D1077" t="s">
        <v>3603</v>
      </c>
      <c r="E1077" t="s">
        <v>3604</v>
      </c>
    </row>
    <row r="1078" spans="1:5" x14ac:dyDescent="0.25">
      <c r="A1078" t="s">
        <v>3551</v>
      </c>
      <c r="B1078" t="s">
        <v>3601</v>
      </c>
      <c r="C1078" t="s">
        <v>858</v>
      </c>
      <c r="D1078" t="s">
        <v>3603</v>
      </c>
      <c r="E1078" t="s">
        <v>3604</v>
      </c>
    </row>
    <row r="1079" spans="1:5" x14ac:dyDescent="0.25">
      <c r="A1079" t="s">
        <v>3551</v>
      </c>
      <c r="B1079" t="s">
        <v>3601</v>
      </c>
      <c r="C1079" t="s">
        <v>1468</v>
      </c>
      <c r="D1079" t="s">
        <v>3606</v>
      </c>
      <c r="E1079" t="s">
        <v>3609</v>
      </c>
    </row>
    <row r="1080" spans="1:5" x14ac:dyDescent="0.25">
      <c r="A1080" t="s">
        <v>3551</v>
      </c>
      <c r="B1080" t="s">
        <v>3601</v>
      </c>
      <c r="C1080" t="s">
        <v>2233</v>
      </c>
      <c r="D1080" t="s">
        <v>3607</v>
      </c>
      <c r="E1080" t="s">
        <v>3608</v>
      </c>
    </row>
    <row r="1081" spans="1:5" x14ac:dyDescent="0.25">
      <c r="A1081" t="s">
        <v>3551</v>
      </c>
      <c r="B1081" t="s">
        <v>3601</v>
      </c>
      <c r="C1081" t="s">
        <v>1862</v>
      </c>
      <c r="D1081" t="s">
        <v>3602</v>
      </c>
      <c r="E1081" t="s">
        <v>3605</v>
      </c>
    </row>
    <row r="1082" spans="1:5" x14ac:dyDescent="0.25">
      <c r="A1082" t="s">
        <v>3551</v>
      </c>
      <c r="B1082" t="s">
        <v>3601</v>
      </c>
      <c r="C1082" t="s">
        <v>607</v>
      </c>
      <c r="D1082" t="s">
        <v>3602</v>
      </c>
      <c r="E1082" t="s">
        <v>3609</v>
      </c>
    </row>
    <row r="1083" spans="1:5" x14ac:dyDescent="0.25">
      <c r="A1083" t="s">
        <v>3551</v>
      </c>
      <c r="B1083" t="s">
        <v>3601</v>
      </c>
      <c r="C1083" t="s">
        <v>1110</v>
      </c>
      <c r="D1083" t="s">
        <v>3602</v>
      </c>
      <c r="E1083" t="s">
        <v>3609</v>
      </c>
    </row>
    <row r="1084" spans="1:5" x14ac:dyDescent="0.25">
      <c r="A1084" t="s">
        <v>3551</v>
      </c>
      <c r="B1084" t="s">
        <v>3601</v>
      </c>
      <c r="C1084" t="s">
        <v>2183</v>
      </c>
      <c r="D1084" t="s">
        <v>3606</v>
      </c>
      <c r="E1084" t="s">
        <v>3603</v>
      </c>
    </row>
    <row r="1085" spans="1:5" x14ac:dyDescent="0.25">
      <c r="A1085" t="s">
        <v>3551</v>
      </c>
      <c r="B1085" t="s">
        <v>3601</v>
      </c>
      <c r="C1085" t="s">
        <v>535</v>
      </c>
      <c r="D1085" t="s">
        <v>3602</v>
      </c>
      <c r="E1085" t="s">
        <v>3605</v>
      </c>
    </row>
    <row r="1086" spans="1:5" x14ac:dyDescent="0.25">
      <c r="A1086" t="s">
        <v>3551</v>
      </c>
      <c r="B1086" t="s">
        <v>3601</v>
      </c>
      <c r="C1086" t="s">
        <v>356</v>
      </c>
      <c r="D1086" t="s">
        <v>3607</v>
      </c>
      <c r="E1086" t="s">
        <v>3608</v>
      </c>
    </row>
    <row r="1087" spans="1:5" x14ac:dyDescent="0.25">
      <c r="A1087" t="s">
        <v>3551</v>
      </c>
      <c r="B1087" t="s">
        <v>3601</v>
      </c>
      <c r="C1087" t="s">
        <v>415</v>
      </c>
      <c r="D1087" t="s">
        <v>3606</v>
      </c>
      <c r="E1087" t="s">
        <v>3604</v>
      </c>
    </row>
    <row r="1088" spans="1:5" x14ac:dyDescent="0.25">
      <c r="A1088" t="s">
        <v>3551</v>
      </c>
      <c r="B1088" t="s">
        <v>3601</v>
      </c>
      <c r="C1088" t="s">
        <v>1513</v>
      </c>
      <c r="D1088" t="s">
        <v>3602</v>
      </c>
      <c r="E1088" t="s">
        <v>3605</v>
      </c>
    </row>
    <row r="1089" spans="1:5" x14ac:dyDescent="0.25">
      <c r="A1089" t="s">
        <v>3551</v>
      </c>
      <c r="B1089" t="s">
        <v>3601</v>
      </c>
      <c r="C1089" t="s">
        <v>214</v>
      </c>
      <c r="D1089" t="s">
        <v>3606</v>
      </c>
      <c r="E1089" t="s">
        <v>3603</v>
      </c>
    </row>
    <row r="1090" spans="1:5" x14ac:dyDescent="0.25">
      <c r="A1090" t="s">
        <v>3551</v>
      </c>
      <c r="B1090" t="s">
        <v>3601</v>
      </c>
      <c r="C1090" t="s">
        <v>2168</v>
      </c>
      <c r="D1090" t="s">
        <v>3602</v>
      </c>
      <c r="E1090" t="s">
        <v>3604</v>
      </c>
    </row>
    <row r="1091" spans="1:5" x14ac:dyDescent="0.25">
      <c r="A1091" t="s">
        <v>3551</v>
      </c>
      <c r="B1091" t="s">
        <v>3601</v>
      </c>
      <c r="C1091" t="s">
        <v>2532</v>
      </c>
      <c r="D1091" t="s">
        <v>3606</v>
      </c>
      <c r="E1091" t="s">
        <v>3604</v>
      </c>
    </row>
    <row r="1092" spans="1:5" x14ac:dyDescent="0.25">
      <c r="A1092" t="s">
        <v>3551</v>
      </c>
      <c r="B1092" t="s">
        <v>3601</v>
      </c>
      <c r="C1092" t="s">
        <v>2350</v>
      </c>
      <c r="D1092" t="s">
        <v>3607</v>
      </c>
      <c r="E1092" t="s">
        <v>3608</v>
      </c>
    </row>
    <row r="1093" spans="1:5" x14ac:dyDescent="0.25">
      <c r="A1093" t="s">
        <v>3551</v>
      </c>
      <c r="B1093" t="s">
        <v>3601</v>
      </c>
      <c r="C1093" t="s">
        <v>2356</v>
      </c>
      <c r="D1093" t="s">
        <v>3607</v>
      </c>
      <c r="E1093" t="s">
        <v>3608</v>
      </c>
    </row>
    <row r="1094" spans="1:5" x14ac:dyDescent="0.25">
      <c r="A1094" t="s">
        <v>3551</v>
      </c>
      <c r="B1094" t="s">
        <v>3601</v>
      </c>
      <c r="C1094" t="s">
        <v>2281</v>
      </c>
      <c r="D1094" t="s">
        <v>3607</v>
      </c>
      <c r="E1094" t="s">
        <v>3608</v>
      </c>
    </row>
    <row r="1095" spans="1:5" x14ac:dyDescent="0.25">
      <c r="A1095" t="s">
        <v>3551</v>
      </c>
      <c r="B1095" t="s">
        <v>3601</v>
      </c>
      <c r="C1095" t="s">
        <v>2069</v>
      </c>
      <c r="D1095" t="s">
        <v>3606</v>
      </c>
      <c r="E1095" t="s">
        <v>3603</v>
      </c>
    </row>
    <row r="1096" spans="1:5" x14ac:dyDescent="0.25">
      <c r="A1096" t="s">
        <v>3551</v>
      </c>
      <c r="B1096" t="s">
        <v>3601</v>
      </c>
      <c r="C1096" t="s">
        <v>132</v>
      </c>
      <c r="D1096" t="s">
        <v>3602</v>
      </c>
      <c r="E1096" t="s">
        <v>3604</v>
      </c>
    </row>
    <row r="1097" spans="1:5" x14ac:dyDescent="0.25">
      <c r="A1097" t="s">
        <v>3551</v>
      </c>
      <c r="B1097" t="s">
        <v>3601</v>
      </c>
      <c r="C1097" t="s">
        <v>1337</v>
      </c>
      <c r="D1097" t="s">
        <v>3606</v>
      </c>
      <c r="E1097" t="s">
        <v>3603</v>
      </c>
    </row>
    <row r="1098" spans="1:5" x14ac:dyDescent="0.25">
      <c r="A1098" t="s">
        <v>3551</v>
      </c>
      <c r="B1098" t="s">
        <v>3601</v>
      </c>
      <c r="C1098" t="s">
        <v>281</v>
      </c>
      <c r="D1098" t="s">
        <v>3603</v>
      </c>
      <c r="E1098" t="s">
        <v>3609</v>
      </c>
    </row>
    <row r="1099" spans="1:5" x14ac:dyDescent="0.25">
      <c r="A1099" t="s">
        <v>3551</v>
      </c>
      <c r="B1099" t="s">
        <v>3601</v>
      </c>
      <c r="C1099" t="s">
        <v>2843</v>
      </c>
      <c r="D1099" t="s">
        <v>3603</v>
      </c>
      <c r="E1099" t="s">
        <v>3605</v>
      </c>
    </row>
    <row r="1100" spans="1:5" x14ac:dyDescent="0.25">
      <c r="A1100" t="s">
        <v>3551</v>
      </c>
      <c r="B1100" t="s">
        <v>3601</v>
      </c>
      <c r="C1100" t="s">
        <v>2385</v>
      </c>
      <c r="D1100" t="s">
        <v>3607</v>
      </c>
      <c r="E1100" t="s">
        <v>3608</v>
      </c>
    </row>
    <row r="1101" spans="1:5" x14ac:dyDescent="0.25">
      <c r="A1101" t="s">
        <v>3551</v>
      </c>
      <c r="B1101" t="s">
        <v>3601</v>
      </c>
      <c r="C1101" t="s">
        <v>594</v>
      </c>
      <c r="D1101" t="s">
        <v>3606</v>
      </c>
      <c r="E1101" t="s">
        <v>3604</v>
      </c>
    </row>
    <row r="1102" spans="1:5" x14ac:dyDescent="0.25">
      <c r="A1102" t="s">
        <v>3551</v>
      </c>
      <c r="B1102" t="s">
        <v>3601</v>
      </c>
      <c r="C1102" t="s">
        <v>2444</v>
      </c>
      <c r="D1102" t="s">
        <v>3607</v>
      </c>
      <c r="E1102" t="s">
        <v>3608</v>
      </c>
    </row>
    <row r="1103" spans="1:5" x14ac:dyDescent="0.25">
      <c r="A1103" t="s">
        <v>3551</v>
      </c>
      <c r="B1103" t="s">
        <v>3601</v>
      </c>
      <c r="C1103" t="s">
        <v>1311</v>
      </c>
      <c r="D1103" t="s">
        <v>3606</v>
      </c>
      <c r="E1103" t="s">
        <v>3603</v>
      </c>
    </row>
    <row r="1104" spans="1:5" x14ac:dyDescent="0.25">
      <c r="A1104" t="s">
        <v>3551</v>
      </c>
      <c r="B1104" t="s">
        <v>3601</v>
      </c>
      <c r="C1104" t="s">
        <v>1917</v>
      </c>
      <c r="D1104" t="s">
        <v>3606</v>
      </c>
      <c r="E1104" t="s">
        <v>3604</v>
      </c>
    </row>
    <row r="1105" spans="1:5" x14ac:dyDescent="0.25">
      <c r="A1105" t="s">
        <v>3551</v>
      </c>
      <c r="B1105" t="s">
        <v>3601</v>
      </c>
      <c r="C1105" t="s">
        <v>2116</v>
      </c>
      <c r="D1105" t="s">
        <v>3607</v>
      </c>
      <c r="E1105" t="s">
        <v>3608</v>
      </c>
    </row>
    <row r="1106" spans="1:5" x14ac:dyDescent="0.25">
      <c r="A1106" t="s">
        <v>3551</v>
      </c>
      <c r="B1106" t="s">
        <v>3601</v>
      </c>
      <c r="C1106" t="s">
        <v>2277</v>
      </c>
      <c r="D1106" t="s">
        <v>3606</v>
      </c>
      <c r="E1106" t="s">
        <v>3603</v>
      </c>
    </row>
    <row r="1107" spans="1:5" x14ac:dyDescent="0.25">
      <c r="A1107" t="s">
        <v>3551</v>
      </c>
      <c r="B1107" t="s">
        <v>3601</v>
      </c>
      <c r="C1107" t="s">
        <v>657</v>
      </c>
      <c r="D1107" t="s">
        <v>3607</v>
      </c>
      <c r="E1107" t="s">
        <v>3608</v>
      </c>
    </row>
    <row r="1108" spans="1:5" x14ac:dyDescent="0.25">
      <c r="A1108" t="s">
        <v>3551</v>
      </c>
      <c r="B1108" t="s">
        <v>3601</v>
      </c>
      <c r="C1108" t="s">
        <v>1194</v>
      </c>
      <c r="D1108" t="s">
        <v>3603</v>
      </c>
      <c r="E1108" t="s">
        <v>3603</v>
      </c>
    </row>
    <row r="1109" spans="1:5" x14ac:dyDescent="0.25">
      <c r="A1109" t="s">
        <v>3551</v>
      </c>
      <c r="B1109" t="s">
        <v>3601</v>
      </c>
      <c r="C1109" t="s">
        <v>1365</v>
      </c>
      <c r="D1109" t="s">
        <v>3603</v>
      </c>
      <c r="E1109" t="s">
        <v>3609</v>
      </c>
    </row>
    <row r="1110" spans="1:5" x14ac:dyDescent="0.25">
      <c r="A1110" t="s">
        <v>3551</v>
      </c>
      <c r="B1110" t="s">
        <v>3601</v>
      </c>
      <c r="C1110" t="s">
        <v>304</v>
      </c>
      <c r="D1110" t="s">
        <v>3603</v>
      </c>
      <c r="E1110" t="s">
        <v>3605</v>
      </c>
    </row>
    <row r="1111" spans="1:5" x14ac:dyDescent="0.25">
      <c r="A1111" t="s">
        <v>3551</v>
      </c>
      <c r="B1111" t="s">
        <v>3601</v>
      </c>
      <c r="C1111" t="s">
        <v>1640</v>
      </c>
      <c r="D1111" t="s">
        <v>3606</v>
      </c>
      <c r="E1111" t="s">
        <v>3605</v>
      </c>
    </row>
    <row r="1112" spans="1:5" x14ac:dyDescent="0.25">
      <c r="A1112" t="s">
        <v>3551</v>
      </c>
      <c r="B1112" t="s">
        <v>3601</v>
      </c>
      <c r="C1112" t="s">
        <v>1282</v>
      </c>
      <c r="D1112" t="s">
        <v>3606</v>
      </c>
      <c r="E1112" t="s">
        <v>3609</v>
      </c>
    </row>
    <row r="1113" spans="1:5" x14ac:dyDescent="0.25">
      <c r="A1113" t="s">
        <v>3551</v>
      </c>
      <c r="B1113" t="s">
        <v>3601</v>
      </c>
      <c r="C1113" t="s">
        <v>1635</v>
      </c>
      <c r="D1113" t="s">
        <v>3607</v>
      </c>
      <c r="E1113" t="s">
        <v>3608</v>
      </c>
    </row>
    <row r="1114" spans="1:5" x14ac:dyDescent="0.25">
      <c r="A1114" t="s">
        <v>3551</v>
      </c>
      <c r="B1114" t="s">
        <v>3601</v>
      </c>
      <c r="C1114" t="s">
        <v>1769</v>
      </c>
      <c r="D1114" t="s">
        <v>3607</v>
      </c>
      <c r="E1114" t="s">
        <v>3608</v>
      </c>
    </row>
    <row r="1115" spans="1:5" x14ac:dyDescent="0.25">
      <c r="A1115" t="s">
        <v>3551</v>
      </c>
      <c r="B1115" t="s">
        <v>3601</v>
      </c>
      <c r="C1115" t="s">
        <v>1700</v>
      </c>
      <c r="D1115" t="s">
        <v>3606</v>
      </c>
      <c r="E1115" t="s">
        <v>3604</v>
      </c>
    </row>
    <row r="1116" spans="1:5" x14ac:dyDescent="0.25">
      <c r="A1116" t="s">
        <v>3551</v>
      </c>
      <c r="B1116" t="s">
        <v>3601</v>
      </c>
      <c r="C1116" t="s">
        <v>2494</v>
      </c>
      <c r="D1116" t="s">
        <v>3603</v>
      </c>
      <c r="E1116" t="s">
        <v>3604</v>
      </c>
    </row>
    <row r="1117" spans="1:5" x14ac:dyDescent="0.25">
      <c r="A1117" t="s">
        <v>3551</v>
      </c>
      <c r="B1117" t="s">
        <v>3601</v>
      </c>
      <c r="C1117" t="s">
        <v>1694</v>
      </c>
      <c r="D1117" t="s">
        <v>3603</v>
      </c>
      <c r="E1117" t="s">
        <v>3604</v>
      </c>
    </row>
    <row r="1118" spans="1:5" x14ac:dyDescent="0.25">
      <c r="A1118" t="s">
        <v>3551</v>
      </c>
      <c r="B1118" t="s">
        <v>3601</v>
      </c>
      <c r="C1118" t="s">
        <v>1651</v>
      </c>
      <c r="D1118" t="s">
        <v>3602</v>
      </c>
      <c r="E1118" t="s">
        <v>3604</v>
      </c>
    </row>
    <row r="1119" spans="1:5" x14ac:dyDescent="0.25">
      <c r="A1119" t="s">
        <v>3551</v>
      </c>
      <c r="B1119" t="s">
        <v>3601</v>
      </c>
      <c r="C1119" t="s">
        <v>1927</v>
      </c>
      <c r="D1119" t="s">
        <v>3607</v>
      </c>
      <c r="E1119" t="s">
        <v>3608</v>
      </c>
    </row>
    <row r="1120" spans="1:5" x14ac:dyDescent="0.25">
      <c r="A1120" t="s">
        <v>3551</v>
      </c>
      <c r="B1120" t="s">
        <v>3601</v>
      </c>
      <c r="C1120" t="s">
        <v>2259</v>
      </c>
      <c r="D1120" t="s">
        <v>3606</v>
      </c>
      <c r="E1120" t="s">
        <v>3604</v>
      </c>
    </row>
    <row r="1121" spans="1:5" x14ac:dyDescent="0.25">
      <c r="A1121" t="s">
        <v>3551</v>
      </c>
      <c r="B1121" t="s">
        <v>3601</v>
      </c>
      <c r="C1121" t="s">
        <v>903</v>
      </c>
      <c r="D1121" t="s">
        <v>3603</v>
      </c>
      <c r="E1121" t="s">
        <v>3609</v>
      </c>
    </row>
    <row r="1122" spans="1:5" x14ac:dyDescent="0.25">
      <c r="A1122" t="s">
        <v>3551</v>
      </c>
      <c r="B1122" t="s">
        <v>3610</v>
      </c>
      <c r="C1122" t="s">
        <v>2930</v>
      </c>
      <c r="D1122" t="s">
        <v>3611</v>
      </c>
      <c r="E1122" t="s">
        <v>3608</v>
      </c>
    </row>
    <row r="1123" spans="1:5" x14ac:dyDescent="0.25">
      <c r="A1123" t="s">
        <v>3551</v>
      </c>
      <c r="B1123" t="s">
        <v>3610</v>
      </c>
      <c r="C1123" t="s">
        <v>2980</v>
      </c>
      <c r="D1123" t="s">
        <v>3607</v>
      </c>
      <c r="E1123" t="s">
        <v>3608</v>
      </c>
    </row>
    <row r="1124" spans="1:5" x14ac:dyDescent="0.25">
      <c r="A1124" t="s">
        <v>3551</v>
      </c>
      <c r="B1124" t="s">
        <v>3610</v>
      </c>
      <c r="C1124" t="s">
        <v>2924</v>
      </c>
      <c r="D1124" t="s">
        <v>3611</v>
      </c>
      <c r="E1124" t="s">
        <v>3608</v>
      </c>
    </row>
    <row r="1125" spans="1:5" x14ac:dyDescent="0.25">
      <c r="A1125" t="s">
        <v>3554</v>
      </c>
      <c r="B1125" t="s">
        <v>3601</v>
      </c>
      <c r="C1125" t="s">
        <v>1463</v>
      </c>
      <c r="D1125" t="s">
        <v>3607</v>
      </c>
      <c r="E1125" t="s">
        <v>3608</v>
      </c>
    </row>
    <row r="1126" spans="1:5" x14ac:dyDescent="0.25">
      <c r="A1126" t="s">
        <v>3554</v>
      </c>
      <c r="B1126" t="s">
        <v>3601</v>
      </c>
      <c r="C1126" t="s">
        <v>2506</v>
      </c>
      <c r="D1126" t="s">
        <v>3603</v>
      </c>
      <c r="E1126" t="s">
        <v>3605</v>
      </c>
    </row>
    <row r="1127" spans="1:5" x14ac:dyDescent="0.25">
      <c r="A1127" t="s">
        <v>3554</v>
      </c>
      <c r="B1127" t="s">
        <v>3601</v>
      </c>
      <c r="C1127" t="s">
        <v>2223</v>
      </c>
      <c r="D1127" t="s">
        <v>3606</v>
      </c>
      <c r="E1127" t="s">
        <v>3604</v>
      </c>
    </row>
    <row r="1128" spans="1:5" x14ac:dyDescent="0.25">
      <c r="A1128" t="s">
        <v>3554</v>
      </c>
      <c r="B1128" t="s">
        <v>3601</v>
      </c>
      <c r="C1128" t="s">
        <v>2793</v>
      </c>
      <c r="D1128" t="s">
        <v>3607</v>
      </c>
      <c r="E1128" t="s">
        <v>3608</v>
      </c>
    </row>
    <row r="1129" spans="1:5" x14ac:dyDescent="0.25">
      <c r="A1129" t="s">
        <v>3554</v>
      </c>
      <c r="B1129" t="s">
        <v>3601</v>
      </c>
      <c r="C1129" t="s">
        <v>2198</v>
      </c>
      <c r="D1129" t="s">
        <v>3607</v>
      </c>
      <c r="E1129" t="s">
        <v>3608</v>
      </c>
    </row>
    <row r="1130" spans="1:5" x14ac:dyDescent="0.25">
      <c r="A1130" t="s">
        <v>3554</v>
      </c>
      <c r="B1130" t="s">
        <v>3601</v>
      </c>
      <c r="C1130" t="s">
        <v>1012</v>
      </c>
      <c r="D1130" t="s">
        <v>3602</v>
      </c>
      <c r="E1130" t="s">
        <v>3609</v>
      </c>
    </row>
    <row r="1131" spans="1:5" x14ac:dyDescent="0.25">
      <c r="A1131" t="s">
        <v>3554</v>
      </c>
      <c r="B1131" t="s">
        <v>3601</v>
      </c>
      <c r="C1131" t="s">
        <v>1880</v>
      </c>
      <c r="D1131" t="s">
        <v>3606</v>
      </c>
      <c r="E1131" t="s">
        <v>3605</v>
      </c>
    </row>
    <row r="1132" spans="1:5" x14ac:dyDescent="0.25">
      <c r="A1132" t="s">
        <v>3554</v>
      </c>
      <c r="B1132" t="s">
        <v>3601</v>
      </c>
      <c r="C1132" t="s">
        <v>2259</v>
      </c>
      <c r="D1132" t="s">
        <v>3606</v>
      </c>
      <c r="E1132" t="s">
        <v>3605</v>
      </c>
    </row>
    <row r="1133" spans="1:5" x14ac:dyDescent="0.25">
      <c r="A1133" t="s">
        <v>3554</v>
      </c>
      <c r="B1133" t="s">
        <v>3601</v>
      </c>
      <c r="C1133" t="s">
        <v>870</v>
      </c>
      <c r="D1133" t="s">
        <v>3607</v>
      </c>
      <c r="E1133" t="s">
        <v>3608</v>
      </c>
    </row>
    <row r="1134" spans="1:5" x14ac:dyDescent="0.25">
      <c r="A1134" t="s">
        <v>3554</v>
      </c>
      <c r="B1134" t="s">
        <v>3601</v>
      </c>
      <c r="C1134" t="s">
        <v>2588</v>
      </c>
      <c r="D1134" t="s">
        <v>3602</v>
      </c>
      <c r="E1134" t="s">
        <v>3605</v>
      </c>
    </row>
    <row r="1135" spans="1:5" x14ac:dyDescent="0.25">
      <c r="A1135" t="s">
        <v>3554</v>
      </c>
      <c r="B1135" t="s">
        <v>3601</v>
      </c>
      <c r="C1135" t="s">
        <v>621</v>
      </c>
      <c r="D1135" t="s">
        <v>3607</v>
      </c>
      <c r="E1135" t="s">
        <v>3608</v>
      </c>
    </row>
    <row r="1136" spans="1:5" x14ac:dyDescent="0.25">
      <c r="A1136" t="s">
        <v>3554</v>
      </c>
      <c r="B1136" t="s">
        <v>3601</v>
      </c>
      <c r="C1136" t="s">
        <v>1724</v>
      </c>
      <c r="D1136" t="s">
        <v>3606</v>
      </c>
      <c r="E1136" t="s">
        <v>3604</v>
      </c>
    </row>
    <row r="1137" spans="1:5" x14ac:dyDescent="0.25">
      <c r="A1137" t="s">
        <v>3554</v>
      </c>
      <c r="B1137" t="s">
        <v>3601</v>
      </c>
      <c r="C1137" t="s">
        <v>220</v>
      </c>
      <c r="D1137" t="s">
        <v>3603</v>
      </c>
      <c r="E1137" t="s">
        <v>3605</v>
      </c>
    </row>
    <row r="1138" spans="1:5" x14ac:dyDescent="0.25">
      <c r="A1138" t="s">
        <v>3554</v>
      </c>
      <c r="B1138" t="s">
        <v>3601</v>
      </c>
      <c r="C1138" t="s">
        <v>852</v>
      </c>
      <c r="D1138" t="s">
        <v>3603</v>
      </c>
      <c r="E1138" t="s">
        <v>3605</v>
      </c>
    </row>
    <row r="1139" spans="1:5" x14ac:dyDescent="0.25">
      <c r="A1139" t="s">
        <v>3554</v>
      </c>
      <c r="B1139" t="s">
        <v>3601</v>
      </c>
      <c r="C1139" t="s">
        <v>1922</v>
      </c>
      <c r="D1139" t="s">
        <v>3607</v>
      </c>
      <c r="E1139" t="s">
        <v>3608</v>
      </c>
    </row>
    <row r="1140" spans="1:5" x14ac:dyDescent="0.25">
      <c r="A1140" t="s">
        <v>3554</v>
      </c>
      <c r="B1140" t="s">
        <v>3601</v>
      </c>
      <c r="C1140" t="s">
        <v>1458</v>
      </c>
      <c r="D1140" t="s">
        <v>3602</v>
      </c>
      <c r="E1140" t="s">
        <v>3603</v>
      </c>
    </row>
    <row r="1141" spans="1:5" x14ac:dyDescent="0.25">
      <c r="A1141" t="s">
        <v>3554</v>
      </c>
      <c r="B1141" t="s">
        <v>3601</v>
      </c>
      <c r="C1141" t="s">
        <v>1353</v>
      </c>
      <c r="D1141" t="s">
        <v>3606</v>
      </c>
      <c r="E1141" t="s">
        <v>3605</v>
      </c>
    </row>
    <row r="1142" spans="1:5" x14ac:dyDescent="0.25">
      <c r="A1142" t="s">
        <v>3554</v>
      </c>
      <c r="B1142" t="s">
        <v>3601</v>
      </c>
      <c r="C1142" t="s">
        <v>1090</v>
      </c>
      <c r="D1142" t="s">
        <v>3606</v>
      </c>
      <c r="E1142" t="s">
        <v>3604</v>
      </c>
    </row>
    <row r="1143" spans="1:5" x14ac:dyDescent="0.25">
      <c r="A1143" t="s">
        <v>3554</v>
      </c>
      <c r="B1143" t="s">
        <v>3601</v>
      </c>
      <c r="C1143" t="s">
        <v>2153</v>
      </c>
      <c r="D1143" t="s">
        <v>3602</v>
      </c>
      <c r="E1143" t="s">
        <v>3604</v>
      </c>
    </row>
    <row r="1144" spans="1:5" x14ac:dyDescent="0.25">
      <c r="A1144" t="s">
        <v>3554</v>
      </c>
      <c r="B1144" t="s">
        <v>3601</v>
      </c>
      <c r="C1144" t="s">
        <v>318</v>
      </c>
      <c r="D1144" t="s">
        <v>3606</v>
      </c>
      <c r="E1144" t="s">
        <v>3603</v>
      </c>
    </row>
    <row r="1145" spans="1:5" x14ac:dyDescent="0.25">
      <c r="A1145" t="s">
        <v>3554</v>
      </c>
      <c r="B1145" t="s">
        <v>3601</v>
      </c>
      <c r="C1145" t="s">
        <v>1796</v>
      </c>
      <c r="D1145" t="s">
        <v>3602</v>
      </c>
      <c r="E1145" t="s">
        <v>3609</v>
      </c>
    </row>
    <row r="1146" spans="1:5" x14ac:dyDescent="0.25">
      <c r="A1146" t="s">
        <v>3554</v>
      </c>
      <c r="B1146" t="s">
        <v>3601</v>
      </c>
      <c r="C1146" t="s">
        <v>289</v>
      </c>
      <c r="D1146" t="s">
        <v>3603</v>
      </c>
      <c r="E1146" t="s">
        <v>3605</v>
      </c>
    </row>
    <row r="1147" spans="1:5" x14ac:dyDescent="0.25">
      <c r="A1147" t="s">
        <v>3554</v>
      </c>
      <c r="B1147" t="s">
        <v>3610</v>
      </c>
      <c r="C1147" t="s">
        <v>2948</v>
      </c>
      <c r="D1147" t="s">
        <v>3607</v>
      </c>
      <c r="E1147" t="s">
        <v>3608</v>
      </c>
    </row>
    <row r="1148" spans="1:5" x14ac:dyDescent="0.25">
      <c r="A1148" t="s">
        <v>3554</v>
      </c>
      <c r="B1148" t="s">
        <v>3610</v>
      </c>
      <c r="C1148" t="s">
        <v>2913</v>
      </c>
      <c r="D1148" t="s">
        <v>3612</v>
      </c>
      <c r="E1148" t="s">
        <v>3608</v>
      </c>
    </row>
    <row r="1149" spans="1:5" x14ac:dyDescent="0.25">
      <c r="A1149" t="s">
        <v>3554</v>
      </c>
      <c r="B1149" t="s">
        <v>3610</v>
      </c>
      <c r="C1149" t="s">
        <v>2943</v>
      </c>
      <c r="D1149" t="s">
        <v>3611</v>
      </c>
      <c r="E1149" t="s">
        <v>3608</v>
      </c>
    </row>
    <row r="1150" spans="1:5" x14ac:dyDescent="0.25">
      <c r="A1150" t="s">
        <v>3554</v>
      </c>
      <c r="B1150" t="s">
        <v>3610</v>
      </c>
      <c r="C1150" t="s">
        <v>2937</v>
      </c>
      <c r="D1150" t="s">
        <v>3607</v>
      </c>
      <c r="E1150" t="s">
        <v>3608</v>
      </c>
    </row>
    <row r="1151" spans="1:5" x14ac:dyDescent="0.25">
      <c r="A1151" t="s">
        <v>3554</v>
      </c>
      <c r="B1151" t="s">
        <v>3610</v>
      </c>
      <c r="C1151" t="s">
        <v>2995</v>
      </c>
      <c r="D1151" t="s">
        <v>3607</v>
      </c>
      <c r="E1151" t="s">
        <v>3608</v>
      </c>
    </row>
    <row r="1152" spans="1:5" x14ac:dyDescent="0.25">
      <c r="A1152" t="s">
        <v>3556</v>
      </c>
      <c r="B1152" t="s">
        <v>3601</v>
      </c>
      <c r="C1152" t="s">
        <v>2803</v>
      </c>
      <c r="D1152" t="s">
        <v>3607</v>
      </c>
      <c r="E1152" t="s">
        <v>3608</v>
      </c>
    </row>
    <row r="1153" spans="1:5" x14ac:dyDescent="0.25">
      <c r="A1153" t="s">
        <v>3556</v>
      </c>
      <c r="B1153" t="s">
        <v>3601</v>
      </c>
      <c r="C1153" t="s">
        <v>2562</v>
      </c>
      <c r="D1153" t="s">
        <v>3607</v>
      </c>
      <c r="E1153" t="s">
        <v>3608</v>
      </c>
    </row>
    <row r="1154" spans="1:5" x14ac:dyDescent="0.25">
      <c r="A1154" t="s">
        <v>3556</v>
      </c>
      <c r="B1154" t="s">
        <v>3601</v>
      </c>
      <c r="C1154" t="s">
        <v>2602</v>
      </c>
      <c r="D1154" t="s">
        <v>3606</v>
      </c>
      <c r="E1154" t="s">
        <v>3605</v>
      </c>
    </row>
    <row r="1155" spans="1:5" x14ac:dyDescent="0.25">
      <c r="A1155" t="s">
        <v>3556</v>
      </c>
      <c r="B1155" t="s">
        <v>3601</v>
      </c>
      <c r="C1155" t="s">
        <v>2233</v>
      </c>
      <c r="D1155" t="s">
        <v>3602</v>
      </c>
      <c r="E1155" t="s">
        <v>3609</v>
      </c>
    </row>
    <row r="1156" spans="1:5" x14ac:dyDescent="0.25">
      <c r="A1156" t="s">
        <v>3556</v>
      </c>
      <c r="B1156" t="s">
        <v>3601</v>
      </c>
      <c r="C1156" t="s">
        <v>2542</v>
      </c>
      <c r="D1156" t="s">
        <v>3607</v>
      </c>
      <c r="E1156" t="s">
        <v>3608</v>
      </c>
    </row>
    <row r="1157" spans="1:5" x14ac:dyDescent="0.25">
      <c r="A1157" t="s">
        <v>3556</v>
      </c>
      <c r="B1157" t="s">
        <v>3601</v>
      </c>
      <c r="C1157" t="s">
        <v>1974</v>
      </c>
      <c r="D1157" t="s">
        <v>3602</v>
      </c>
      <c r="E1157" t="s">
        <v>3605</v>
      </c>
    </row>
    <row r="1158" spans="1:5" x14ac:dyDescent="0.25">
      <c r="A1158" t="s">
        <v>3556</v>
      </c>
      <c r="B1158" t="s">
        <v>3601</v>
      </c>
      <c r="C1158" t="s">
        <v>1017</v>
      </c>
      <c r="D1158" t="s">
        <v>3602</v>
      </c>
      <c r="E1158" t="s">
        <v>3603</v>
      </c>
    </row>
    <row r="1159" spans="1:5" x14ac:dyDescent="0.25">
      <c r="A1159" t="s">
        <v>3556</v>
      </c>
      <c r="B1159" t="s">
        <v>3601</v>
      </c>
      <c r="C1159" t="s">
        <v>1791</v>
      </c>
      <c r="D1159" t="s">
        <v>3602</v>
      </c>
      <c r="E1159" t="s">
        <v>3605</v>
      </c>
    </row>
    <row r="1160" spans="1:5" x14ac:dyDescent="0.25">
      <c r="A1160" t="s">
        <v>3556</v>
      </c>
      <c r="B1160" t="s">
        <v>3601</v>
      </c>
      <c r="C1160" t="s">
        <v>503</v>
      </c>
      <c r="D1160" t="s">
        <v>3606</v>
      </c>
      <c r="E1160" t="s">
        <v>3604</v>
      </c>
    </row>
    <row r="1161" spans="1:5" x14ac:dyDescent="0.25">
      <c r="A1161" t="s">
        <v>3556</v>
      </c>
      <c r="B1161" t="s">
        <v>3601</v>
      </c>
      <c r="C1161" t="s">
        <v>1575</v>
      </c>
      <c r="D1161" t="s">
        <v>3606</v>
      </c>
      <c r="E1161" t="s">
        <v>3605</v>
      </c>
    </row>
    <row r="1162" spans="1:5" x14ac:dyDescent="0.25">
      <c r="A1162" t="s">
        <v>3556</v>
      </c>
      <c r="B1162" t="s">
        <v>3601</v>
      </c>
      <c r="C1162" t="s">
        <v>1796</v>
      </c>
      <c r="D1162" t="s">
        <v>3606</v>
      </c>
      <c r="E1162" t="s">
        <v>3605</v>
      </c>
    </row>
    <row r="1163" spans="1:5" x14ac:dyDescent="0.25">
      <c r="A1163" t="s">
        <v>3556</v>
      </c>
      <c r="B1163" t="s">
        <v>3601</v>
      </c>
      <c r="C1163" t="s">
        <v>821</v>
      </c>
      <c r="D1163" t="s">
        <v>3607</v>
      </c>
      <c r="E1163" t="s">
        <v>3608</v>
      </c>
    </row>
    <row r="1164" spans="1:5" x14ac:dyDescent="0.25">
      <c r="A1164" t="s">
        <v>3556</v>
      </c>
      <c r="B1164" t="s">
        <v>3601</v>
      </c>
      <c r="C1164" t="s">
        <v>733</v>
      </c>
      <c r="D1164" t="s">
        <v>3602</v>
      </c>
      <c r="E1164" t="s">
        <v>3603</v>
      </c>
    </row>
    <row r="1165" spans="1:5" x14ac:dyDescent="0.25">
      <c r="A1165" t="s">
        <v>3556</v>
      </c>
      <c r="B1165" t="s">
        <v>3601</v>
      </c>
      <c r="C1165" t="s">
        <v>1769</v>
      </c>
      <c r="D1165" t="s">
        <v>3606</v>
      </c>
      <c r="E1165" t="s">
        <v>3609</v>
      </c>
    </row>
    <row r="1166" spans="1:5" x14ac:dyDescent="0.25">
      <c r="A1166" t="s">
        <v>3556</v>
      </c>
      <c r="B1166" t="s">
        <v>3601</v>
      </c>
      <c r="C1166" t="s">
        <v>2573</v>
      </c>
      <c r="D1166" t="s">
        <v>3602</v>
      </c>
      <c r="E1166" t="s">
        <v>3603</v>
      </c>
    </row>
    <row r="1167" spans="1:5" x14ac:dyDescent="0.25">
      <c r="A1167" t="s">
        <v>3556</v>
      </c>
      <c r="B1167" t="s">
        <v>3601</v>
      </c>
      <c r="C1167" t="s">
        <v>1740</v>
      </c>
      <c r="D1167" t="s">
        <v>3603</v>
      </c>
      <c r="E1167" t="s">
        <v>3603</v>
      </c>
    </row>
    <row r="1168" spans="1:5" x14ac:dyDescent="0.25">
      <c r="A1168" t="s">
        <v>3556</v>
      </c>
      <c r="B1168" t="s">
        <v>3601</v>
      </c>
      <c r="C1168" t="s">
        <v>1784</v>
      </c>
      <c r="D1168" t="s">
        <v>3606</v>
      </c>
      <c r="E1168" t="s">
        <v>3609</v>
      </c>
    </row>
    <row r="1169" spans="1:5" x14ac:dyDescent="0.25">
      <c r="A1169" t="s">
        <v>3556</v>
      </c>
      <c r="B1169" t="s">
        <v>3601</v>
      </c>
      <c r="C1169" t="s">
        <v>2798</v>
      </c>
      <c r="D1169" t="s">
        <v>3603</v>
      </c>
      <c r="E1169" t="s">
        <v>3603</v>
      </c>
    </row>
    <row r="1170" spans="1:5" x14ac:dyDescent="0.25">
      <c r="A1170" t="s">
        <v>3556</v>
      </c>
      <c r="B1170" t="s">
        <v>3601</v>
      </c>
      <c r="C1170" t="s">
        <v>2669</v>
      </c>
      <c r="D1170" t="s">
        <v>3607</v>
      </c>
      <c r="E1170" t="s">
        <v>3608</v>
      </c>
    </row>
    <row r="1171" spans="1:5" x14ac:dyDescent="0.25">
      <c r="A1171" t="s">
        <v>3556</v>
      </c>
      <c r="B1171" t="s">
        <v>3601</v>
      </c>
      <c r="C1171" t="s">
        <v>2813</v>
      </c>
      <c r="D1171" t="s">
        <v>3607</v>
      </c>
      <c r="E1171" t="s">
        <v>3608</v>
      </c>
    </row>
    <row r="1172" spans="1:5" x14ac:dyDescent="0.25">
      <c r="A1172" t="s">
        <v>3556</v>
      </c>
      <c r="B1172" t="s">
        <v>3610</v>
      </c>
      <c r="C1172" t="s">
        <v>2918</v>
      </c>
      <c r="D1172" t="s">
        <v>3612</v>
      </c>
      <c r="E1172" t="s">
        <v>3608</v>
      </c>
    </row>
    <row r="1173" spans="1:5" x14ac:dyDescent="0.25">
      <c r="A1173" t="s">
        <v>3556</v>
      </c>
      <c r="B1173" t="s">
        <v>3610</v>
      </c>
      <c r="C1173" t="s">
        <v>2943</v>
      </c>
      <c r="D1173" t="s">
        <v>3607</v>
      </c>
      <c r="E1173" t="s">
        <v>3608</v>
      </c>
    </row>
    <row r="1174" spans="1:5" x14ac:dyDescent="0.25">
      <c r="A1174" t="s">
        <v>3558</v>
      </c>
      <c r="B1174" t="s">
        <v>3601</v>
      </c>
      <c r="C1174" t="s">
        <v>2573</v>
      </c>
      <c r="D1174" t="s">
        <v>3603</v>
      </c>
      <c r="E1174" t="s">
        <v>3605</v>
      </c>
    </row>
    <row r="1175" spans="1:5" x14ac:dyDescent="0.25">
      <c r="A1175" t="s">
        <v>3558</v>
      </c>
      <c r="B1175" t="s">
        <v>3601</v>
      </c>
      <c r="C1175" t="s">
        <v>2597</v>
      </c>
      <c r="D1175" t="s">
        <v>3603</v>
      </c>
      <c r="E1175" t="s">
        <v>3604</v>
      </c>
    </row>
    <row r="1176" spans="1:5" x14ac:dyDescent="0.25">
      <c r="A1176" t="s">
        <v>3558</v>
      </c>
      <c r="B1176" t="s">
        <v>3601</v>
      </c>
      <c r="C1176" t="s">
        <v>2773</v>
      </c>
      <c r="D1176" t="s">
        <v>3606</v>
      </c>
      <c r="E1176" t="s">
        <v>3604</v>
      </c>
    </row>
    <row r="1177" spans="1:5" x14ac:dyDescent="0.25">
      <c r="A1177" t="s">
        <v>3558</v>
      </c>
      <c r="B1177" t="s">
        <v>3601</v>
      </c>
      <c r="C1177" t="s">
        <v>2064</v>
      </c>
      <c r="D1177" t="s">
        <v>3602</v>
      </c>
      <c r="E1177" t="s">
        <v>3603</v>
      </c>
    </row>
    <row r="1178" spans="1:5" x14ac:dyDescent="0.25">
      <c r="A1178" t="s">
        <v>3558</v>
      </c>
      <c r="B1178" t="s">
        <v>3601</v>
      </c>
      <c r="C1178" t="s">
        <v>955</v>
      </c>
      <c r="D1178" t="s">
        <v>3607</v>
      </c>
      <c r="E1178" t="s">
        <v>3608</v>
      </c>
    </row>
    <row r="1179" spans="1:5" x14ac:dyDescent="0.25">
      <c r="A1179" t="s">
        <v>3558</v>
      </c>
      <c r="B1179" t="s">
        <v>3601</v>
      </c>
      <c r="C1179" t="s">
        <v>2479</v>
      </c>
      <c r="D1179" t="s">
        <v>3603</v>
      </c>
      <c r="E1179" t="s">
        <v>3605</v>
      </c>
    </row>
    <row r="1180" spans="1:5" x14ac:dyDescent="0.25">
      <c r="A1180" t="s">
        <v>3558</v>
      </c>
      <c r="B1180" t="s">
        <v>3601</v>
      </c>
      <c r="C1180" t="s">
        <v>2110</v>
      </c>
      <c r="D1180" t="s">
        <v>3606</v>
      </c>
      <c r="E1180" t="s">
        <v>3604</v>
      </c>
    </row>
    <row r="1181" spans="1:5" x14ac:dyDescent="0.25">
      <c r="A1181" t="s">
        <v>3558</v>
      </c>
      <c r="B1181" t="s">
        <v>3601</v>
      </c>
      <c r="C1181" t="s">
        <v>2409</v>
      </c>
      <c r="D1181" t="s">
        <v>3603</v>
      </c>
      <c r="E1181" t="s">
        <v>3603</v>
      </c>
    </row>
    <row r="1182" spans="1:5" x14ac:dyDescent="0.25">
      <c r="A1182" t="s">
        <v>3558</v>
      </c>
      <c r="B1182" t="s">
        <v>3601</v>
      </c>
      <c r="C1182" t="s">
        <v>2469</v>
      </c>
      <c r="D1182" t="s">
        <v>3603</v>
      </c>
      <c r="E1182" t="s">
        <v>3609</v>
      </c>
    </row>
    <row r="1183" spans="1:5" x14ac:dyDescent="0.25">
      <c r="A1183" t="s">
        <v>3558</v>
      </c>
      <c r="B1183" t="s">
        <v>3601</v>
      </c>
      <c r="C1183" t="s">
        <v>1468</v>
      </c>
      <c r="D1183" t="s">
        <v>3606</v>
      </c>
      <c r="E1183" t="s">
        <v>3605</v>
      </c>
    </row>
    <row r="1184" spans="1:5" x14ac:dyDescent="0.25">
      <c r="A1184" t="s">
        <v>3558</v>
      </c>
      <c r="B1184" t="s">
        <v>3601</v>
      </c>
      <c r="C1184" t="s">
        <v>979</v>
      </c>
      <c r="D1184" t="s">
        <v>3602</v>
      </c>
      <c r="E1184" t="s">
        <v>3605</v>
      </c>
    </row>
    <row r="1185" spans="1:5" x14ac:dyDescent="0.25">
      <c r="A1185" t="s">
        <v>3558</v>
      </c>
      <c r="B1185" t="s">
        <v>3601</v>
      </c>
      <c r="C1185" t="s">
        <v>490</v>
      </c>
      <c r="D1185" t="s">
        <v>3606</v>
      </c>
      <c r="E1185" t="s">
        <v>3609</v>
      </c>
    </row>
    <row r="1186" spans="1:5" x14ac:dyDescent="0.25">
      <c r="A1186" t="s">
        <v>3558</v>
      </c>
      <c r="B1186" t="s">
        <v>3601</v>
      </c>
      <c r="C1186" t="s">
        <v>2335</v>
      </c>
      <c r="D1186" t="s">
        <v>3602</v>
      </c>
      <c r="E1186" t="s">
        <v>3603</v>
      </c>
    </row>
    <row r="1187" spans="1:5" x14ac:dyDescent="0.25">
      <c r="A1187" t="s">
        <v>3558</v>
      </c>
      <c r="B1187" t="s">
        <v>3601</v>
      </c>
      <c r="C1187" t="s">
        <v>1440</v>
      </c>
      <c r="D1187" t="s">
        <v>3607</v>
      </c>
      <c r="E1187" t="s">
        <v>3608</v>
      </c>
    </row>
    <row r="1188" spans="1:5" x14ac:dyDescent="0.25">
      <c r="A1188" t="s">
        <v>3558</v>
      </c>
      <c r="B1188" t="s">
        <v>3601</v>
      </c>
      <c r="C1188" t="s">
        <v>1012</v>
      </c>
      <c r="D1188" t="s">
        <v>3602</v>
      </c>
      <c r="E1188" t="s">
        <v>3609</v>
      </c>
    </row>
    <row r="1189" spans="1:5" x14ac:dyDescent="0.25">
      <c r="A1189" t="s">
        <v>3558</v>
      </c>
      <c r="B1189" t="s">
        <v>3601</v>
      </c>
      <c r="C1189" t="s">
        <v>1388</v>
      </c>
      <c r="D1189" t="s">
        <v>3607</v>
      </c>
      <c r="E1189" t="s">
        <v>3608</v>
      </c>
    </row>
    <row r="1190" spans="1:5" x14ac:dyDescent="0.25">
      <c r="A1190" t="s">
        <v>3558</v>
      </c>
      <c r="B1190" t="s">
        <v>3601</v>
      </c>
      <c r="C1190" t="s">
        <v>2778</v>
      </c>
      <c r="D1190" t="s">
        <v>3606</v>
      </c>
      <c r="E1190" t="s">
        <v>3603</v>
      </c>
    </row>
    <row r="1191" spans="1:5" x14ac:dyDescent="0.25">
      <c r="A1191" t="s">
        <v>3558</v>
      </c>
      <c r="B1191" t="s">
        <v>3601</v>
      </c>
      <c r="C1191" t="s">
        <v>2153</v>
      </c>
      <c r="D1191" t="s">
        <v>3603</v>
      </c>
      <c r="E1191" t="s">
        <v>3604</v>
      </c>
    </row>
    <row r="1192" spans="1:5" x14ac:dyDescent="0.25">
      <c r="A1192" t="s">
        <v>3558</v>
      </c>
      <c r="B1192" t="s">
        <v>3601</v>
      </c>
      <c r="C1192" t="s">
        <v>456</v>
      </c>
      <c r="D1192" t="s">
        <v>3607</v>
      </c>
      <c r="E1192" t="s">
        <v>3608</v>
      </c>
    </row>
    <row r="1193" spans="1:5" x14ac:dyDescent="0.25">
      <c r="A1193" t="s">
        <v>3558</v>
      </c>
      <c r="B1193" t="s">
        <v>3601</v>
      </c>
      <c r="C1193" t="s">
        <v>2277</v>
      </c>
      <c r="D1193" t="s">
        <v>3602</v>
      </c>
      <c r="E1193" t="s">
        <v>3605</v>
      </c>
    </row>
    <row r="1194" spans="1:5" x14ac:dyDescent="0.25">
      <c r="A1194" t="s">
        <v>3558</v>
      </c>
      <c r="B1194" t="s">
        <v>3601</v>
      </c>
      <c r="C1194" t="s">
        <v>2724</v>
      </c>
      <c r="D1194" t="s">
        <v>3603</v>
      </c>
      <c r="E1194" t="s">
        <v>3605</v>
      </c>
    </row>
    <row r="1195" spans="1:5" x14ac:dyDescent="0.25">
      <c r="A1195" t="s">
        <v>3558</v>
      </c>
      <c r="B1195" t="s">
        <v>3601</v>
      </c>
      <c r="C1195" t="s">
        <v>1805</v>
      </c>
      <c r="D1195" t="s">
        <v>3603</v>
      </c>
      <c r="E1195" t="s">
        <v>3609</v>
      </c>
    </row>
    <row r="1196" spans="1:5" x14ac:dyDescent="0.25">
      <c r="A1196" t="s">
        <v>3558</v>
      </c>
      <c r="B1196" t="s">
        <v>3601</v>
      </c>
      <c r="C1196" t="s">
        <v>2613</v>
      </c>
      <c r="D1196" t="s">
        <v>3603</v>
      </c>
      <c r="E1196" t="s">
        <v>3604</v>
      </c>
    </row>
    <row r="1197" spans="1:5" x14ac:dyDescent="0.25">
      <c r="A1197" t="s">
        <v>3558</v>
      </c>
      <c r="B1197" t="s">
        <v>3601</v>
      </c>
      <c r="C1197" t="s">
        <v>1715</v>
      </c>
      <c r="D1197" t="s">
        <v>3603</v>
      </c>
      <c r="E1197" t="s">
        <v>3609</v>
      </c>
    </row>
    <row r="1198" spans="1:5" x14ac:dyDescent="0.25">
      <c r="A1198" t="s">
        <v>3558</v>
      </c>
      <c r="B1198" t="s">
        <v>3601</v>
      </c>
      <c r="C1198" t="s">
        <v>2330</v>
      </c>
      <c r="D1198" t="s">
        <v>3602</v>
      </c>
      <c r="E1198" t="s">
        <v>3609</v>
      </c>
    </row>
    <row r="1199" spans="1:5" x14ac:dyDescent="0.25">
      <c r="A1199" t="s">
        <v>3558</v>
      </c>
      <c r="B1199" t="s">
        <v>3601</v>
      </c>
      <c r="C1199" t="s">
        <v>1276</v>
      </c>
      <c r="D1199" t="s">
        <v>3606</v>
      </c>
      <c r="E1199" t="s">
        <v>3604</v>
      </c>
    </row>
    <row r="1200" spans="1:5" x14ac:dyDescent="0.25">
      <c r="A1200" t="s">
        <v>3558</v>
      </c>
      <c r="B1200" t="s">
        <v>3601</v>
      </c>
      <c r="C1200" t="s">
        <v>1077</v>
      </c>
      <c r="D1200" t="s">
        <v>3607</v>
      </c>
      <c r="E1200" t="s">
        <v>3608</v>
      </c>
    </row>
    <row r="1201" spans="1:5" x14ac:dyDescent="0.25">
      <c r="A1201" t="s">
        <v>3558</v>
      </c>
      <c r="B1201" t="s">
        <v>3610</v>
      </c>
      <c r="C1201" t="s">
        <v>2907</v>
      </c>
      <c r="D1201" t="s">
        <v>3612</v>
      </c>
      <c r="E1201" t="s">
        <v>3608</v>
      </c>
    </row>
    <row r="1202" spans="1:5" x14ac:dyDescent="0.25">
      <c r="A1202" t="s">
        <v>3558</v>
      </c>
      <c r="B1202" t="s">
        <v>3610</v>
      </c>
      <c r="C1202" t="s">
        <v>2930</v>
      </c>
      <c r="D1202" t="s">
        <v>3606</v>
      </c>
      <c r="E1202" t="s">
        <v>3608</v>
      </c>
    </row>
    <row r="1203" spans="1:5" x14ac:dyDescent="0.25">
      <c r="A1203" t="s">
        <v>3558</v>
      </c>
      <c r="B1203" t="s">
        <v>3610</v>
      </c>
      <c r="C1203" t="s">
        <v>2970</v>
      </c>
      <c r="D1203" t="s">
        <v>3607</v>
      </c>
      <c r="E1203" t="s">
        <v>3608</v>
      </c>
    </row>
    <row r="1204" spans="1:5" x14ac:dyDescent="0.25">
      <c r="A1204" t="s">
        <v>3560</v>
      </c>
      <c r="B1204" t="s">
        <v>3601</v>
      </c>
      <c r="C1204" t="s">
        <v>1327</v>
      </c>
      <c r="D1204" t="s">
        <v>3607</v>
      </c>
      <c r="E1204" t="s">
        <v>3608</v>
      </c>
    </row>
    <row r="1205" spans="1:5" x14ac:dyDescent="0.25">
      <c r="A1205" t="s">
        <v>3560</v>
      </c>
      <c r="B1205" t="s">
        <v>3601</v>
      </c>
      <c r="C1205" t="s">
        <v>2454</v>
      </c>
      <c r="D1205" t="s">
        <v>3602</v>
      </c>
      <c r="E1205" t="s">
        <v>3609</v>
      </c>
    </row>
    <row r="1206" spans="1:5" x14ac:dyDescent="0.25">
      <c r="A1206" t="s">
        <v>3560</v>
      </c>
      <c r="B1206" t="s">
        <v>3601</v>
      </c>
      <c r="C1206" t="s">
        <v>740</v>
      </c>
      <c r="D1206" t="s">
        <v>3602</v>
      </c>
      <c r="E1206" t="s">
        <v>3603</v>
      </c>
    </row>
    <row r="1207" spans="1:5" x14ac:dyDescent="0.25">
      <c r="A1207" t="s">
        <v>3560</v>
      </c>
      <c r="B1207" t="s">
        <v>3601</v>
      </c>
      <c r="C1207" t="s">
        <v>563</v>
      </c>
      <c r="D1207" t="s">
        <v>3603</v>
      </c>
      <c r="E1207" t="s">
        <v>3605</v>
      </c>
    </row>
    <row r="1208" spans="1:5" x14ac:dyDescent="0.25">
      <c r="A1208" t="s">
        <v>3560</v>
      </c>
      <c r="B1208" t="s">
        <v>3601</v>
      </c>
      <c r="C1208" t="s">
        <v>1917</v>
      </c>
      <c r="D1208" t="s">
        <v>3606</v>
      </c>
      <c r="E1208" t="s">
        <v>3604</v>
      </c>
    </row>
    <row r="1209" spans="1:5" x14ac:dyDescent="0.25">
      <c r="A1209" t="s">
        <v>3560</v>
      </c>
      <c r="B1209" t="s">
        <v>3601</v>
      </c>
      <c r="C1209" t="s">
        <v>54</v>
      </c>
      <c r="D1209" t="s">
        <v>3606</v>
      </c>
      <c r="E1209" t="s">
        <v>3603</v>
      </c>
    </row>
    <row r="1210" spans="1:5" x14ac:dyDescent="0.25">
      <c r="A1210" t="s">
        <v>3560</v>
      </c>
      <c r="B1210" t="s">
        <v>3601</v>
      </c>
      <c r="C1210" t="s">
        <v>1871</v>
      </c>
      <c r="D1210" t="s">
        <v>3606</v>
      </c>
      <c r="E1210" t="s">
        <v>3604</v>
      </c>
    </row>
    <row r="1211" spans="1:5" x14ac:dyDescent="0.25">
      <c r="A1211" t="s">
        <v>3560</v>
      </c>
      <c r="B1211" t="s">
        <v>3601</v>
      </c>
      <c r="C1211" t="s">
        <v>392</v>
      </c>
      <c r="D1211" t="s">
        <v>3606</v>
      </c>
      <c r="E1211" t="s">
        <v>3609</v>
      </c>
    </row>
    <row r="1212" spans="1:5" x14ac:dyDescent="0.25">
      <c r="A1212" t="s">
        <v>3560</v>
      </c>
      <c r="B1212" t="s">
        <v>3601</v>
      </c>
      <c r="C1212" t="s">
        <v>44</v>
      </c>
      <c r="D1212" t="s">
        <v>3607</v>
      </c>
      <c r="E1212" t="s">
        <v>3608</v>
      </c>
    </row>
    <row r="1213" spans="1:5" x14ac:dyDescent="0.25">
      <c r="A1213" t="s">
        <v>3560</v>
      </c>
      <c r="B1213" t="s">
        <v>3601</v>
      </c>
      <c r="C1213" t="s">
        <v>2773</v>
      </c>
      <c r="D1213" t="s">
        <v>3607</v>
      </c>
      <c r="E1213" t="s">
        <v>3608</v>
      </c>
    </row>
    <row r="1214" spans="1:5" x14ac:dyDescent="0.25">
      <c r="A1214" t="s">
        <v>3560</v>
      </c>
      <c r="B1214" t="s">
        <v>3601</v>
      </c>
      <c r="C1214" t="s">
        <v>1586</v>
      </c>
      <c r="D1214" t="s">
        <v>3603</v>
      </c>
      <c r="E1214" t="s">
        <v>3605</v>
      </c>
    </row>
    <row r="1215" spans="1:5" x14ac:dyDescent="0.25">
      <c r="A1215" t="s">
        <v>3560</v>
      </c>
      <c r="B1215" t="s">
        <v>3601</v>
      </c>
      <c r="C1215" t="s">
        <v>2419</v>
      </c>
      <c r="D1215" t="s">
        <v>3606</v>
      </c>
      <c r="E1215" t="s">
        <v>3604</v>
      </c>
    </row>
    <row r="1216" spans="1:5" x14ac:dyDescent="0.25">
      <c r="A1216" t="s">
        <v>3560</v>
      </c>
      <c r="B1216" t="s">
        <v>3601</v>
      </c>
      <c r="C1216" t="s">
        <v>2325</v>
      </c>
      <c r="D1216" t="s">
        <v>3607</v>
      </c>
      <c r="E1216" t="s">
        <v>3608</v>
      </c>
    </row>
    <row r="1217" spans="1:5" x14ac:dyDescent="0.25">
      <c r="A1217" t="s">
        <v>3560</v>
      </c>
      <c r="B1217" t="s">
        <v>3601</v>
      </c>
      <c r="C1217" t="s">
        <v>2659</v>
      </c>
      <c r="D1217" t="s">
        <v>3607</v>
      </c>
      <c r="E1217" t="s">
        <v>3608</v>
      </c>
    </row>
    <row r="1218" spans="1:5" x14ac:dyDescent="0.25">
      <c r="A1218" t="s">
        <v>3560</v>
      </c>
      <c r="B1218" t="s">
        <v>3601</v>
      </c>
      <c r="C1218" t="s">
        <v>1736</v>
      </c>
      <c r="D1218" t="s">
        <v>3603</v>
      </c>
      <c r="E1218" t="s">
        <v>3604</v>
      </c>
    </row>
    <row r="1219" spans="1:5" x14ac:dyDescent="0.25">
      <c r="A1219" t="s">
        <v>3560</v>
      </c>
      <c r="B1219" t="s">
        <v>3601</v>
      </c>
      <c r="C1219" t="s">
        <v>2371</v>
      </c>
      <c r="D1219" t="s">
        <v>3603</v>
      </c>
      <c r="E1219" t="s">
        <v>3603</v>
      </c>
    </row>
    <row r="1220" spans="1:5" x14ac:dyDescent="0.25">
      <c r="A1220" t="s">
        <v>3560</v>
      </c>
      <c r="B1220" t="s">
        <v>3601</v>
      </c>
      <c r="C1220" t="s">
        <v>2583</v>
      </c>
      <c r="D1220" t="s">
        <v>3606</v>
      </c>
      <c r="E1220" t="s">
        <v>3604</v>
      </c>
    </row>
    <row r="1221" spans="1:5" x14ac:dyDescent="0.25">
      <c r="A1221" t="s">
        <v>3560</v>
      </c>
      <c r="B1221" t="s">
        <v>3601</v>
      </c>
      <c r="C1221" t="s">
        <v>1740</v>
      </c>
      <c r="D1221" t="s">
        <v>3607</v>
      </c>
      <c r="E1221" t="s">
        <v>3608</v>
      </c>
    </row>
    <row r="1222" spans="1:5" x14ac:dyDescent="0.25">
      <c r="A1222" t="s">
        <v>3560</v>
      </c>
      <c r="B1222" t="s">
        <v>3601</v>
      </c>
      <c r="C1222" t="s">
        <v>1227</v>
      </c>
      <c r="D1222" t="s">
        <v>3606</v>
      </c>
      <c r="E1222" t="s">
        <v>3609</v>
      </c>
    </row>
    <row r="1223" spans="1:5" x14ac:dyDescent="0.25">
      <c r="A1223" t="s">
        <v>3560</v>
      </c>
      <c r="B1223" t="s">
        <v>3601</v>
      </c>
      <c r="C1223" t="s">
        <v>2022</v>
      </c>
      <c r="D1223" t="s">
        <v>3606</v>
      </c>
      <c r="E1223" t="s">
        <v>3609</v>
      </c>
    </row>
    <row r="1224" spans="1:5" x14ac:dyDescent="0.25">
      <c r="A1224" t="s">
        <v>3560</v>
      </c>
      <c r="B1224" t="s">
        <v>3601</v>
      </c>
      <c r="C1224" t="s">
        <v>1990</v>
      </c>
      <c r="D1224" t="s">
        <v>3602</v>
      </c>
      <c r="E1224" t="s">
        <v>3604</v>
      </c>
    </row>
    <row r="1225" spans="1:5" x14ac:dyDescent="0.25">
      <c r="A1225" t="s">
        <v>3560</v>
      </c>
      <c r="B1225" t="s">
        <v>3601</v>
      </c>
      <c r="C1225" t="s">
        <v>436</v>
      </c>
      <c r="D1225" t="s">
        <v>3603</v>
      </c>
      <c r="E1225" t="s">
        <v>3605</v>
      </c>
    </row>
    <row r="1226" spans="1:5" x14ac:dyDescent="0.25">
      <c r="A1226" t="s">
        <v>3560</v>
      </c>
      <c r="B1226" t="s">
        <v>3601</v>
      </c>
      <c r="C1226" t="s">
        <v>1591</v>
      </c>
      <c r="D1226" t="s">
        <v>3606</v>
      </c>
      <c r="E1226" t="s">
        <v>3609</v>
      </c>
    </row>
    <row r="1227" spans="1:5" x14ac:dyDescent="0.25">
      <c r="A1227" t="s">
        <v>3560</v>
      </c>
      <c r="B1227" t="s">
        <v>3601</v>
      </c>
      <c r="C1227" t="s">
        <v>2573</v>
      </c>
      <c r="D1227" t="s">
        <v>3607</v>
      </c>
      <c r="E1227" t="s">
        <v>3608</v>
      </c>
    </row>
    <row r="1228" spans="1:5" x14ac:dyDescent="0.25">
      <c r="A1228" t="s">
        <v>3560</v>
      </c>
      <c r="B1228" t="s">
        <v>3601</v>
      </c>
      <c r="C1228" t="s">
        <v>1752</v>
      </c>
      <c r="D1228" t="s">
        <v>3602</v>
      </c>
      <c r="E1228" t="s">
        <v>3603</v>
      </c>
    </row>
    <row r="1229" spans="1:5" x14ac:dyDescent="0.25">
      <c r="A1229" t="s">
        <v>3560</v>
      </c>
      <c r="B1229" t="s">
        <v>3601</v>
      </c>
      <c r="C1229" t="s">
        <v>1183</v>
      </c>
      <c r="D1229" t="s">
        <v>3607</v>
      </c>
      <c r="E1229" t="s">
        <v>3608</v>
      </c>
    </row>
    <row r="1230" spans="1:5" x14ac:dyDescent="0.25">
      <c r="A1230" t="s">
        <v>3560</v>
      </c>
      <c r="B1230" t="s">
        <v>3601</v>
      </c>
      <c r="C1230" t="s">
        <v>32</v>
      </c>
      <c r="D1230" t="s">
        <v>3607</v>
      </c>
      <c r="E1230" t="s">
        <v>3608</v>
      </c>
    </row>
    <row r="1231" spans="1:5" x14ac:dyDescent="0.25">
      <c r="A1231" t="s">
        <v>3560</v>
      </c>
      <c r="B1231" t="s">
        <v>3601</v>
      </c>
      <c r="C1231" t="s">
        <v>2748</v>
      </c>
      <c r="D1231" t="s">
        <v>3603</v>
      </c>
      <c r="E1231" t="s">
        <v>3604</v>
      </c>
    </row>
    <row r="1232" spans="1:5" x14ac:dyDescent="0.25">
      <c r="A1232" t="s">
        <v>3560</v>
      </c>
      <c r="B1232" t="s">
        <v>3610</v>
      </c>
      <c r="C1232" t="s">
        <v>2913</v>
      </c>
      <c r="D1232" t="s">
        <v>3611</v>
      </c>
      <c r="E1232" t="s">
        <v>3608</v>
      </c>
    </row>
    <row r="1233" spans="1:5" x14ac:dyDescent="0.25">
      <c r="A1233" t="s">
        <v>3560</v>
      </c>
      <c r="B1233" t="s">
        <v>3610</v>
      </c>
      <c r="C1233" t="s">
        <v>2995</v>
      </c>
      <c r="D1233" t="s">
        <v>3612</v>
      </c>
      <c r="E1233" t="s">
        <v>3608</v>
      </c>
    </row>
    <row r="1234" spans="1:5" x14ac:dyDescent="0.25">
      <c r="A1234" t="s">
        <v>3560</v>
      </c>
      <c r="B1234" t="s">
        <v>3610</v>
      </c>
      <c r="C1234" t="s">
        <v>2930</v>
      </c>
      <c r="D1234" t="s">
        <v>3607</v>
      </c>
      <c r="E1234" t="s">
        <v>3608</v>
      </c>
    </row>
    <row r="1235" spans="1:5" x14ac:dyDescent="0.25">
      <c r="A1235" t="s">
        <v>3561</v>
      </c>
      <c r="B1235" t="s">
        <v>3601</v>
      </c>
      <c r="C1235" t="s">
        <v>2788</v>
      </c>
      <c r="D1235" t="s">
        <v>3606</v>
      </c>
      <c r="E1235" t="s">
        <v>3604</v>
      </c>
    </row>
    <row r="1236" spans="1:5" x14ac:dyDescent="0.25">
      <c r="A1236" t="s">
        <v>3561</v>
      </c>
      <c r="B1236" t="s">
        <v>3601</v>
      </c>
      <c r="C1236" t="s">
        <v>751</v>
      </c>
      <c r="D1236" t="s">
        <v>3602</v>
      </c>
      <c r="E1236" t="s">
        <v>3603</v>
      </c>
    </row>
    <row r="1237" spans="1:5" x14ac:dyDescent="0.25">
      <c r="A1237" t="s">
        <v>3561</v>
      </c>
      <c r="B1237" t="s">
        <v>3601</v>
      </c>
      <c r="C1237" t="s">
        <v>1216</v>
      </c>
      <c r="D1237" t="s">
        <v>3606</v>
      </c>
      <c r="E1237" t="s">
        <v>3609</v>
      </c>
    </row>
    <row r="1238" spans="1:5" x14ac:dyDescent="0.25">
      <c r="A1238" t="s">
        <v>3561</v>
      </c>
      <c r="B1238" t="s">
        <v>3601</v>
      </c>
      <c r="C1238" t="s">
        <v>258</v>
      </c>
      <c r="D1238" t="s">
        <v>3602</v>
      </c>
      <c r="E1238" t="s">
        <v>3604</v>
      </c>
    </row>
    <row r="1239" spans="1:5" x14ac:dyDescent="0.25">
      <c r="A1239" t="s">
        <v>3561</v>
      </c>
      <c r="B1239" t="s">
        <v>3601</v>
      </c>
      <c r="C1239" t="s">
        <v>2423</v>
      </c>
      <c r="D1239" t="s">
        <v>3603</v>
      </c>
      <c r="E1239" t="s">
        <v>3603</v>
      </c>
    </row>
    <row r="1240" spans="1:5" x14ac:dyDescent="0.25">
      <c r="A1240" t="s">
        <v>3561</v>
      </c>
      <c r="B1240" t="s">
        <v>3601</v>
      </c>
      <c r="C1240" t="s">
        <v>1630</v>
      </c>
      <c r="D1240" t="s">
        <v>3607</v>
      </c>
      <c r="E1240" t="s">
        <v>3608</v>
      </c>
    </row>
    <row r="1241" spans="1:5" x14ac:dyDescent="0.25">
      <c r="A1241" t="s">
        <v>3561</v>
      </c>
      <c r="B1241" t="s">
        <v>3601</v>
      </c>
      <c r="C1241" t="s">
        <v>1974</v>
      </c>
      <c r="D1241" t="s">
        <v>3603</v>
      </c>
      <c r="E1241" t="s">
        <v>3603</v>
      </c>
    </row>
    <row r="1242" spans="1:5" x14ac:dyDescent="0.25">
      <c r="A1242" t="s">
        <v>3561</v>
      </c>
      <c r="B1242" t="s">
        <v>3601</v>
      </c>
      <c r="C1242" t="s">
        <v>2783</v>
      </c>
      <c r="D1242" t="s">
        <v>3607</v>
      </c>
      <c r="E1242" t="s">
        <v>3608</v>
      </c>
    </row>
    <row r="1243" spans="1:5" x14ac:dyDescent="0.25">
      <c r="A1243" t="s">
        <v>3561</v>
      </c>
      <c r="B1243" t="s">
        <v>3601</v>
      </c>
      <c r="C1243" t="s">
        <v>2064</v>
      </c>
      <c r="D1243" t="s">
        <v>3603</v>
      </c>
      <c r="E1243" t="s">
        <v>3604</v>
      </c>
    </row>
    <row r="1244" spans="1:5" x14ac:dyDescent="0.25">
      <c r="A1244" t="s">
        <v>3561</v>
      </c>
      <c r="B1244" t="s">
        <v>3601</v>
      </c>
      <c r="C1244" t="s">
        <v>1769</v>
      </c>
      <c r="D1244" t="s">
        <v>3607</v>
      </c>
      <c r="E1244" t="s">
        <v>3608</v>
      </c>
    </row>
    <row r="1245" spans="1:5" x14ac:dyDescent="0.25">
      <c r="A1245" t="s">
        <v>3561</v>
      </c>
      <c r="B1245" t="s">
        <v>3601</v>
      </c>
      <c r="C1245" t="s">
        <v>1508</v>
      </c>
      <c r="D1245" t="s">
        <v>3603</v>
      </c>
      <c r="E1245" t="s">
        <v>3603</v>
      </c>
    </row>
    <row r="1246" spans="1:5" x14ac:dyDescent="0.25">
      <c r="A1246" t="s">
        <v>3561</v>
      </c>
      <c r="B1246" t="s">
        <v>3601</v>
      </c>
      <c r="C1246" t="s">
        <v>877</v>
      </c>
      <c r="D1246" t="s">
        <v>3603</v>
      </c>
      <c r="E1246" t="s">
        <v>3609</v>
      </c>
    </row>
    <row r="1247" spans="1:5" x14ac:dyDescent="0.25">
      <c r="A1247" t="s">
        <v>3561</v>
      </c>
      <c r="B1247" t="s">
        <v>3601</v>
      </c>
      <c r="C1247" t="s">
        <v>44</v>
      </c>
      <c r="D1247" t="s">
        <v>3602</v>
      </c>
      <c r="E1247" t="s">
        <v>3609</v>
      </c>
    </row>
    <row r="1248" spans="1:5" x14ac:dyDescent="0.25">
      <c r="A1248" t="s">
        <v>3561</v>
      </c>
      <c r="B1248" t="s">
        <v>3601</v>
      </c>
      <c r="C1248" t="s">
        <v>2376</v>
      </c>
      <c r="D1248" t="s">
        <v>3607</v>
      </c>
      <c r="E1248" t="s">
        <v>3608</v>
      </c>
    </row>
    <row r="1249" spans="1:5" x14ac:dyDescent="0.25">
      <c r="A1249" t="s">
        <v>3561</v>
      </c>
      <c r="B1249" t="s">
        <v>3601</v>
      </c>
      <c r="C1249" t="s">
        <v>490</v>
      </c>
      <c r="D1249" t="s">
        <v>3607</v>
      </c>
      <c r="E1249" t="s">
        <v>3608</v>
      </c>
    </row>
    <row r="1250" spans="1:5" x14ac:dyDescent="0.25">
      <c r="A1250" t="s">
        <v>3561</v>
      </c>
      <c r="B1250" t="s">
        <v>3601</v>
      </c>
      <c r="C1250" t="s">
        <v>614</v>
      </c>
      <c r="D1250" t="s">
        <v>3603</v>
      </c>
      <c r="E1250" t="s">
        <v>3605</v>
      </c>
    </row>
    <row r="1251" spans="1:5" x14ac:dyDescent="0.25">
      <c r="A1251" t="s">
        <v>3561</v>
      </c>
      <c r="B1251" t="s">
        <v>3601</v>
      </c>
      <c r="C1251" t="s">
        <v>846</v>
      </c>
      <c r="D1251" t="s">
        <v>3603</v>
      </c>
      <c r="E1251" t="s">
        <v>3605</v>
      </c>
    </row>
    <row r="1252" spans="1:5" x14ac:dyDescent="0.25">
      <c r="A1252" t="s">
        <v>3561</v>
      </c>
      <c r="B1252" t="s">
        <v>3601</v>
      </c>
      <c r="C1252" t="s">
        <v>2243</v>
      </c>
      <c r="D1252" t="s">
        <v>3603</v>
      </c>
      <c r="E1252" t="s">
        <v>3603</v>
      </c>
    </row>
    <row r="1253" spans="1:5" x14ac:dyDescent="0.25">
      <c r="A1253" t="s">
        <v>3561</v>
      </c>
      <c r="B1253" t="s">
        <v>3601</v>
      </c>
      <c r="C1253" t="s">
        <v>1570</v>
      </c>
      <c r="D1253" t="s">
        <v>3607</v>
      </c>
      <c r="E1253" t="s">
        <v>3608</v>
      </c>
    </row>
    <row r="1254" spans="1:5" x14ac:dyDescent="0.25">
      <c r="A1254" t="s">
        <v>3561</v>
      </c>
      <c r="B1254" t="s">
        <v>3601</v>
      </c>
      <c r="C1254" t="s">
        <v>385</v>
      </c>
      <c r="D1254" t="s">
        <v>3602</v>
      </c>
      <c r="E1254" t="s">
        <v>3604</v>
      </c>
    </row>
    <row r="1255" spans="1:5" x14ac:dyDescent="0.25">
      <c r="A1255" t="s">
        <v>3561</v>
      </c>
      <c r="B1255" t="s">
        <v>3601</v>
      </c>
      <c r="C1255" t="s">
        <v>542</v>
      </c>
      <c r="D1255" t="s">
        <v>3602</v>
      </c>
      <c r="E1255" t="s">
        <v>3603</v>
      </c>
    </row>
    <row r="1256" spans="1:5" x14ac:dyDescent="0.25">
      <c r="A1256" t="s">
        <v>3561</v>
      </c>
      <c r="B1256" t="s">
        <v>3601</v>
      </c>
      <c r="C1256" t="s">
        <v>2633</v>
      </c>
      <c r="D1256" t="s">
        <v>3606</v>
      </c>
      <c r="E1256" t="s">
        <v>3609</v>
      </c>
    </row>
    <row r="1257" spans="1:5" x14ac:dyDescent="0.25">
      <c r="A1257" t="s">
        <v>3561</v>
      </c>
      <c r="B1257" t="s">
        <v>3601</v>
      </c>
      <c r="C1257" t="s">
        <v>1779</v>
      </c>
      <c r="D1257" t="s">
        <v>3603</v>
      </c>
      <c r="E1257" t="s">
        <v>3605</v>
      </c>
    </row>
    <row r="1258" spans="1:5" x14ac:dyDescent="0.25">
      <c r="A1258" t="s">
        <v>3561</v>
      </c>
      <c r="B1258" t="s">
        <v>3601</v>
      </c>
      <c r="C1258" t="s">
        <v>1601</v>
      </c>
      <c r="D1258" t="s">
        <v>3602</v>
      </c>
      <c r="E1258" t="s">
        <v>3603</v>
      </c>
    </row>
    <row r="1259" spans="1:5" x14ac:dyDescent="0.25">
      <c r="A1259" t="s">
        <v>3561</v>
      </c>
      <c r="B1259" t="s">
        <v>3601</v>
      </c>
      <c r="C1259" t="s">
        <v>1892</v>
      </c>
      <c r="D1259" t="s">
        <v>3607</v>
      </c>
      <c r="E1259" t="s">
        <v>3608</v>
      </c>
    </row>
    <row r="1260" spans="1:5" x14ac:dyDescent="0.25">
      <c r="A1260" t="s">
        <v>3561</v>
      </c>
      <c r="B1260" t="s">
        <v>3601</v>
      </c>
      <c r="C1260" t="s">
        <v>179</v>
      </c>
      <c r="D1260" t="s">
        <v>3602</v>
      </c>
      <c r="E1260" t="s">
        <v>3609</v>
      </c>
    </row>
    <row r="1261" spans="1:5" x14ac:dyDescent="0.25">
      <c r="A1261" t="s">
        <v>3561</v>
      </c>
      <c r="B1261" t="s">
        <v>3601</v>
      </c>
      <c r="C1261" t="s">
        <v>2474</v>
      </c>
      <c r="D1261" t="s">
        <v>3603</v>
      </c>
      <c r="E1261" t="s">
        <v>3603</v>
      </c>
    </row>
    <row r="1262" spans="1:5" x14ac:dyDescent="0.25">
      <c r="A1262" t="s">
        <v>3561</v>
      </c>
      <c r="B1262" t="s">
        <v>3601</v>
      </c>
      <c r="C1262" t="s">
        <v>1947</v>
      </c>
      <c r="D1262" t="s">
        <v>3607</v>
      </c>
      <c r="E1262" t="s">
        <v>3608</v>
      </c>
    </row>
    <row r="1263" spans="1:5" x14ac:dyDescent="0.25">
      <c r="A1263" t="s">
        <v>3561</v>
      </c>
      <c r="B1263" t="s">
        <v>3601</v>
      </c>
      <c r="C1263" t="s">
        <v>65</v>
      </c>
      <c r="D1263" t="s">
        <v>3607</v>
      </c>
      <c r="E1263" t="s">
        <v>3608</v>
      </c>
    </row>
    <row r="1264" spans="1:5" x14ac:dyDescent="0.25">
      <c r="A1264" t="s">
        <v>3561</v>
      </c>
      <c r="B1264" t="s">
        <v>3601</v>
      </c>
      <c r="C1264" t="s">
        <v>2315</v>
      </c>
      <c r="D1264" t="s">
        <v>3603</v>
      </c>
      <c r="E1264" t="s">
        <v>3603</v>
      </c>
    </row>
    <row r="1265" spans="1:5" x14ac:dyDescent="0.25">
      <c r="A1265" t="s">
        <v>3561</v>
      </c>
      <c r="B1265" t="s">
        <v>3601</v>
      </c>
      <c r="C1265" t="s">
        <v>143</v>
      </c>
      <c r="D1265" t="s">
        <v>3607</v>
      </c>
      <c r="E1265" t="s">
        <v>3608</v>
      </c>
    </row>
    <row r="1266" spans="1:5" x14ac:dyDescent="0.25">
      <c r="A1266" t="s">
        <v>3561</v>
      </c>
      <c r="B1266" t="s">
        <v>3601</v>
      </c>
      <c r="C1266" t="s">
        <v>2694</v>
      </c>
      <c r="D1266" t="s">
        <v>3606</v>
      </c>
      <c r="E1266" t="s">
        <v>3605</v>
      </c>
    </row>
    <row r="1267" spans="1:5" x14ac:dyDescent="0.25">
      <c r="A1267" t="s">
        <v>3561</v>
      </c>
      <c r="B1267" t="s">
        <v>3601</v>
      </c>
      <c r="C1267" t="s">
        <v>979</v>
      </c>
      <c r="D1267" t="s">
        <v>3603</v>
      </c>
      <c r="E1267" t="s">
        <v>3604</v>
      </c>
    </row>
    <row r="1268" spans="1:5" x14ac:dyDescent="0.25">
      <c r="A1268" t="s">
        <v>3561</v>
      </c>
      <c r="B1268" t="s">
        <v>3601</v>
      </c>
      <c r="C1268" t="s">
        <v>1862</v>
      </c>
      <c r="D1268" t="s">
        <v>3603</v>
      </c>
      <c r="E1268" t="s">
        <v>3605</v>
      </c>
    </row>
    <row r="1269" spans="1:5" x14ac:dyDescent="0.25">
      <c r="A1269" t="s">
        <v>3561</v>
      </c>
      <c r="B1269" t="s">
        <v>3601</v>
      </c>
      <c r="C1269" t="s">
        <v>1454</v>
      </c>
      <c r="D1269" t="s">
        <v>3606</v>
      </c>
      <c r="E1269" t="s">
        <v>3603</v>
      </c>
    </row>
    <row r="1270" spans="1:5" x14ac:dyDescent="0.25">
      <c r="A1270" t="s">
        <v>3561</v>
      </c>
      <c r="B1270" t="s">
        <v>3601</v>
      </c>
      <c r="C1270" t="s">
        <v>809</v>
      </c>
      <c r="D1270" t="s">
        <v>3603</v>
      </c>
      <c r="E1270" t="s">
        <v>3609</v>
      </c>
    </row>
    <row r="1271" spans="1:5" x14ac:dyDescent="0.25">
      <c r="A1271" t="s">
        <v>3561</v>
      </c>
      <c r="B1271" t="s">
        <v>3601</v>
      </c>
      <c r="C1271" t="s">
        <v>2022</v>
      </c>
      <c r="D1271" t="s">
        <v>3603</v>
      </c>
      <c r="E1271" t="s">
        <v>3605</v>
      </c>
    </row>
    <row r="1272" spans="1:5" x14ac:dyDescent="0.25">
      <c r="A1272" t="s">
        <v>3561</v>
      </c>
      <c r="B1272" t="s">
        <v>3601</v>
      </c>
      <c r="C1272" t="s">
        <v>698</v>
      </c>
      <c r="D1272" t="s">
        <v>3602</v>
      </c>
      <c r="E1272" t="s">
        <v>3609</v>
      </c>
    </row>
    <row r="1273" spans="1:5" x14ac:dyDescent="0.25">
      <c r="A1273" t="s">
        <v>3561</v>
      </c>
      <c r="B1273" t="s">
        <v>3601</v>
      </c>
      <c r="C1273" t="s">
        <v>1757</v>
      </c>
      <c r="D1273" t="s">
        <v>3603</v>
      </c>
      <c r="E1273" t="s">
        <v>3603</v>
      </c>
    </row>
    <row r="1274" spans="1:5" x14ac:dyDescent="0.25">
      <c r="A1274" t="s">
        <v>3561</v>
      </c>
      <c r="B1274" t="s">
        <v>3601</v>
      </c>
      <c r="C1274" t="s">
        <v>1041</v>
      </c>
      <c r="D1274" t="s">
        <v>3606</v>
      </c>
      <c r="E1274" t="s">
        <v>3605</v>
      </c>
    </row>
    <row r="1275" spans="1:5" x14ac:dyDescent="0.25">
      <c r="A1275" t="s">
        <v>3561</v>
      </c>
      <c r="B1275" t="s">
        <v>3601</v>
      </c>
      <c r="C1275" t="s">
        <v>2350</v>
      </c>
      <c r="D1275" t="s">
        <v>3606</v>
      </c>
      <c r="E1275" t="s">
        <v>3609</v>
      </c>
    </row>
    <row r="1276" spans="1:5" x14ac:dyDescent="0.25">
      <c r="A1276" t="s">
        <v>3561</v>
      </c>
      <c r="B1276" t="s">
        <v>3601</v>
      </c>
      <c r="C1276" t="s">
        <v>733</v>
      </c>
      <c r="D1276" t="s">
        <v>3603</v>
      </c>
      <c r="E1276" t="s">
        <v>3609</v>
      </c>
    </row>
    <row r="1277" spans="1:5" x14ac:dyDescent="0.25">
      <c r="A1277" t="s">
        <v>3561</v>
      </c>
      <c r="B1277" t="s">
        <v>3601</v>
      </c>
      <c r="C1277" t="s">
        <v>2628</v>
      </c>
      <c r="D1277" t="s">
        <v>3607</v>
      </c>
      <c r="E1277" t="s">
        <v>3608</v>
      </c>
    </row>
    <row r="1278" spans="1:5" x14ac:dyDescent="0.25">
      <c r="A1278" t="s">
        <v>3561</v>
      </c>
      <c r="B1278" t="s">
        <v>3601</v>
      </c>
      <c r="C1278" t="s">
        <v>1646</v>
      </c>
      <c r="D1278" t="s">
        <v>3602</v>
      </c>
      <c r="E1278" t="s">
        <v>3609</v>
      </c>
    </row>
    <row r="1279" spans="1:5" x14ac:dyDescent="0.25">
      <c r="A1279" t="s">
        <v>3561</v>
      </c>
      <c r="B1279" t="s">
        <v>3601</v>
      </c>
      <c r="C1279" t="s">
        <v>766</v>
      </c>
      <c r="D1279" t="s">
        <v>3603</v>
      </c>
      <c r="E1279" t="s">
        <v>3604</v>
      </c>
    </row>
    <row r="1280" spans="1:5" x14ac:dyDescent="0.25">
      <c r="A1280" t="s">
        <v>3561</v>
      </c>
      <c r="B1280" t="s">
        <v>3601</v>
      </c>
      <c r="C1280" t="s">
        <v>2404</v>
      </c>
      <c r="D1280" t="s">
        <v>3606</v>
      </c>
      <c r="E1280" t="s">
        <v>3604</v>
      </c>
    </row>
    <row r="1281" spans="1:5" x14ac:dyDescent="0.25">
      <c r="A1281" t="s">
        <v>3561</v>
      </c>
      <c r="B1281" t="s">
        <v>3601</v>
      </c>
      <c r="C1281" t="s">
        <v>2218</v>
      </c>
      <c r="D1281" t="s">
        <v>3602</v>
      </c>
      <c r="E1281" t="s">
        <v>3609</v>
      </c>
    </row>
    <row r="1282" spans="1:5" x14ac:dyDescent="0.25">
      <c r="A1282" t="s">
        <v>3561</v>
      </c>
      <c r="B1282" t="s">
        <v>3601</v>
      </c>
      <c r="C1282" t="s">
        <v>2233</v>
      </c>
      <c r="D1282" t="s">
        <v>3603</v>
      </c>
      <c r="E1282" t="s">
        <v>3605</v>
      </c>
    </row>
    <row r="1283" spans="1:5" x14ac:dyDescent="0.25">
      <c r="A1283" t="s">
        <v>3561</v>
      </c>
      <c r="B1283" t="s">
        <v>3601</v>
      </c>
      <c r="C1283" t="s">
        <v>1907</v>
      </c>
      <c r="D1283" t="s">
        <v>3603</v>
      </c>
      <c r="E1283" t="s">
        <v>3605</v>
      </c>
    </row>
    <row r="1284" spans="1:5" x14ac:dyDescent="0.25">
      <c r="A1284" t="s">
        <v>3561</v>
      </c>
      <c r="B1284" t="s">
        <v>3601</v>
      </c>
      <c r="C1284" t="s">
        <v>2419</v>
      </c>
      <c r="D1284" t="s">
        <v>3607</v>
      </c>
      <c r="E1284" t="s">
        <v>3608</v>
      </c>
    </row>
    <row r="1285" spans="1:5" x14ac:dyDescent="0.25">
      <c r="A1285" t="s">
        <v>3561</v>
      </c>
      <c r="B1285" t="s">
        <v>3601</v>
      </c>
      <c r="C1285" t="s">
        <v>832</v>
      </c>
      <c r="D1285" t="s">
        <v>3603</v>
      </c>
      <c r="E1285" t="s">
        <v>3609</v>
      </c>
    </row>
    <row r="1286" spans="1:5" x14ac:dyDescent="0.25">
      <c r="A1286" t="s">
        <v>3561</v>
      </c>
      <c r="B1286" t="s">
        <v>3601</v>
      </c>
      <c r="C1286" t="s">
        <v>2833</v>
      </c>
      <c r="D1286" t="s">
        <v>3602</v>
      </c>
      <c r="E1286" t="s">
        <v>3604</v>
      </c>
    </row>
    <row r="1287" spans="1:5" x14ac:dyDescent="0.25">
      <c r="A1287" t="s">
        <v>3561</v>
      </c>
      <c r="B1287" t="s">
        <v>3601</v>
      </c>
      <c r="C1287" t="s">
        <v>601</v>
      </c>
      <c r="D1287" t="s">
        <v>3607</v>
      </c>
      <c r="E1287" t="s">
        <v>3608</v>
      </c>
    </row>
    <row r="1288" spans="1:5" x14ac:dyDescent="0.25">
      <c r="A1288" t="s">
        <v>3561</v>
      </c>
      <c r="B1288" t="s">
        <v>3601</v>
      </c>
      <c r="C1288" t="s">
        <v>1996</v>
      </c>
      <c r="D1288" t="s">
        <v>3607</v>
      </c>
      <c r="E1288" t="s">
        <v>3608</v>
      </c>
    </row>
    <row r="1289" spans="1:5" x14ac:dyDescent="0.25">
      <c r="A1289" t="s">
        <v>3561</v>
      </c>
      <c r="B1289" t="s">
        <v>3601</v>
      </c>
      <c r="C1289" t="s">
        <v>341</v>
      </c>
      <c r="D1289" t="s">
        <v>3606</v>
      </c>
      <c r="E1289" t="s">
        <v>3603</v>
      </c>
    </row>
    <row r="1290" spans="1:5" x14ac:dyDescent="0.25">
      <c r="A1290" t="s">
        <v>3561</v>
      </c>
      <c r="B1290" t="s">
        <v>3601</v>
      </c>
      <c r="C1290" t="s">
        <v>2853</v>
      </c>
      <c r="D1290" t="s">
        <v>3603</v>
      </c>
      <c r="E1290" t="s">
        <v>3603</v>
      </c>
    </row>
    <row r="1291" spans="1:5" x14ac:dyDescent="0.25">
      <c r="A1291" t="s">
        <v>3561</v>
      </c>
      <c r="B1291" t="s">
        <v>3601</v>
      </c>
      <c r="C1291" t="s">
        <v>1820</v>
      </c>
      <c r="D1291" t="s">
        <v>3607</v>
      </c>
      <c r="E1291" t="s">
        <v>3608</v>
      </c>
    </row>
    <row r="1292" spans="1:5" x14ac:dyDescent="0.25">
      <c r="A1292" t="s">
        <v>3561</v>
      </c>
      <c r="B1292" t="s">
        <v>3601</v>
      </c>
      <c r="C1292" t="s">
        <v>1463</v>
      </c>
      <c r="D1292" t="s">
        <v>3602</v>
      </c>
      <c r="E1292" t="s">
        <v>3609</v>
      </c>
    </row>
    <row r="1293" spans="1:5" x14ac:dyDescent="0.25">
      <c r="A1293" t="s">
        <v>3561</v>
      </c>
      <c r="B1293" t="s">
        <v>3601</v>
      </c>
      <c r="C1293" t="s">
        <v>1942</v>
      </c>
      <c r="D1293" t="s">
        <v>3603</v>
      </c>
      <c r="E1293" t="s">
        <v>3603</v>
      </c>
    </row>
    <row r="1294" spans="1:5" x14ac:dyDescent="0.25">
      <c r="A1294" t="s">
        <v>3561</v>
      </c>
      <c r="B1294" t="s">
        <v>3601</v>
      </c>
      <c r="C1294" t="s">
        <v>2203</v>
      </c>
      <c r="D1294" t="s">
        <v>3603</v>
      </c>
      <c r="E1294" t="s">
        <v>3609</v>
      </c>
    </row>
    <row r="1295" spans="1:5" x14ac:dyDescent="0.25">
      <c r="A1295" t="s">
        <v>3561</v>
      </c>
      <c r="B1295" t="s">
        <v>3601</v>
      </c>
      <c r="C1295" t="s">
        <v>2552</v>
      </c>
      <c r="D1295" t="s">
        <v>3606</v>
      </c>
      <c r="E1295" t="s">
        <v>3605</v>
      </c>
    </row>
    <row r="1296" spans="1:5" x14ac:dyDescent="0.25">
      <c r="A1296" t="s">
        <v>3561</v>
      </c>
      <c r="B1296" t="s">
        <v>3601</v>
      </c>
      <c r="C1296" t="s">
        <v>1586</v>
      </c>
      <c r="D1296" t="s">
        <v>3602</v>
      </c>
      <c r="E1296" t="s">
        <v>3603</v>
      </c>
    </row>
    <row r="1297" spans="1:5" x14ac:dyDescent="0.25">
      <c r="A1297" t="s">
        <v>3561</v>
      </c>
      <c r="B1297" t="s">
        <v>3601</v>
      </c>
      <c r="C1297" t="s">
        <v>1565</v>
      </c>
      <c r="D1297" t="s">
        <v>3603</v>
      </c>
      <c r="E1297" t="s">
        <v>3605</v>
      </c>
    </row>
    <row r="1298" spans="1:5" x14ac:dyDescent="0.25">
      <c r="A1298" t="s">
        <v>3561</v>
      </c>
      <c r="B1298" t="s">
        <v>3601</v>
      </c>
      <c r="C1298" t="s">
        <v>214</v>
      </c>
      <c r="D1298" t="s">
        <v>3602</v>
      </c>
      <c r="E1298" t="s">
        <v>3609</v>
      </c>
    </row>
    <row r="1299" spans="1:5" x14ac:dyDescent="0.25">
      <c r="A1299" t="s">
        <v>3561</v>
      </c>
      <c r="B1299" t="s">
        <v>3601</v>
      </c>
      <c r="C1299" t="s">
        <v>2168</v>
      </c>
      <c r="D1299" t="s">
        <v>3606</v>
      </c>
      <c r="E1299" t="s">
        <v>3605</v>
      </c>
    </row>
    <row r="1300" spans="1:5" x14ac:dyDescent="0.25">
      <c r="A1300" t="s">
        <v>3561</v>
      </c>
      <c r="B1300" t="s">
        <v>3601</v>
      </c>
      <c r="C1300" t="s">
        <v>1194</v>
      </c>
      <c r="D1300" t="s">
        <v>3602</v>
      </c>
      <c r="E1300" t="s">
        <v>3605</v>
      </c>
    </row>
    <row r="1301" spans="1:5" x14ac:dyDescent="0.25">
      <c r="A1301" t="s">
        <v>3561</v>
      </c>
      <c r="B1301" t="s">
        <v>3601</v>
      </c>
      <c r="C1301" t="s">
        <v>1167</v>
      </c>
      <c r="D1301" t="s">
        <v>3603</v>
      </c>
      <c r="E1301" t="s">
        <v>3603</v>
      </c>
    </row>
    <row r="1302" spans="1:5" x14ac:dyDescent="0.25">
      <c r="A1302" t="s">
        <v>3561</v>
      </c>
      <c r="B1302" t="s">
        <v>3601</v>
      </c>
      <c r="C1302" t="s">
        <v>2100</v>
      </c>
      <c r="D1302" t="s">
        <v>3606</v>
      </c>
      <c r="E1302" t="s">
        <v>3609</v>
      </c>
    </row>
    <row r="1303" spans="1:5" x14ac:dyDescent="0.25">
      <c r="A1303" t="s">
        <v>3561</v>
      </c>
      <c r="B1303" t="s">
        <v>3601</v>
      </c>
      <c r="C1303" t="s">
        <v>2012</v>
      </c>
      <c r="D1303" t="s">
        <v>3607</v>
      </c>
      <c r="E1303" t="s">
        <v>3608</v>
      </c>
    </row>
    <row r="1304" spans="1:5" x14ac:dyDescent="0.25">
      <c r="A1304" t="s">
        <v>3561</v>
      </c>
      <c r="B1304" t="s">
        <v>3601</v>
      </c>
      <c r="C1304" t="s">
        <v>1383</v>
      </c>
      <c r="D1304" t="s">
        <v>3606</v>
      </c>
      <c r="E1304" t="s">
        <v>3609</v>
      </c>
    </row>
    <row r="1305" spans="1:5" x14ac:dyDescent="0.25">
      <c r="A1305" t="s">
        <v>3561</v>
      </c>
      <c r="B1305" t="s">
        <v>3601</v>
      </c>
      <c r="C1305" t="s">
        <v>2669</v>
      </c>
      <c r="D1305" t="s">
        <v>3602</v>
      </c>
      <c r="E1305" t="s">
        <v>3609</v>
      </c>
    </row>
    <row r="1306" spans="1:5" x14ac:dyDescent="0.25">
      <c r="A1306" t="s">
        <v>3561</v>
      </c>
      <c r="B1306" t="s">
        <v>3601</v>
      </c>
      <c r="C1306" t="s">
        <v>1902</v>
      </c>
      <c r="D1306" t="s">
        <v>3602</v>
      </c>
      <c r="E1306" t="s">
        <v>3609</v>
      </c>
    </row>
    <row r="1307" spans="1:5" x14ac:dyDescent="0.25">
      <c r="A1307" t="s">
        <v>3561</v>
      </c>
      <c r="B1307" t="s">
        <v>3601</v>
      </c>
      <c r="C1307" t="s">
        <v>1294</v>
      </c>
      <c r="D1307" t="s">
        <v>3607</v>
      </c>
      <c r="E1307" t="s">
        <v>3608</v>
      </c>
    </row>
    <row r="1308" spans="1:5" x14ac:dyDescent="0.25">
      <c r="A1308" t="s">
        <v>3561</v>
      </c>
      <c r="B1308" t="s">
        <v>3601</v>
      </c>
      <c r="C1308" t="s">
        <v>2122</v>
      </c>
      <c r="D1308" t="s">
        <v>3606</v>
      </c>
      <c r="E1308" t="s">
        <v>3609</v>
      </c>
    </row>
    <row r="1309" spans="1:5" x14ac:dyDescent="0.25">
      <c r="A1309" t="s">
        <v>3561</v>
      </c>
      <c r="B1309" t="s">
        <v>3601</v>
      </c>
      <c r="C1309" t="s">
        <v>2517</v>
      </c>
      <c r="D1309" t="s">
        <v>3607</v>
      </c>
      <c r="E1309" t="s">
        <v>3608</v>
      </c>
    </row>
    <row r="1310" spans="1:5" x14ac:dyDescent="0.25">
      <c r="A1310" t="s">
        <v>3561</v>
      </c>
      <c r="B1310" t="s">
        <v>3601</v>
      </c>
      <c r="C1310" t="s">
        <v>865</v>
      </c>
      <c r="D1310" t="s">
        <v>3602</v>
      </c>
      <c r="E1310" t="s">
        <v>3605</v>
      </c>
    </row>
    <row r="1311" spans="1:5" x14ac:dyDescent="0.25">
      <c r="A1311" t="s">
        <v>3561</v>
      </c>
      <c r="B1311" t="s">
        <v>3601</v>
      </c>
      <c r="C1311" t="s">
        <v>563</v>
      </c>
      <c r="D1311" t="s">
        <v>3606</v>
      </c>
      <c r="E1311" t="s">
        <v>3603</v>
      </c>
    </row>
    <row r="1312" spans="1:5" x14ac:dyDescent="0.25">
      <c r="A1312" t="s">
        <v>3561</v>
      </c>
      <c r="B1312" t="s">
        <v>3601</v>
      </c>
      <c r="C1312" t="s">
        <v>955</v>
      </c>
      <c r="D1312" t="s">
        <v>3606</v>
      </c>
      <c r="E1312" t="s">
        <v>3604</v>
      </c>
    </row>
    <row r="1313" spans="1:5" x14ac:dyDescent="0.25">
      <c r="A1313" t="s">
        <v>3561</v>
      </c>
      <c r="B1313" t="s">
        <v>3601</v>
      </c>
      <c r="C1313" t="s">
        <v>2547</v>
      </c>
      <c r="D1313" t="s">
        <v>3607</v>
      </c>
      <c r="E1313" t="s">
        <v>3608</v>
      </c>
    </row>
    <row r="1314" spans="1:5" x14ac:dyDescent="0.25">
      <c r="A1314" t="s">
        <v>3561</v>
      </c>
      <c r="B1314" t="s">
        <v>3601</v>
      </c>
      <c r="C1314" t="s">
        <v>2433</v>
      </c>
      <c r="D1314" t="s">
        <v>3602</v>
      </c>
      <c r="E1314" t="s">
        <v>3604</v>
      </c>
    </row>
    <row r="1315" spans="1:5" x14ac:dyDescent="0.25">
      <c r="A1315" t="s">
        <v>3561</v>
      </c>
      <c r="B1315" t="s">
        <v>3601</v>
      </c>
      <c r="C1315" t="s">
        <v>2105</v>
      </c>
      <c r="D1315" t="s">
        <v>3607</v>
      </c>
      <c r="E1315" t="s">
        <v>3608</v>
      </c>
    </row>
    <row r="1316" spans="1:5" x14ac:dyDescent="0.25">
      <c r="A1316" t="s">
        <v>3561</v>
      </c>
      <c r="B1316" t="s">
        <v>3601</v>
      </c>
      <c r="C1316" t="s">
        <v>745</v>
      </c>
      <c r="D1316" t="s">
        <v>3603</v>
      </c>
      <c r="E1316" t="s">
        <v>3603</v>
      </c>
    </row>
    <row r="1317" spans="1:5" x14ac:dyDescent="0.25">
      <c r="A1317" t="s">
        <v>3561</v>
      </c>
      <c r="B1317" t="s">
        <v>3601</v>
      </c>
      <c r="C1317" t="s">
        <v>516</v>
      </c>
      <c r="D1317" t="s">
        <v>3603</v>
      </c>
      <c r="E1317" t="s">
        <v>3605</v>
      </c>
    </row>
    <row r="1318" spans="1:5" x14ac:dyDescent="0.25">
      <c r="A1318" t="s">
        <v>3561</v>
      </c>
      <c r="B1318" t="s">
        <v>3601</v>
      </c>
      <c r="C1318" t="s">
        <v>1871</v>
      </c>
      <c r="D1318" t="s">
        <v>3602</v>
      </c>
      <c r="E1318" t="s">
        <v>3604</v>
      </c>
    </row>
    <row r="1319" spans="1:5" x14ac:dyDescent="0.25">
      <c r="A1319" t="s">
        <v>3561</v>
      </c>
      <c r="B1319" t="s">
        <v>3601</v>
      </c>
      <c r="C1319" t="s">
        <v>2158</v>
      </c>
      <c r="D1319" t="s">
        <v>3603</v>
      </c>
      <c r="E1319" t="s">
        <v>3605</v>
      </c>
    </row>
    <row r="1320" spans="1:5" x14ac:dyDescent="0.25">
      <c r="A1320" t="s">
        <v>3561</v>
      </c>
      <c r="B1320" t="s">
        <v>3601</v>
      </c>
      <c r="C1320" t="s">
        <v>2689</v>
      </c>
      <c r="D1320" t="s">
        <v>3602</v>
      </c>
      <c r="E1320" t="s">
        <v>3604</v>
      </c>
    </row>
    <row r="1321" spans="1:5" x14ac:dyDescent="0.25">
      <c r="A1321" t="s">
        <v>3561</v>
      </c>
      <c r="B1321" t="s">
        <v>3601</v>
      </c>
      <c r="C1321" t="s">
        <v>1875</v>
      </c>
      <c r="D1321" t="s">
        <v>3607</v>
      </c>
      <c r="E1321" t="s">
        <v>3608</v>
      </c>
    </row>
    <row r="1322" spans="1:5" x14ac:dyDescent="0.25">
      <c r="A1322" t="s">
        <v>3561</v>
      </c>
      <c r="B1322" t="s">
        <v>3601</v>
      </c>
      <c r="C1322" t="s">
        <v>2763</v>
      </c>
      <c r="D1322" t="s">
        <v>3607</v>
      </c>
      <c r="E1322" t="s">
        <v>3608</v>
      </c>
    </row>
    <row r="1323" spans="1:5" x14ac:dyDescent="0.25">
      <c r="A1323" t="s">
        <v>3561</v>
      </c>
      <c r="B1323" t="s">
        <v>3601</v>
      </c>
      <c r="C1323" t="s">
        <v>2080</v>
      </c>
      <c r="D1323" t="s">
        <v>3607</v>
      </c>
      <c r="E1323" t="s">
        <v>3608</v>
      </c>
    </row>
    <row r="1324" spans="1:5" x14ac:dyDescent="0.25">
      <c r="A1324" t="s">
        <v>3561</v>
      </c>
      <c r="B1324" t="s">
        <v>3601</v>
      </c>
      <c r="C1324" t="s">
        <v>677</v>
      </c>
      <c r="D1324" t="s">
        <v>3602</v>
      </c>
      <c r="E1324" t="s">
        <v>3605</v>
      </c>
    </row>
    <row r="1325" spans="1:5" x14ac:dyDescent="0.25">
      <c r="A1325" t="s">
        <v>3561</v>
      </c>
      <c r="B1325" t="s">
        <v>3601</v>
      </c>
      <c r="C1325" t="s">
        <v>363</v>
      </c>
      <c r="D1325" t="s">
        <v>3602</v>
      </c>
      <c r="E1325" t="s">
        <v>3609</v>
      </c>
    </row>
    <row r="1326" spans="1:5" x14ac:dyDescent="0.25">
      <c r="A1326" t="s">
        <v>3561</v>
      </c>
      <c r="B1326" t="s">
        <v>3601</v>
      </c>
      <c r="C1326" t="s">
        <v>522</v>
      </c>
      <c r="D1326" t="s">
        <v>3602</v>
      </c>
      <c r="E1326" t="s">
        <v>3609</v>
      </c>
    </row>
    <row r="1327" spans="1:5" x14ac:dyDescent="0.25">
      <c r="A1327" t="s">
        <v>3561</v>
      </c>
      <c r="B1327" t="s">
        <v>3601</v>
      </c>
      <c r="C1327" t="s">
        <v>1332</v>
      </c>
      <c r="D1327" t="s">
        <v>3603</v>
      </c>
      <c r="E1327" t="s">
        <v>3603</v>
      </c>
    </row>
    <row r="1328" spans="1:5" x14ac:dyDescent="0.25">
      <c r="A1328" t="s">
        <v>3561</v>
      </c>
      <c r="B1328" t="s">
        <v>3601</v>
      </c>
      <c r="C1328" t="s">
        <v>556</v>
      </c>
      <c r="D1328" t="s">
        <v>3603</v>
      </c>
      <c r="E1328" t="s">
        <v>3609</v>
      </c>
    </row>
    <row r="1329" spans="1:5" x14ac:dyDescent="0.25">
      <c r="A1329" t="s">
        <v>3561</v>
      </c>
      <c r="B1329" t="s">
        <v>3601</v>
      </c>
      <c r="C1329" t="s">
        <v>1624</v>
      </c>
      <c r="D1329" t="s">
        <v>3607</v>
      </c>
      <c r="E1329" t="s">
        <v>3608</v>
      </c>
    </row>
    <row r="1330" spans="1:5" x14ac:dyDescent="0.25">
      <c r="A1330" t="s">
        <v>3561</v>
      </c>
      <c r="B1330" t="s">
        <v>3601</v>
      </c>
      <c r="C1330" t="s">
        <v>2501</v>
      </c>
      <c r="D1330" t="s">
        <v>3602</v>
      </c>
      <c r="E1330" t="s">
        <v>3604</v>
      </c>
    </row>
    <row r="1331" spans="1:5" x14ac:dyDescent="0.25">
      <c r="A1331" t="s">
        <v>3561</v>
      </c>
      <c r="B1331" t="s">
        <v>3601</v>
      </c>
      <c r="C1331" t="s">
        <v>898</v>
      </c>
      <c r="D1331" t="s">
        <v>3602</v>
      </c>
      <c r="E1331" t="s">
        <v>3603</v>
      </c>
    </row>
    <row r="1332" spans="1:5" x14ac:dyDescent="0.25">
      <c r="A1332" t="s">
        <v>3561</v>
      </c>
      <c r="B1332" t="s">
        <v>3601</v>
      </c>
      <c r="C1332" t="s">
        <v>107</v>
      </c>
      <c r="D1332" t="s">
        <v>3603</v>
      </c>
      <c r="E1332" t="s">
        <v>3604</v>
      </c>
    </row>
    <row r="1333" spans="1:5" x14ac:dyDescent="0.25">
      <c r="A1333" t="s">
        <v>3561</v>
      </c>
      <c r="B1333" t="s">
        <v>3601</v>
      </c>
      <c r="C1333" t="s">
        <v>664</v>
      </c>
      <c r="D1333" t="s">
        <v>3606</v>
      </c>
      <c r="E1333" t="s">
        <v>3603</v>
      </c>
    </row>
    <row r="1334" spans="1:5" x14ac:dyDescent="0.25">
      <c r="A1334" t="s">
        <v>3561</v>
      </c>
      <c r="B1334" t="s">
        <v>3601</v>
      </c>
      <c r="C1334" t="s">
        <v>1805</v>
      </c>
      <c r="D1334" t="s">
        <v>3607</v>
      </c>
      <c r="E1334" t="s">
        <v>3608</v>
      </c>
    </row>
    <row r="1335" spans="1:5" x14ac:dyDescent="0.25">
      <c r="A1335" t="s">
        <v>3561</v>
      </c>
      <c r="B1335" t="s">
        <v>3601</v>
      </c>
      <c r="C1335" t="s">
        <v>1377</v>
      </c>
      <c r="D1335" t="s">
        <v>3606</v>
      </c>
      <c r="E1335" t="s">
        <v>3609</v>
      </c>
    </row>
    <row r="1336" spans="1:5" x14ac:dyDescent="0.25">
      <c r="A1336" t="s">
        <v>3561</v>
      </c>
      <c r="B1336" t="s">
        <v>3601</v>
      </c>
      <c r="C1336" t="s">
        <v>2259</v>
      </c>
      <c r="D1336" t="s">
        <v>3602</v>
      </c>
      <c r="E1336" t="s">
        <v>3603</v>
      </c>
    </row>
    <row r="1337" spans="1:5" x14ac:dyDescent="0.25">
      <c r="A1337" t="s">
        <v>3561</v>
      </c>
      <c r="B1337" t="s">
        <v>3601</v>
      </c>
      <c r="C1337" t="s">
        <v>2618</v>
      </c>
      <c r="D1337" t="s">
        <v>3603</v>
      </c>
      <c r="E1337" t="s">
        <v>3603</v>
      </c>
    </row>
    <row r="1338" spans="1:5" x14ac:dyDescent="0.25">
      <c r="A1338" t="s">
        <v>3561</v>
      </c>
      <c r="B1338" t="s">
        <v>3601</v>
      </c>
      <c r="C1338" t="s">
        <v>267</v>
      </c>
      <c r="D1338" t="s">
        <v>3606</v>
      </c>
      <c r="E1338" t="s">
        <v>3609</v>
      </c>
    </row>
    <row r="1339" spans="1:5" x14ac:dyDescent="0.25">
      <c r="A1339" t="s">
        <v>3561</v>
      </c>
      <c r="B1339" t="s">
        <v>3601</v>
      </c>
      <c r="C1339" t="s">
        <v>1066</v>
      </c>
      <c r="D1339" t="s">
        <v>3607</v>
      </c>
      <c r="E1339" t="s">
        <v>3608</v>
      </c>
    </row>
    <row r="1340" spans="1:5" x14ac:dyDescent="0.25">
      <c r="A1340" t="s">
        <v>3561</v>
      </c>
      <c r="B1340" t="s">
        <v>3601</v>
      </c>
      <c r="C1340" t="s">
        <v>2597</v>
      </c>
      <c r="D1340" t="s">
        <v>3603</v>
      </c>
      <c r="E1340" t="s">
        <v>3603</v>
      </c>
    </row>
    <row r="1341" spans="1:5" x14ac:dyDescent="0.25">
      <c r="A1341" t="s">
        <v>3561</v>
      </c>
      <c r="B1341" t="s">
        <v>3601</v>
      </c>
      <c r="C1341" t="s">
        <v>484</v>
      </c>
      <c r="D1341" t="s">
        <v>3606</v>
      </c>
      <c r="E1341" t="s">
        <v>3603</v>
      </c>
    </row>
    <row r="1342" spans="1:5" x14ac:dyDescent="0.25">
      <c r="A1342" t="s">
        <v>3561</v>
      </c>
      <c r="B1342" t="s">
        <v>3601</v>
      </c>
      <c r="C1342" t="s">
        <v>1705</v>
      </c>
      <c r="D1342" t="s">
        <v>3602</v>
      </c>
      <c r="E1342" t="s">
        <v>3603</v>
      </c>
    </row>
    <row r="1343" spans="1:5" x14ac:dyDescent="0.25">
      <c r="A1343" t="s">
        <v>3561</v>
      </c>
      <c r="B1343" t="s">
        <v>3601</v>
      </c>
      <c r="C1343" t="s">
        <v>2414</v>
      </c>
      <c r="D1343" t="s">
        <v>3603</v>
      </c>
      <c r="E1343" t="s">
        <v>3605</v>
      </c>
    </row>
    <row r="1344" spans="1:5" x14ac:dyDescent="0.25">
      <c r="A1344" t="s">
        <v>3561</v>
      </c>
      <c r="B1344" t="s">
        <v>3601</v>
      </c>
      <c r="C1344" t="s">
        <v>1440</v>
      </c>
      <c r="D1344" t="s">
        <v>3603</v>
      </c>
      <c r="E1344" t="s">
        <v>3605</v>
      </c>
    </row>
    <row r="1345" spans="1:5" x14ac:dyDescent="0.25">
      <c r="A1345" t="s">
        <v>3561</v>
      </c>
      <c r="B1345" t="s">
        <v>3601</v>
      </c>
      <c r="C1345" t="s">
        <v>1449</v>
      </c>
      <c r="D1345" t="s">
        <v>3606</v>
      </c>
      <c r="E1345" t="s">
        <v>3609</v>
      </c>
    </row>
    <row r="1346" spans="1:5" x14ac:dyDescent="0.25">
      <c r="A1346" t="s">
        <v>3561</v>
      </c>
      <c r="B1346" t="s">
        <v>3601</v>
      </c>
      <c r="C1346" t="s">
        <v>2263</v>
      </c>
      <c r="D1346" t="s">
        <v>3606</v>
      </c>
      <c r="E1346" t="s">
        <v>3604</v>
      </c>
    </row>
    <row r="1347" spans="1:5" x14ac:dyDescent="0.25">
      <c r="A1347" t="s">
        <v>3561</v>
      </c>
      <c r="B1347" t="s">
        <v>3610</v>
      </c>
      <c r="C1347" t="s">
        <v>2930</v>
      </c>
      <c r="D1347" t="s">
        <v>3606</v>
      </c>
      <c r="E1347" t="s">
        <v>3608</v>
      </c>
    </row>
    <row r="1348" spans="1:5" x14ac:dyDescent="0.25">
      <c r="A1348" t="s">
        <v>3561</v>
      </c>
      <c r="B1348" t="s">
        <v>3610</v>
      </c>
      <c r="C1348" t="s">
        <v>2924</v>
      </c>
      <c r="D1348" t="s">
        <v>3606</v>
      </c>
      <c r="E1348" t="s">
        <v>3608</v>
      </c>
    </row>
    <row r="1349" spans="1:5" x14ac:dyDescent="0.25">
      <c r="A1349" t="s">
        <v>3562</v>
      </c>
      <c r="B1349" t="s">
        <v>3601</v>
      </c>
      <c r="C1349" t="s">
        <v>1347</v>
      </c>
      <c r="D1349" t="s">
        <v>3602</v>
      </c>
      <c r="E1349" t="s">
        <v>3609</v>
      </c>
    </row>
    <row r="1350" spans="1:5" x14ac:dyDescent="0.25">
      <c r="A1350" t="s">
        <v>3562</v>
      </c>
      <c r="B1350" t="s">
        <v>3601</v>
      </c>
      <c r="C1350" t="s">
        <v>745</v>
      </c>
      <c r="D1350" t="s">
        <v>3606</v>
      </c>
      <c r="E1350" t="s">
        <v>3604</v>
      </c>
    </row>
    <row r="1351" spans="1:5" x14ac:dyDescent="0.25">
      <c r="A1351" t="s">
        <v>3562</v>
      </c>
      <c r="B1351" t="s">
        <v>3601</v>
      </c>
      <c r="C1351" t="s">
        <v>803</v>
      </c>
      <c r="D1351" t="s">
        <v>3606</v>
      </c>
      <c r="E1351" t="s">
        <v>3609</v>
      </c>
    </row>
    <row r="1352" spans="1:5" x14ac:dyDescent="0.25">
      <c r="A1352" t="s">
        <v>3562</v>
      </c>
      <c r="B1352" t="s">
        <v>3601</v>
      </c>
      <c r="C1352" t="s">
        <v>2506</v>
      </c>
      <c r="D1352" t="s">
        <v>3607</v>
      </c>
      <c r="E1352" t="s">
        <v>3608</v>
      </c>
    </row>
    <row r="1353" spans="1:5" x14ac:dyDescent="0.25">
      <c r="A1353" t="s">
        <v>3562</v>
      </c>
      <c r="B1353" t="s">
        <v>3601</v>
      </c>
      <c r="C1353" t="s">
        <v>1423</v>
      </c>
      <c r="D1353" t="s">
        <v>3602</v>
      </c>
      <c r="E1353" t="s">
        <v>3609</v>
      </c>
    </row>
    <row r="1354" spans="1:5" x14ac:dyDescent="0.25">
      <c r="A1354" t="s">
        <v>3562</v>
      </c>
      <c r="B1354" t="s">
        <v>3601</v>
      </c>
      <c r="C1354" t="s">
        <v>903</v>
      </c>
      <c r="D1354" t="s">
        <v>3602</v>
      </c>
      <c r="E1354" t="s">
        <v>3609</v>
      </c>
    </row>
    <row r="1355" spans="1:5" x14ac:dyDescent="0.25">
      <c r="A1355" t="s">
        <v>3562</v>
      </c>
      <c r="B1355" t="s">
        <v>3601</v>
      </c>
      <c r="C1355" t="s">
        <v>2684</v>
      </c>
      <c r="D1355" t="s">
        <v>3602</v>
      </c>
      <c r="E1355" t="s">
        <v>3609</v>
      </c>
    </row>
    <row r="1356" spans="1:5" x14ac:dyDescent="0.25">
      <c r="A1356" t="s">
        <v>3562</v>
      </c>
      <c r="B1356" t="s">
        <v>3601</v>
      </c>
      <c r="C1356" t="s">
        <v>888</v>
      </c>
      <c r="D1356" t="s">
        <v>3602</v>
      </c>
      <c r="E1356" t="s">
        <v>3605</v>
      </c>
    </row>
    <row r="1357" spans="1:5" x14ac:dyDescent="0.25">
      <c r="A1357" t="s">
        <v>3562</v>
      </c>
      <c r="B1357" t="s">
        <v>3601</v>
      </c>
      <c r="C1357" t="s">
        <v>2277</v>
      </c>
      <c r="D1357" t="s">
        <v>3603</v>
      </c>
      <c r="E1357" t="s">
        <v>3609</v>
      </c>
    </row>
    <row r="1358" spans="1:5" x14ac:dyDescent="0.25">
      <c r="A1358" t="s">
        <v>3562</v>
      </c>
      <c r="B1358" t="s">
        <v>3601</v>
      </c>
      <c r="C1358" t="s">
        <v>1454</v>
      </c>
      <c r="D1358" t="s">
        <v>3603</v>
      </c>
      <c r="E1358" t="s">
        <v>3605</v>
      </c>
    </row>
    <row r="1359" spans="1:5" x14ac:dyDescent="0.25">
      <c r="A1359" t="s">
        <v>3562</v>
      </c>
      <c r="B1359" t="s">
        <v>3601</v>
      </c>
      <c r="C1359" t="s">
        <v>65</v>
      </c>
      <c r="D1359" t="s">
        <v>3602</v>
      </c>
      <c r="E1359" t="s">
        <v>3603</v>
      </c>
    </row>
    <row r="1360" spans="1:5" x14ac:dyDescent="0.25">
      <c r="A1360" t="s">
        <v>3562</v>
      </c>
      <c r="B1360" t="s">
        <v>3601</v>
      </c>
      <c r="C1360" t="s">
        <v>1656</v>
      </c>
      <c r="D1360" t="s">
        <v>3606</v>
      </c>
      <c r="E1360" t="s">
        <v>3603</v>
      </c>
    </row>
    <row r="1361" spans="1:5" x14ac:dyDescent="0.25">
      <c r="A1361" t="s">
        <v>3562</v>
      </c>
      <c r="B1361" t="s">
        <v>3601</v>
      </c>
      <c r="C1361" t="s">
        <v>312</v>
      </c>
      <c r="D1361" t="s">
        <v>3606</v>
      </c>
      <c r="E1361" t="s">
        <v>3603</v>
      </c>
    </row>
    <row r="1362" spans="1:5" x14ac:dyDescent="0.25">
      <c r="A1362" t="s">
        <v>3562</v>
      </c>
      <c r="B1362" t="s">
        <v>3601</v>
      </c>
      <c r="C1362" t="s">
        <v>1565</v>
      </c>
      <c r="D1362" t="s">
        <v>3603</v>
      </c>
      <c r="E1362" t="s">
        <v>3603</v>
      </c>
    </row>
    <row r="1363" spans="1:5" x14ac:dyDescent="0.25">
      <c r="A1363" t="s">
        <v>3562</v>
      </c>
      <c r="B1363" t="s">
        <v>3601</v>
      </c>
      <c r="C1363" t="s">
        <v>275</v>
      </c>
      <c r="D1363" t="s">
        <v>3606</v>
      </c>
      <c r="E1363" t="s">
        <v>3609</v>
      </c>
    </row>
    <row r="1364" spans="1:5" x14ac:dyDescent="0.25">
      <c r="A1364" t="s">
        <v>3562</v>
      </c>
      <c r="B1364" t="s">
        <v>3601</v>
      </c>
      <c r="C1364" t="s">
        <v>1694</v>
      </c>
      <c r="D1364" t="s">
        <v>3606</v>
      </c>
      <c r="E1364" t="s">
        <v>3604</v>
      </c>
    </row>
    <row r="1365" spans="1:5" x14ac:dyDescent="0.25">
      <c r="A1365" t="s">
        <v>3562</v>
      </c>
      <c r="B1365" t="s">
        <v>3601</v>
      </c>
      <c r="C1365" t="s">
        <v>32</v>
      </c>
      <c r="D1365" t="s">
        <v>3607</v>
      </c>
      <c r="E1365" t="s">
        <v>3608</v>
      </c>
    </row>
    <row r="1366" spans="1:5" x14ac:dyDescent="0.25">
      <c r="A1366" t="s">
        <v>3562</v>
      </c>
      <c r="B1366" t="s">
        <v>3601</v>
      </c>
      <c r="C1366" t="s">
        <v>2704</v>
      </c>
      <c r="D1366" t="s">
        <v>3606</v>
      </c>
      <c r="E1366" t="s">
        <v>3604</v>
      </c>
    </row>
    <row r="1367" spans="1:5" x14ac:dyDescent="0.25">
      <c r="A1367" t="s">
        <v>3562</v>
      </c>
      <c r="B1367" t="s">
        <v>3601</v>
      </c>
      <c r="C1367" t="s">
        <v>1194</v>
      </c>
      <c r="D1367" t="s">
        <v>3603</v>
      </c>
      <c r="E1367" t="s">
        <v>3605</v>
      </c>
    </row>
    <row r="1368" spans="1:5" x14ac:dyDescent="0.25">
      <c r="A1368" t="s">
        <v>3562</v>
      </c>
      <c r="B1368" t="s">
        <v>3601</v>
      </c>
      <c r="C1368" t="s">
        <v>1377</v>
      </c>
      <c r="D1368" t="s">
        <v>3607</v>
      </c>
      <c r="E1368" t="s">
        <v>3608</v>
      </c>
    </row>
    <row r="1369" spans="1:5" x14ac:dyDescent="0.25">
      <c r="A1369" t="s">
        <v>3562</v>
      </c>
      <c r="B1369" t="s">
        <v>3601</v>
      </c>
      <c r="C1369" t="s">
        <v>318</v>
      </c>
      <c r="D1369" t="s">
        <v>3603</v>
      </c>
      <c r="E1369" t="s">
        <v>3603</v>
      </c>
    </row>
    <row r="1370" spans="1:5" x14ac:dyDescent="0.25">
      <c r="A1370" t="s">
        <v>3562</v>
      </c>
      <c r="B1370" t="s">
        <v>3601</v>
      </c>
      <c r="C1370" t="s">
        <v>1591</v>
      </c>
      <c r="D1370" t="s">
        <v>3602</v>
      </c>
      <c r="E1370" t="s">
        <v>3605</v>
      </c>
    </row>
    <row r="1371" spans="1:5" x14ac:dyDescent="0.25">
      <c r="A1371" t="s">
        <v>3562</v>
      </c>
      <c r="B1371" t="s">
        <v>3601</v>
      </c>
      <c r="C1371" t="s">
        <v>705</v>
      </c>
      <c r="D1371" t="s">
        <v>3602</v>
      </c>
      <c r="E1371" t="s">
        <v>3604</v>
      </c>
    </row>
    <row r="1372" spans="1:5" x14ac:dyDescent="0.25">
      <c r="A1372" t="s">
        <v>3562</v>
      </c>
      <c r="B1372" t="s">
        <v>3601</v>
      </c>
      <c r="C1372" t="s">
        <v>1866</v>
      </c>
      <c r="D1372" t="s">
        <v>3606</v>
      </c>
      <c r="E1372" t="s">
        <v>3604</v>
      </c>
    </row>
    <row r="1373" spans="1:5" x14ac:dyDescent="0.25">
      <c r="A1373" t="s">
        <v>3562</v>
      </c>
      <c r="B1373" t="s">
        <v>3601</v>
      </c>
      <c r="C1373" t="s">
        <v>2259</v>
      </c>
      <c r="D1373" t="s">
        <v>3606</v>
      </c>
      <c r="E1373" t="s">
        <v>3604</v>
      </c>
    </row>
    <row r="1374" spans="1:5" x14ac:dyDescent="0.25">
      <c r="A1374" t="s">
        <v>3562</v>
      </c>
      <c r="B1374" t="s">
        <v>3601</v>
      </c>
      <c r="C1374" t="s">
        <v>1227</v>
      </c>
      <c r="D1374" t="s">
        <v>3606</v>
      </c>
      <c r="E1374" t="s">
        <v>3609</v>
      </c>
    </row>
    <row r="1375" spans="1:5" x14ac:dyDescent="0.25">
      <c r="A1375" t="s">
        <v>3562</v>
      </c>
      <c r="B1375" t="s">
        <v>3601</v>
      </c>
      <c r="C1375" t="s">
        <v>2694</v>
      </c>
      <c r="D1375" t="s">
        <v>3602</v>
      </c>
      <c r="E1375" t="s">
        <v>3603</v>
      </c>
    </row>
    <row r="1376" spans="1:5" x14ac:dyDescent="0.25">
      <c r="A1376" t="s">
        <v>3562</v>
      </c>
      <c r="B1376" t="s">
        <v>3601</v>
      </c>
      <c r="C1376" t="s">
        <v>2562</v>
      </c>
      <c r="D1376" t="s">
        <v>3606</v>
      </c>
      <c r="E1376" t="s">
        <v>3605</v>
      </c>
    </row>
    <row r="1377" spans="1:5" x14ac:dyDescent="0.25">
      <c r="A1377" t="s">
        <v>3562</v>
      </c>
      <c r="B1377" t="s">
        <v>3601</v>
      </c>
      <c r="C1377" t="s">
        <v>2414</v>
      </c>
      <c r="D1377" t="s">
        <v>3603</v>
      </c>
      <c r="E1377" t="s">
        <v>3604</v>
      </c>
    </row>
    <row r="1378" spans="1:5" x14ac:dyDescent="0.25">
      <c r="A1378" t="s">
        <v>3562</v>
      </c>
      <c r="B1378" t="s">
        <v>3601</v>
      </c>
      <c r="C1378" t="s">
        <v>2188</v>
      </c>
      <c r="D1378" t="s">
        <v>3606</v>
      </c>
      <c r="E1378" t="s">
        <v>3603</v>
      </c>
    </row>
    <row r="1379" spans="1:5" x14ac:dyDescent="0.25">
      <c r="A1379" t="s">
        <v>3562</v>
      </c>
      <c r="B1379" t="s">
        <v>3601</v>
      </c>
      <c r="C1379" t="s">
        <v>2080</v>
      </c>
      <c r="D1379" t="s">
        <v>3606</v>
      </c>
      <c r="E1379" t="s">
        <v>3604</v>
      </c>
    </row>
    <row r="1380" spans="1:5" x14ac:dyDescent="0.25">
      <c r="A1380" t="s">
        <v>3562</v>
      </c>
      <c r="B1380" t="s">
        <v>3601</v>
      </c>
      <c r="C1380" t="s">
        <v>2738</v>
      </c>
      <c r="D1380" t="s">
        <v>3603</v>
      </c>
      <c r="E1380" t="s">
        <v>3609</v>
      </c>
    </row>
    <row r="1381" spans="1:5" x14ac:dyDescent="0.25">
      <c r="A1381" t="s">
        <v>3562</v>
      </c>
      <c r="B1381" t="s">
        <v>3601</v>
      </c>
      <c r="C1381" t="s">
        <v>77</v>
      </c>
      <c r="D1381" t="s">
        <v>3602</v>
      </c>
      <c r="E1381" t="s">
        <v>3605</v>
      </c>
    </row>
    <row r="1382" spans="1:5" x14ac:dyDescent="0.25">
      <c r="A1382" t="s">
        <v>3562</v>
      </c>
      <c r="B1382" t="s">
        <v>3601</v>
      </c>
      <c r="C1382" t="s">
        <v>1624</v>
      </c>
      <c r="D1382" t="s">
        <v>3603</v>
      </c>
      <c r="E1382" t="s">
        <v>3609</v>
      </c>
    </row>
    <row r="1383" spans="1:5" x14ac:dyDescent="0.25">
      <c r="A1383" t="s">
        <v>3562</v>
      </c>
      <c r="B1383" t="s">
        <v>3601</v>
      </c>
      <c r="C1383" t="s">
        <v>509</v>
      </c>
      <c r="D1383" t="s">
        <v>3602</v>
      </c>
      <c r="E1383" t="s">
        <v>3605</v>
      </c>
    </row>
    <row r="1384" spans="1:5" x14ac:dyDescent="0.25">
      <c r="A1384" t="s">
        <v>3562</v>
      </c>
      <c r="B1384" t="s">
        <v>3601</v>
      </c>
      <c r="C1384" t="s">
        <v>1842</v>
      </c>
      <c r="D1384" t="s">
        <v>3607</v>
      </c>
      <c r="E1384" t="s">
        <v>3608</v>
      </c>
    </row>
    <row r="1385" spans="1:5" x14ac:dyDescent="0.25">
      <c r="A1385" t="s">
        <v>3562</v>
      </c>
      <c r="B1385" t="s">
        <v>3601</v>
      </c>
      <c r="C1385" t="s">
        <v>186</v>
      </c>
      <c r="D1385" t="s">
        <v>3603</v>
      </c>
      <c r="E1385" t="s">
        <v>3604</v>
      </c>
    </row>
    <row r="1386" spans="1:5" x14ac:dyDescent="0.25">
      <c r="A1386" t="s">
        <v>3562</v>
      </c>
      <c r="B1386" t="s">
        <v>3601</v>
      </c>
      <c r="C1386" t="s">
        <v>614</v>
      </c>
      <c r="D1386" t="s">
        <v>3606</v>
      </c>
      <c r="E1386" t="s">
        <v>3604</v>
      </c>
    </row>
    <row r="1387" spans="1:5" x14ac:dyDescent="0.25">
      <c r="A1387" t="s">
        <v>3562</v>
      </c>
      <c r="B1387" t="s">
        <v>3601</v>
      </c>
      <c r="C1387" t="s">
        <v>2228</v>
      </c>
      <c r="D1387" t="s">
        <v>3602</v>
      </c>
      <c r="E1387" t="s">
        <v>3604</v>
      </c>
    </row>
    <row r="1388" spans="1:5" x14ac:dyDescent="0.25">
      <c r="A1388" t="s">
        <v>3562</v>
      </c>
      <c r="B1388" t="s">
        <v>3601</v>
      </c>
      <c r="C1388" t="s">
        <v>1927</v>
      </c>
      <c r="D1388" t="s">
        <v>3607</v>
      </c>
      <c r="E1388" t="s">
        <v>3608</v>
      </c>
    </row>
    <row r="1389" spans="1:5" x14ac:dyDescent="0.25">
      <c r="A1389" t="s">
        <v>3562</v>
      </c>
      <c r="B1389" t="s">
        <v>3601</v>
      </c>
      <c r="C1389" t="s">
        <v>1188</v>
      </c>
      <c r="D1389" t="s">
        <v>3603</v>
      </c>
      <c r="E1389" t="s">
        <v>3604</v>
      </c>
    </row>
    <row r="1390" spans="1:5" x14ac:dyDescent="0.25">
      <c r="A1390" t="s">
        <v>3562</v>
      </c>
      <c r="B1390" t="s">
        <v>3601</v>
      </c>
      <c r="C1390" t="s">
        <v>2489</v>
      </c>
      <c r="D1390" t="s">
        <v>3602</v>
      </c>
      <c r="E1390" t="s">
        <v>3609</v>
      </c>
    </row>
    <row r="1391" spans="1:5" x14ac:dyDescent="0.25">
      <c r="A1391" t="s">
        <v>3562</v>
      </c>
      <c r="B1391" t="s">
        <v>3601</v>
      </c>
      <c r="C1391" t="s">
        <v>2464</v>
      </c>
      <c r="D1391" t="s">
        <v>3607</v>
      </c>
      <c r="E1391" t="s">
        <v>3608</v>
      </c>
    </row>
    <row r="1392" spans="1:5" x14ac:dyDescent="0.25">
      <c r="A1392" t="s">
        <v>3562</v>
      </c>
      <c r="B1392" t="s">
        <v>3601</v>
      </c>
      <c r="C1392" t="s">
        <v>220</v>
      </c>
      <c r="D1392" t="s">
        <v>3602</v>
      </c>
      <c r="E1392" t="s">
        <v>3605</v>
      </c>
    </row>
    <row r="1393" spans="1:5" x14ac:dyDescent="0.25">
      <c r="A1393" t="s">
        <v>3562</v>
      </c>
      <c r="B1393" t="s">
        <v>3601</v>
      </c>
      <c r="C1393" t="s">
        <v>1974</v>
      </c>
      <c r="D1393" t="s">
        <v>3603</v>
      </c>
      <c r="E1393" t="s">
        <v>3604</v>
      </c>
    </row>
    <row r="1394" spans="1:5" x14ac:dyDescent="0.25">
      <c r="A1394" t="s">
        <v>3562</v>
      </c>
      <c r="B1394" t="s">
        <v>3601</v>
      </c>
      <c r="C1394" t="s">
        <v>356</v>
      </c>
      <c r="D1394" t="s">
        <v>3606</v>
      </c>
      <c r="E1394" t="s">
        <v>3603</v>
      </c>
    </row>
    <row r="1395" spans="1:5" x14ac:dyDescent="0.25">
      <c r="A1395" t="s">
        <v>3562</v>
      </c>
      <c r="B1395" t="s">
        <v>3601</v>
      </c>
      <c r="C1395" t="s">
        <v>2320</v>
      </c>
      <c r="D1395" t="s">
        <v>3607</v>
      </c>
      <c r="E1395" t="s">
        <v>3608</v>
      </c>
    </row>
    <row r="1396" spans="1:5" x14ac:dyDescent="0.25">
      <c r="A1396" t="s">
        <v>3562</v>
      </c>
      <c r="B1396" t="s">
        <v>3601</v>
      </c>
      <c r="C1396" t="s">
        <v>898</v>
      </c>
      <c r="D1396" t="s">
        <v>3603</v>
      </c>
      <c r="E1396" t="s">
        <v>3605</v>
      </c>
    </row>
    <row r="1397" spans="1:5" x14ac:dyDescent="0.25">
      <c r="A1397" t="s">
        <v>3562</v>
      </c>
      <c r="B1397" t="s">
        <v>3601</v>
      </c>
      <c r="C1397" t="s">
        <v>2193</v>
      </c>
      <c r="D1397" t="s">
        <v>3607</v>
      </c>
      <c r="E1397" t="s">
        <v>3608</v>
      </c>
    </row>
    <row r="1398" spans="1:5" x14ac:dyDescent="0.25">
      <c r="A1398" t="s">
        <v>3562</v>
      </c>
      <c r="B1398" t="s">
        <v>3601</v>
      </c>
      <c r="C1398" t="s">
        <v>2649</v>
      </c>
      <c r="D1398" t="s">
        <v>3603</v>
      </c>
      <c r="E1398" t="s">
        <v>3609</v>
      </c>
    </row>
    <row r="1399" spans="1:5" x14ac:dyDescent="0.25">
      <c r="A1399" t="s">
        <v>3562</v>
      </c>
      <c r="B1399" t="s">
        <v>3601</v>
      </c>
      <c r="C1399" t="s">
        <v>2659</v>
      </c>
      <c r="D1399" t="s">
        <v>3606</v>
      </c>
      <c r="E1399" t="s">
        <v>3605</v>
      </c>
    </row>
    <row r="1400" spans="1:5" x14ac:dyDescent="0.25">
      <c r="A1400" t="s">
        <v>3562</v>
      </c>
      <c r="B1400" t="s">
        <v>3601</v>
      </c>
      <c r="C1400" t="s">
        <v>2588</v>
      </c>
      <c r="D1400" t="s">
        <v>3606</v>
      </c>
      <c r="E1400" t="s">
        <v>3605</v>
      </c>
    </row>
    <row r="1401" spans="1:5" x14ac:dyDescent="0.25">
      <c r="A1401" t="s">
        <v>3562</v>
      </c>
      <c r="B1401" t="s">
        <v>3601</v>
      </c>
      <c r="C1401" t="s">
        <v>2578</v>
      </c>
      <c r="D1401" t="s">
        <v>3603</v>
      </c>
      <c r="E1401" t="s">
        <v>3603</v>
      </c>
    </row>
    <row r="1402" spans="1:5" x14ac:dyDescent="0.25">
      <c r="A1402" t="s">
        <v>3562</v>
      </c>
      <c r="B1402" t="s">
        <v>3601</v>
      </c>
      <c r="C1402" t="s">
        <v>2047</v>
      </c>
      <c r="D1402" t="s">
        <v>3603</v>
      </c>
      <c r="E1402" t="s">
        <v>3609</v>
      </c>
    </row>
    <row r="1403" spans="1:5" x14ac:dyDescent="0.25">
      <c r="A1403" t="s">
        <v>3562</v>
      </c>
      <c r="B1403" t="s">
        <v>3601</v>
      </c>
      <c r="C1403" t="s">
        <v>1404</v>
      </c>
      <c r="D1403" t="s">
        <v>3603</v>
      </c>
      <c r="E1403" t="s">
        <v>3609</v>
      </c>
    </row>
    <row r="1404" spans="1:5" x14ac:dyDescent="0.25">
      <c r="A1404" t="s">
        <v>3562</v>
      </c>
      <c r="B1404" t="s">
        <v>3601</v>
      </c>
      <c r="C1404" t="s">
        <v>2778</v>
      </c>
      <c r="D1404" t="s">
        <v>3607</v>
      </c>
      <c r="E1404" t="s">
        <v>3608</v>
      </c>
    </row>
    <row r="1405" spans="1:5" x14ac:dyDescent="0.25">
      <c r="A1405" t="s">
        <v>3562</v>
      </c>
      <c r="B1405" t="s">
        <v>3601</v>
      </c>
      <c r="C1405" t="s">
        <v>2132</v>
      </c>
      <c r="D1405" t="s">
        <v>3606</v>
      </c>
      <c r="E1405" t="s">
        <v>3604</v>
      </c>
    </row>
    <row r="1406" spans="1:5" x14ac:dyDescent="0.25">
      <c r="A1406" t="s">
        <v>3562</v>
      </c>
      <c r="B1406" t="s">
        <v>3601</v>
      </c>
      <c r="C1406" t="s">
        <v>965</v>
      </c>
      <c r="D1406" t="s">
        <v>3607</v>
      </c>
      <c r="E1406" t="s">
        <v>3608</v>
      </c>
    </row>
    <row r="1407" spans="1:5" x14ac:dyDescent="0.25">
      <c r="A1407" t="s">
        <v>3562</v>
      </c>
      <c r="B1407" t="s">
        <v>3601</v>
      </c>
      <c r="C1407" t="s">
        <v>214</v>
      </c>
      <c r="D1407" t="s">
        <v>3606</v>
      </c>
      <c r="E1407" t="s">
        <v>3605</v>
      </c>
    </row>
    <row r="1408" spans="1:5" x14ac:dyDescent="0.25">
      <c r="A1408" t="s">
        <v>3562</v>
      </c>
      <c r="B1408" t="s">
        <v>3601</v>
      </c>
      <c r="C1408" t="s">
        <v>1116</v>
      </c>
      <c r="D1408" t="s">
        <v>3602</v>
      </c>
      <c r="E1408" t="s">
        <v>3604</v>
      </c>
    </row>
    <row r="1409" spans="1:5" x14ac:dyDescent="0.25">
      <c r="A1409" t="s">
        <v>3562</v>
      </c>
      <c r="B1409" t="s">
        <v>3601</v>
      </c>
      <c r="C1409" t="s">
        <v>2724</v>
      </c>
      <c r="D1409" t="s">
        <v>3606</v>
      </c>
      <c r="E1409" t="s">
        <v>3609</v>
      </c>
    </row>
    <row r="1410" spans="1:5" x14ac:dyDescent="0.25">
      <c r="A1410" t="s">
        <v>3562</v>
      </c>
      <c r="B1410" t="s">
        <v>3601</v>
      </c>
      <c r="C1410" t="s">
        <v>2494</v>
      </c>
      <c r="D1410" t="s">
        <v>3606</v>
      </c>
      <c r="E1410" t="s">
        <v>3605</v>
      </c>
    </row>
    <row r="1411" spans="1:5" x14ac:dyDescent="0.25">
      <c r="A1411" t="s">
        <v>3562</v>
      </c>
      <c r="B1411" t="s">
        <v>3601</v>
      </c>
      <c r="C1411" t="s">
        <v>1846</v>
      </c>
      <c r="D1411" t="s">
        <v>3603</v>
      </c>
      <c r="E1411" t="s">
        <v>3605</v>
      </c>
    </row>
    <row r="1412" spans="1:5" x14ac:dyDescent="0.25">
      <c r="A1412" t="s">
        <v>3562</v>
      </c>
      <c r="B1412" t="s">
        <v>3601</v>
      </c>
      <c r="C1412" t="s">
        <v>2249</v>
      </c>
      <c r="D1412" t="s">
        <v>3602</v>
      </c>
      <c r="E1412" t="s">
        <v>3609</v>
      </c>
    </row>
    <row r="1413" spans="1:5" x14ac:dyDescent="0.25">
      <c r="A1413" t="s">
        <v>3562</v>
      </c>
      <c r="B1413" t="s">
        <v>3601</v>
      </c>
      <c r="C1413" t="s">
        <v>333</v>
      </c>
      <c r="D1413" t="s">
        <v>3603</v>
      </c>
      <c r="E1413" t="s">
        <v>3609</v>
      </c>
    </row>
    <row r="1414" spans="1:5" x14ac:dyDescent="0.25">
      <c r="A1414" t="s">
        <v>3562</v>
      </c>
      <c r="B1414" t="s">
        <v>3601</v>
      </c>
      <c r="C1414" t="s">
        <v>281</v>
      </c>
      <c r="D1414" t="s">
        <v>3602</v>
      </c>
      <c r="E1414" t="s">
        <v>3609</v>
      </c>
    </row>
    <row r="1415" spans="1:5" x14ac:dyDescent="0.25">
      <c r="A1415" t="s">
        <v>3562</v>
      </c>
      <c r="B1415" t="s">
        <v>3601</v>
      </c>
      <c r="C1415" t="s">
        <v>1276</v>
      </c>
      <c r="D1415" t="s">
        <v>3603</v>
      </c>
      <c r="E1415" t="s">
        <v>3605</v>
      </c>
    </row>
    <row r="1416" spans="1:5" x14ac:dyDescent="0.25">
      <c r="A1416" t="s">
        <v>3562</v>
      </c>
      <c r="B1416" t="s">
        <v>3601</v>
      </c>
      <c r="C1416" t="s">
        <v>2007</v>
      </c>
      <c r="D1416" t="s">
        <v>3606</v>
      </c>
      <c r="E1416" t="s">
        <v>3604</v>
      </c>
    </row>
    <row r="1417" spans="1:5" x14ac:dyDescent="0.25">
      <c r="A1417" t="s">
        <v>3562</v>
      </c>
      <c r="B1417" t="s">
        <v>3601</v>
      </c>
      <c r="C1417" t="s">
        <v>629</v>
      </c>
      <c r="D1417" t="s">
        <v>3603</v>
      </c>
      <c r="E1417" t="s">
        <v>3605</v>
      </c>
    </row>
    <row r="1418" spans="1:5" x14ac:dyDescent="0.25">
      <c r="A1418" t="s">
        <v>3562</v>
      </c>
      <c r="B1418" t="s">
        <v>3601</v>
      </c>
      <c r="C1418" t="s">
        <v>2419</v>
      </c>
      <c r="D1418" t="s">
        <v>3606</v>
      </c>
      <c r="E1418" t="s">
        <v>3605</v>
      </c>
    </row>
    <row r="1419" spans="1:5" x14ac:dyDescent="0.25">
      <c r="A1419" t="s">
        <v>3562</v>
      </c>
      <c r="B1419" t="s">
        <v>3601</v>
      </c>
      <c r="C1419" t="s">
        <v>2409</v>
      </c>
      <c r="D1419" t="s">
        <v>3607</v>
      </c>
      <c r="E1419" t="s">
        <v>3608</v>
      </c>
    </row>
    <row r="1420" spans="1:5" x14ac:dyDescent="0.25">
      <c r="A1420" t="s">
        <v>3562</v>
      </c>
      <c r="B1420" t="s">
        <v>3601</v>
      </c>
      <c r="C1420" t="s">
        <v>86</v>
      </c>
      <c r="D1420" t="s">
        <v>3603</v>
      </c>
      <c r="E1420" t="s">
        <v>3609</v>
      </c>
    </row>
    <row r="1421" spans="1:5" x14ac:dyDescent="0.25">
      <c r="A1421" t="s">
        <v>3562</v>
      </c>
      <c r="B1421" t="s">
        <v>3601</v>
      </c>
      <c r="C1421" t="s">
        <v>2381</v>
      </c>
      <c r="D1421" t="s">
        <v>3603</v>
      </c>
      <c r="E1421" t="s">
        <v>3609</v>
      </c>
    </row>
    <row r="1422" spans="1:5" x14ac:dyDescent="0.25">
      <c r="A1422" t="s">
        <v>3562</v>
      </c>
      <c r="B1422" t="s">
        <v>3601</v>
      </c>
      <c r="C1422" t="s">
        <v>2075</v>
      </c>
      <c r="D1422" t="s">
        <v>3606</v>
      </c>
      <c r="E1422" t="s">
        <v>3604</v>
      </c>
    </row>
    <row r="1423" spans="1:5" x14ac:dyDescent="0.25">
      <c r="A1423" t="s">
        <v>3562</v>
      </c>
      <c r="B1423" t="s">
        <v>3601</v>
      </c>
      <c r="C1423" t="s">
        <v>2858</v>
      </c>
      <c r="D1423" t="s">
        <v>3603</v>
      </c>
      <c r="E1423" t="s">
        <v>3603</v>
      </c>
    </row>
    <row r="1424" spans="1:5" x14ac:dyDescent="0.25">
      <c r="A1424" t="s">
        <v>3562</v>
      </c>
      <c r="B1424" t="s">
        <v>3601</v>
      </c>
      <c r="C1424" t="s">
        <v>935</v>
      </c>
      <c r="D1424" t="s">
        <v>3607</v>
      </c>
      <c r="E1424" t="s">
        <v>3608</v>
      </c>
    </row>
    <row r="1425" spans="1:5" x14ac:dyDescent="0.25">
      <c r="A1425" t="s">
        <v>3562</v>
      </c>
      <c r="B1425" t="s">
        <v>3601</v>
      </c>
      <c r="C1425" t="s">
        <v>2311</v>
      </c>
      <c r="D1425" t="s">
        <v>3606</v>
      </c>
      <c r="E1425" t="s">
        <v>3604</v>
      </c>
    </row>
    <row r="1426" spans="1:5" x14ac:dyDescent="0.25">
      <c r="A1426" t="s">
        <v>3562</v>
      </c>
      <c r="B1426" t="s">
        <v>3601</v>
      </c>
      <c r="C1426" t="s">
        <v>2138</v>
      </c>
      <c r="D1426" t="s">
        <v>3606</v>
      </c>
      <c r="E1426" t="s">
        <v>3603</v>
      </c>
    </row>
    <row r="1427" spans="1:5" x14ac:dyDescent="0.25">
      <c r="A1427" t="s">
        <v>3562</v>
      </c>
      <c r="B1427" t="s">
        <v>3601</v>
      </c>
      <c r="C1427" t="s">
        <v>1418</v>
      </c>
      <c r="D1427" t="s">
        <v>3607</v>
      </c>
      <c r="E1427" t="s">
        <v>3608</v>
      </c>
    </row>
    <row r="1428" spans="1:5" x14ac:dyDescent="0.25">
      <c r="A1428" t="s">
        <v>3562</v>
      </c>
      <c r="B1428" t="s">
        <v>3601</v>
      </c>
      <c r="C1428" t="s">
        <v>563</v>
      </c>
      <c r="D1428" t="s">
        <v>3602</v>
      </c>
      <c r="E1428" t="s">
        <v>3604</v>
      </c>
    </row>
    <row r="1429" spans="1:5" x14ac:dyDescent="0.25">
      <c r="A1429" t="s">
        <v>3562</v>
      </c>
      <c r="B1429" t="s">
        <v>3601</v>
      </c>
      <c r="C1429" t="s">
        <v>2454</v>
      </c>
      <c r="D1429" t="s">
        <v>3606</v>
      </c>
      <c r="E1429" t="s">
        <v>3605</v>
      </c>
    </row>
    <row r="1430" spans="1:5" x14ac:dyDescent="0.25">
      <c r="A1430" t="s">
        <v>3562</v>
      </c>
      <c r="B1430" t="s">
        <v>3601</v>
      </c>
      <c r="C1430" t="s">
        <v>2095</v>
      </c>
      <c r="D1430" t="s">
        <v>3602</v>
      </c>
      <c r="E1430" t="s">
        <v>3605</v>
      </c>
    </row>
    <row r="1431" spans="1:5" x14ac:dyDescent="0.25">
      <c r="A1431" t="s">
        <v>3562</v>
      </c>
      <c r="B1431" t="s">
        <v>3601</v>
      </c>
      <c r="C1431" t="s">
        <v>1601</v>
      </c>
      <c r="D1431" t="s">
        <v>3606</v>
      </c>
      <c r="E1431" t="s">
        <v>3609</v>
      </c>
    </row>
    <row r="1432" spans="1:5" x14ac:dyDescent="0.25">
      <c r="A1432" t="s">
        <v>3562</v>
      </c>
      <c r="B1432" t="s">
        <v>3601</v>
      </c>
      <c r="C1432" t="s">
        <v>2753</v>
      </c>
      <c r="D1432" t="s">
        <v>3602</v>
      </c>
      <c r="E1432" t="s">
        <v>3603</v>
      </c>
    </row>
    <row r="1433" spans="1:5" x14ac:dyDescent="0.25">
      <c r="A1433" t="s">
        <v>3562</v>
      </c>
      <c r="B1433" t="s">
        <v>3601</v>
      </c>
      <c r="C1433" t="s">
        <v>728</v>
      </c>
      <c r="D1433" t="s">
        <v>3602</v>
      </c>
      <c r="E1433" t="s">
        <v>3603</v>
      </c>
    </row>
    <row r="1434" spans="1:5" x14ac:dyDescent="0.25">
      <c r="A1434" t="s">
        <v>3562</v>
      </c>
      <c r="B1434" t="s">
        <v>3601</v>
      </c>
      <c r="C1434" t="s">
        <v>1242</v>
      </c>
      <c r="D1434" t="s">
        <v>3607</v>
      </c>
      <c r="E1434" t="s">
        <v>3608</v>
      </c>
    </row>
    <row r="1435" spans="1:5" x14ac:dyDescent="0.25">
      <c r="A1435" t="s">
        <v>3562</v>
      </c>
      <c r="B1435" t="s">
        <v>3601</v>
      </c>
      <c r="C1435" t="s">
        <v>179</v>
      </c>
      <c r="D1435" t="s">
        <v>3602</v>
      </c>
      <c r="E1435" t="s">
        <v>3609</v>
      </c>
    </row>
    <row r="1436" spans="1:5" x14ac:dyDescent="0.25">
      <c r="A1436" t="s">
        <v>3562</v>
      </c>
      <c r="B1436" t="s">
        <v>3601</v>
      </c>
      <c r="C1436" t="s">
        <v>2512</v>
      </c>
      <c r="D1436" t="s">
        <v>3603</v>
      </c>
      <c r="E1436" t="s">
        <v>3605</v>
      </c>
    </row>
    <row r="1437" spans="1:5" x14ac:dyDescent="0.25">
      <c r="A1437" t="s">
        <v>3562</v>
      </c>
      <c r="B1437" t="s">
        <v>3601</v>
      </c>
      <c r="C1437" t="s">
        <v>1969</v>
      </c>
      <c r="D1437" t="s">
        <v>3602</v>
      </c>
      <c r="E1437" t="s">
        <v>3604</v>
      </c>
    </row>
    <row r="1438" spans="1:5" x14ac:dyDescent="0.25">
      <c r="A1438" t="s">
        <v>3562</v>
      </c>
      <c r="B1438" t="s">
        <v>3601</v>
      </c>
      <c r="C1438" t="s">
        <v>1311</v>
      </c>
      <c r="D1438" t="s">
        <v>3606</v>
      </c>
      <c r="E1438" t="s">
        <v>3603</v>
      </c>
    </row>
    <row r="1439" spans="1:5" x14ac:dyDescent="0.25">
      <c r="A1439" t="s">
        <v>3562</v>
      </c>
      <c r="B1439" t="s">
        <v>3601</v>
      </c>
      <c r="C1439" t="s">
        <v>2281</v>
      </c>
      <c r="D1439" t="s">
        <v>3607</v>
      </c>
      <c r="E1439" t="s">
        <v>3608</v>
      </c>
    </row>
    <row r="1440" spans="1:5" x14ac:dyDescent="0.25">
      <c r="A1440" t="s">
        <v>3562</v>
      </c>
      <c r="B1440" t="s">
        <v>3601</v>
      </c>
      <c r="C1440" t="s">
        <v>496</v>
      </c>
      <c r="D1440" t="s">
        <v>3606</v>
      </c>
      <c r="E1440" t="s">
        <v>3604</v>
      </c>
    </row>
    <row r="1441" spans="1:5" x14ac:dyDescent="0.25">
      <c r="A1441" t="s">
        <v>3562</v>
      </c>
      <c r="B1441" t="s">
        <v>3601</v>
      </c>
      <c r="C1441" t="s">
        <v>1984</v>
      </c>
      <c r="D1441" t="s">
        <v>3602</v>
      </c>
      <c r="E1441" t="s">
        <v>3603</v>
      </c>
    </row>
    <row r="1442" spans="1:5" x14ac:dyDescent="0.25">
      <c r="A1442" t="s">
        <v>3562</v>
      </c>
      <c r="B1442" t="s">
        <v>3601</v>
      </c>
      <c r="C1442" t="s">
        <v>1383</v>
      </c>
      <c r="D1442" t="s">
        <v>3606</v>
      </c>
      <c r="E1442" t="s">
        <v>3609</v>
      </c>
    </row>
    <row r="1443" spans="1:5" x14ac:dyDescent="0.25">
      <c r="A1443" t="s">
        <v>3562</v>
      </c>
      <c r="B1443" t="s">
        <v>3601</v>
      </c>
      <c r="C1443" t="s">
        <v>1892</v>
      </c>
      <c r="D1443" t="s">
        <v>3607</v>
      </c>
      <c r="E1443" t="s">
        <v>3608</v>
      </c>
    </row>
    <row r="1444" spans="1:5" x14ac:dyDescent="0.25">
      <c r="A1444" t="s">
        <v>3562</v>
      </c>
      <c r="B1444" t="s">
        <v>3601</v>
      </c>
      <c r="C1444" t="s">
        <v>1724</v>
      </c>
      <c r="D1444" t="s">
        <v>3603</v>
      </c>
      <c r="E1444" t="s">
        <v>3605</v>
      </c>
    </row>
    <row r="1445" spans="1:5" x14ac:dyDescent="0.25">
      <c r="A1445" t="s">
        <v>3562</v>
      </c>
      <c r="B1445" t="s">
        <v>3601</v>
      </c>
      <c r="C1445" t="s">
        <v>670</v>
      </c>
      <c r="D1445" t="s">
        <v>3602</v>
      </c>
      <c r="E1445" t="s">
        <v>3609</v>
      </c>
    </row>
    <row r="1446" spans="1:5" x14ac:dyDescent="0.25">
      <c r="A1446" t="s">
        <v>3562</v>
      </c>
      <c r="B1446" t="s">
        <v>3601</v>
      </c>
      <c r="C1446" t="s">
        <v>2143</v>
      </c>
      <c r="D1446" t="s">
        <v>3607</v>
      </c>
      <c r="E1446" t="s">
        <v>3608</v>
      </c>
    </row>
    <row r="1447" spans="1:5" x14ac:dyDescent="0.25">
      <c r="A1447" t="s">
        <v>3562</v>
      </c>
      <c r="B1447" t="s">
        <v>3601</v>
      </c>
      <c r="C1447" t="s">
        <v>1128</v>
      </c>
      <c r="D1447" t="s">
        <v>3607</v>
      </c>
      <c r="E1447" t="s">
        <v>3608</v>
      </c>
    </row>
    <row r="1448" spans="1:5" x14ac:dyDescent="0.25">
      <c r="A1448" t="s">
        <v>3562</v>
      </c>
      <c r="B1448" t="s">
        <v>3601</v>
      </c>
      <c r="C1448" t="s">
        <v>1684</v>
      </c>
      <c r="D1448" t="s">
        <v>3606</v>
      </c>
      <c r="E1448" t="s">
        <v>3604</v>
      </c>
    </row>
    <row r="1449" spans="1:5" x14ac:dyDescent="0.25">
      <c r="A1449" t="s">
        <v>3562</v>
      </c>
      <c r="B1449" t="s">
        <v>3601</v>
      </c>
      <c r="C1449" t="s">
        <v>235</v>
      </c>
      <c r="D1449" t="s">
        <v>3602</v>
      </c>
      <c r="E1449" t="s">
        <v>3604</v>
      </c>
    </row>
    <row r="1450" spans="1:5" x14ac:dyDescent="0.25">
      <c r="A1450" t="s">
        <v>3562</v>
      </c>
      <c r="B1450" t="s">
        <v>3601</v>
      </c>
      <c r="C1450" t="s">
        <v>2223</v>
      </c>
      <c r="D1450" t="s">
        <v>3606</v>
      </c>
      <c r="E1450" t="s">
        <v>3603</v>
      </c>
    </row>
    <row r="1451" spans="1:5" x14ac:dyDescent="0.25">
      <c r="A1451" t="s">
        <v>3562</v>
      </c>
      <c r="B1451" t="s">
        <v>3601</v>
      </c>
      <c r="C1451" t="s">
        <v>1857</v>
      </c>
      <c r="D1451" t="s">
        <v>3606</v>
      </c>
      <c r="E1451" t="s">
        <v>3605</v>
      </c>
    </row>
    <row r="1452" spans="1:5" x14ac:dyDescent="0.25">
      <c r="A1452" t="s">
        <v>3562</v>
      </c>
      <c r="B1452" t="s">
        <v>3601</v>
      </c>
      <c r="C1452" t="s">
        <v>2597</v>
      </c>
      <c r="D1452" t="s">
        <v>3607</v>
      </c>
      <c r="E1452" t="s">
        <v>3608</v>
      </c>
    </row>
    <row r="1453" spans="1:5" x14ac:dyDescent="0.25">
      <c r="A1453" t="s">
        <v>3562</v>
      </c>
      <c r="B1453" t="s">
        <v>3601</v>
      </c>
      <c r="C1453" t="s">
        <v>621</v>
      </c>
      <c r="D1453" t="s">
        <v>3602</v>
      </c>
      <c r="E1453" t="s">
        <v>3609</v>
      </c>
    </row>
    <row r="1454" spans="1:5" x14ac:dyDescent="0.25">
      <c r="A1454" t="s">
        <v>3562</v>
      </c>
      <c r="B1454" t="s">
        <v>3601</v>
      </c>
      <c r="C1454" t="s">
        <v>2838</v>
      </c>
      <c r="D1454" t="s">
        <v>3603</v>
      </c>
      <c r="E1454" t="s">
        <v>3609</v>
      </c>
    </row>
    <row r="1455" spans="1:5" x14ac:dyDescent="0.25">
      <c r="A1455" t="s">
        <v>3562</v>
      </c>
      <c r="B1455" t="s">
        <v>3601</v>
      </c>
      <c r="C1455" t="s">
        <v>1232</v>
      </c>
      <c r="D1455" t="s">
        <v>3602</v>
      </c>
      <c r="E1455" t="s">
        <v>3604</v>
      </c>
    </row>
    <row r="1456" spans="1:5" x14ac:dyDescent="0.25">
      <c r="A1456" t="s">
        <v>3562</v>
      </c>
      <c r="B1456" t="s">
        <v>3601</v>
      </c>
      <c r="C1456" t="s">
        <v>922</v>
      </c>
      <c r="D1456" t="s">
        <v>3603</v>
      </c>
      <c r="E1456" t="s">
        <v>3605</v>
      </c>
    </row>
    <row r="1457" spans="1:5" x14ac:dyDescent="0.25">
      <c r="A1457" t="s">
        <v>3562</v>
      </c>
      <c r="B1457" t="s">
        <v>3601</v>
      </c>
      <c r="C1457" t="s">
        <v>778</v>
      </c>
      <c r="D1457" t="s">
        <v>3602</v>
      </c>
      <c r="E1457" t="s">
        <v>3604</v>
      </c>
    </row>
    <row r="1458" spans="1:5" x14ac:dyDescent="0.25">
      <c r="A1458" t="s">
        <v>3562</v>
      </c>
      <c r="B1458" t="s">
        <v>3601</v>
      </c>
      <c r="C1458" t="s">
        <v>636</v>
      </c>
      <c r="D1458" t="s">
        <v>3603</v>
      </c>
      <c r="E1458" t="s">
        <v>3605</v>
      </c>
    </row>
    <row r="1459" spans="1:5" x14ac:dyDescent="0.25">
      <c r="A1459" t="s">
        <v>3562</v>
      </c>
      <c r="B1459" t="s">
        <v>3601</v>
      </c>
      <c r="C1459" t="s">
        <v>2116</v>
      </c>
      <c r="D1459" t="s">
        <v>3602</v>
      </c>
      <c r="E1459" t="s">
        <v>3603</v>
      </c>
    </row>
    <row r="1460" spans="1:5" x14ac:dyDescent="0.25">
      <c r="A1460" t="s">
        <v>3562</v>
      </c>
      <c r="B1460" t="s">
        <v>3601</v>
      </c>
      <c r="C1460" t="s">
        <v>740</v>
      </c>
      <c r="D1460" t="s">
        <v>3603</v>
      </c>
      <c r="E1460" t="s">
        <v>3604</v>
      </c>
    </row>
    <row r="1461" spans="1:5" x14ac:dyDescent="0.25">
      <c r="A1461" t="s">
        <v>3562</v>
      </c>
      <c r="B1461" t="s">
        <v>3601</v>
      </c>
      <c r="C1461" t="s">
        <v>1327</v>
      </c>
      <c r="D1461" t="s">
        <v>3606</v>
      </c>
      <c r="E1461" t="s">
        <v>3603</v>
      </c>
    </row>
    <row r="1462" spans="1:5" x14ac:dyDescent="0.25">
      <c r="A1462" t="s">
        <v>3562</v>
      </c>
      <c r="B1462" t="s">
        <v>3601</v>
      </c>
      <c r="C1462" t="s">
        <v>1449</v>
      </c>
      <c r="D1462" t="s">
        <v>3603</v>
      </c>
      <c r="E1462" t="s">
        <v>3609</v>
      </c>
    </row>
    <row r="1463" spans="1:5" x14ac:dyDescent="0.25">
      <c r="A1463" t="s">
        <v>3562</v>
      </c>
      <c r="B1463" t="s">
        <v>3601</v>
      </c>
      <c r="C1463" t="s">
        <v>1871</v>
      </c>
      <c r="D1463" t="s">
        <v>3603</v>
      </c>
      <c r="E1463" t="s">
        <v>3603</v>
      </c>
    </row>
    <row r="1464" spans="1:5" x14ac:dyDescent="0.25">
      <c r="A1464" t="s">
        <v>3562</v>
      </c>
      <c r="B1464" t="s">
        <v>3601</v>
      </c>
      <c r="C1464" t="s">
        <v>1508</v>
      </c>
      <c r="D1464" t="s">
        <v>3603</v>
      </c>
      <c r="E1464" t="s">
        <v>3604</v>
      </c>
    </row>
    <row r="1465" spans="1:5" x14ac:dyDescent="0.25">
      <c r="A1465" t="s">
        <v>3564</v>
      </c>
      <c r="B1465" t="s">
        <v>3601</v>
      </c>
      <c r="C1465" t="s">
        <v>1503</v>
      </c>
      <c r="D1465" t="s">
        <v>3607</v>
      </c>
      <c r="E1465" t="s">
        <v>3608</v>
      </c>
    </row>
    <row r="1466" spans="1:5" x14ac:dyDescent="0.25">
      <c r="A1466" t="s">
        <v>3564</v>
      </c>
      <c r="B1466" t="s">
        <v>3601</v>
      </c>
      <c r="C1466" t="s">
        <v>2474</v>
      </c>
      <c r="D1466" t="s">
        <v>3607</v>
      </c>
      <c r="E1466" t="s">
        <v>3608</v>
      </c>
    </row>
    <row r="1467" spans="1:5" x14ac:dyDescent="0.25">
      <c r="A1467" t="s">
        <v>3564</v>
      </c>
      <c r="B1467" t="s">
        <v>3601</v>
      </c>
      <c r="C1467" t="s">
        <v>2376</v>
      </c>
      <c r="D1467" t="s">
        <v>3607</v>
      </c>
      <c r="E1467" t="s">
        <v>3608</v>
      </c>
    </row>
    <row r="1468" spans="1:5" x14ac:dyDescent="0.25">
      <c r="A1468" t="s">
        <v>3564</v>
      </c>
      <c r="B1468" t="s">
        <v>3601</v>
      </c>
      <c r="C1468" t="s">
        <v>356</v>
      </c>
      <c r="D1468" t="s">
        <v>3607</v>
      </c>
      <c r="E1468" t="s">
        <v>3608</v>
      </c>
    </row>
    <row r="1469" spans="1:5" x14ac:dyDescent="0.25">
      <c r="A1469" t="s">
        <v>3564</v>
      </c>
      <c r="B1469" t="s">
        <v>3601</v>
      </c>
      <c r="C1469" t="s">
        <v>2404</v>
      </c>
      <c r="D1469" t="s">
        <v>3606</v>
      </c>
      <c r="E1469" t="s">
        <v>3604</v>
      </c>
    </row>
    <row r="1470" spans="1:5" x14ac:dyDescent="0.25">
      <c r="A1470" t="s">
        <v>3564</v>
      </c>
      <c r="B1470" t="s">
        <v>3601</v>
      </c>
      <c r="C1470" t="s">
        <v>281</v>
      </c>
      <c r="D1470" t="s">
        <v>3606</v>
      </c>
      <c r="E1470" t="s">
        <v>3603</v>
      </c>
    </row>
    <row r="1471" spans="1:5" x14ac:dyDescent="0.25">
      <c r="A1471" t="s">
        <v>3564</v>
      </c>
      <c r="B1471" t="s">
        <v>3601</v>
      </c>
      <c r="C1471" t="s">
        <v>2277</v>
      </c>
      <c r="D1471" t="s">
        <v>3606</v>
      </c>
      <c r="E1471" t="s">
        <v>3609</v>
      </c>
    </row>
    <row r="1472" spans="1:5" x14ac:dyDescent="0.25">
      <c r="A1472" t="s">
        <v>3564</v>
      </c>
      <c r="B1472" t="s">
        <v>3601</v>
      </c>
      <c r="C1472" t="s">
        <v>2704</v>
      </c>
      <c r="D1472" t="s">
        <v>3607</v>
      </c>
      <c r="E1472" t="s">
        <v>3608</v>
      </c>
    </row>
    <row r="1473" spans="1:5" x14ac:dyDescent="0.25">
      <c r="A1473" t="s">
        <v>3564</v>
      </c>
      <c r="B1473" t="s">
        <v>3601</v>
      </c>
      <c r="C1473" t="s">
        <v>312</v>
      </c>
      <c r="D1473" t="s">
        <v>3602</v>
      </c>
      <c r="E1473" t="s">
        <v>3603</v>
      </c>
    </row>
    <row r="1474" spans="1:5" x14ac:dyDescent="0.25">
      <c r="A1474" t="s">
        <v>3564</v>
      </c>
      <c r="B1474" t="s">
        <v>3601</v>
      </c>
      <c r="C1474" t="s">
        <v>1508</v>
      </c>
      <c r="D1474" t="s">
        <v>3602</v>
      </c>
      <c r="E1474" t="s">
        <v>3609</v>
      </c>
    </row>
    <row r="1475" spans="1:5" x14ac:dyDescent="0.25">
      <c r="A1475" t="s">
        <v>3564</v>
      </c>
      <c r="B1475" t="s">
        <v>3601</v>
      </c>
      <c r="C1475" t="s">
        <v>1242</v>
      </c>
      <c r="D1475" t="s">
        <v>3603</v>
      </c>
      <c r="E1475" t="s">
        <v>3609</v>
      </c>
    </row>
    <row r="1476" spans="1:5" x14ac:dyDescent="0.25">
      <c r="A1476" t="s">
        <v>3564</v>
      </c>
      <c r="B1476" t="s">
        <v>3601</v>
      </c>
      <c r="C1476" t="s">
        <v>2335</v>
      </c>
      <c r="D1476" t="s">
        <v>3606</v>
      </c>
      <c r="E1476" t="s">
        <v>3605</v>
      </c>
    </row>
    <row r="1477" spans="1:5" x14ac:dyDescent="0.25">
      <c r="A1477" t="s">
        <v>3564</v>
      </c>
      <c r="B1477" t="s">
        <v>3601</v>
      </c>
      <c r="C1477" t="s">
        <v>1689</v>
      </c>
      <c r="D1477" t="s">
        <v>3602</v>
      </c>
      <c r="E1477" t="s">
        <v>3609</v>
      </c>
    </row>
    <row r="1478" spans="1:5" x14ac:dyDescent="0.25">
      <c r="A1478" t="s">
        <v>3564</v>
      </c>
      <c r="B1478" t="s">
        <v>3601</v>
      </c>
      <c r="C1478" t="s">
        <v>858</v>
      </c>
      <c r="D1478" t="s">
        <v>3607</v>
      </c>
      <c r="E1478" t="s">
        <v>3608</v>
      </c>
    </row>
    <row r="1479" spans="1:5" x14ac:dyDescent="0.25">
      <c r="A1479" t="s">
        <v>3564</v>
      </c>
      <c r="B1479" t="s">
        <v>3601</v>
      </c>
      <c r="C1479" t="s">
        <v>1072</v>
      </c>
      <c r="D1479" t="s">
        <v>3606</v>
      </c>
      <c r="E1479" t="s">
        <v>3609</v>
      </c>
    </row>
    <row r="1480" spans="1:5" x14ac:dyDescent="0.25">
      <c r="A1480" t="s">
        <v>3564</v>
      </c>
      <c r="B1480" t="s">
        <v>3601</v>
      </c>
      <c r="C1480" t="s">
        <v>2557</v>
      </c>
      <c r="D1480" t="s">
        <v>3602</v>
      </c>
      <c r="E1480" t="s">
        <v>3605</v>
      </c>
    </row>
    <row r="1481" spans="1:5" x14ac:dyDescent="0.25">
      <c r="A1481" t="s">
        <v>3564</v>
      </c>
      <c r="B1481" t="s">
        <v>3601</v>
      </c>
      <c r="C1481" t="s">
        <v>2428</v>
      </c>
      <c r="D1481" t="s">
        <v>3602</v>
      </c>
      <c r="E1481" t="s">
        <v>3605</v>
      </c>
    </row>
    <row r="1482" spans="1:5" x14ac:dyDescent="0.25">
      <c r="A1482" t="s">
        <v>3564</v>
      </c>
      <c r="B1482" t="s">
        <v>3601</v>
      </c>
      <c r="C1482" t="s">
        <v>2356</v>
      </c>
      <c r="D1482" t="s">
        <v>3607</v>
      </c>
      <c r="E1482" t="s">
        <v>3608</v>
      </c>
    </row>
    <row r="1483" spans="1:5" x14ac:dyDescent="0.25">
      <c r="A1483" t="s">
        <v>3564</v>
      </c>
      <c r="B1483" t="s">
        <v>3601</v>
      </c>
      <c r="C1483" t="s">
        <v>107</v>
      </c>
      <c r="D1483" t="s">
        <v>3606</v>
      </c>
      <c r="E1483" t="s">
        <v>3609</v>
      </c>
    </row>
    <row r="1484" spans="1:5" x14ac:dyDescent="0.25">
      <c r="A1484" t="s">
        <v>3564</v>
      </c>
      <c r="B1484" t="s">
        <v>3601</v>
      </c>
      <c r="C1484" t="s">
        <v>766</v>
      </c>
      <c r="D1484" t="s">
        <v>3606</v>
      </c>
      <c r="E1484" t="s">
        <v>3605</v>
      </c>
    </row>
    <row r="1485" spans="1:5" x14ac:dyDescent="0.25">
      <c r="A1485" t="s">
        <v>3564</v>
      </c>
      <c r="B1485" t="s">
        <v>3601</v>
      </c>
      <c r="C1485" t="s">
        <v>740</v>
      </c>
      <c r="D1485" t="s">
        <v>3603</v>
      </c>
      <c r="E1485" t="s">
        <v>3603</v>
      </c>
    </row>
    <row r="1486" spans="1:5" x14ac:dyDescent="0.25">
      <c r="A1486" t="s">
        <v>3564</v>
      </c>
      <c r="B1486" t="s">
        <v>3601</v>
      </c>
      <c r="C1486" t="s">
        <v>205</v>
      </c>
      <c r="D1486" t="s">
        <v>3606</v>
      </c>
      <c r="E1486" t="s">
        <v>3604</v>
      </c>
    </row>
    <row r="1487" spans="1:5" x14ac:dyDescent="0.25">
      <c r="A1487" t="s">
        <v>3564</v>
      </c>
      <c r="B1487" t="s">
        <v>3601</v>
      </c>
      <c r="C1487" t="s">
        <v>2537</v>
      </c>
      <c r="D1487" t="s">
        <v>3606</v>
      </c>
      <c r="E1487" t="s">
        <v>3604</v>
      </c>
    </row>
    <row r="1488" spans="1:5" x14ac:dyDescent="0.25">
      <c r="A1488" t="s">
        <v>3564</v>
      </c>
      <c r="B1488" t="s">
        <v>3601</v>
      </c>
      <c r="C1488" t="s">
        <v>745</v>
      </c>
      <c r="D1488" t="s">
        <v>3607</v>
      </c>
      <c r="E1488" t="s">
        <v>3608</v>
      </c>
    </row>
    <row r="1489" spans="1:5" x14ac:dyDescent="0.25">
      <c r="A1489" t="s">
        <v>3564</v>
      </c>
      <c r="B1489" t="s">
        <v>3601</v>
      </c>
      <c r="C1489" t="s">
        <v>2768</v>
      </c>
      <c r="D1489" t="s">
        <v>3603</v>
      </c>
      <c r="E1489" t="s">
        <v>3604</v>
      </c>
    </row>
    <row r="1490" spans="1:5" x14ac:dyDescent="0.25">
      <c r="A1490" t="s">
        <v>3564</v>
      </c>
      <c r="B1490" t="s">
        <v>3601</v>
      </c>
      <c r="C1490" t="s">
        <v>2803</v>
      </c>
      <c r="D1490" t="s">
        <v>3602</v>
      </c>
      <c r="E1490" t="s">
        <v>3604</v>
      </c>
    </row>
    <row r="1491" spans="1:5" x14ac:dyDescent="0.25">
      <c r="A1491" t="s">
        <v>3564</v>
      </c>
      <c r="B1491" t="s">
        <v>3601</v>
      </c>
      <c r="C1491" t="s">
        <v>2494</v>
      </c>
      <c r="D1491" t="s">
        <v>3603</v>
      </c>
      <c r="E1491" t="s">
        <v>3609</v>
      </c>
    </row>
    <row r="1492" spans="1:5" x14ac:dyDescent="0.25">
      <c r="A1492" t="s">
        <v>3564</v>
      </c>
      <c r="B1492" t="s">
        <v>3601</v>
      </c>
      <c r="C1492" t="s">
        <v>2002</v>
      </c>
      <c r="D1492" t="s">
        <v>3602</v>
      </c>
      <c r="E1492" t="s">
        <v>3609</v>
      </c>
    </row>
    <row r="1493" spans="1:5" x14ac:dyDescent="0.25">
      <c r="A1493" t="s">
        <v>3564</v>
      </c>
      <c r="B1493" t="s">
        <v>3601</v>
      </c>
      <c r="C1493" t="s">
        <v>2345</v>
      </c>
      <c r="D1493" t="s">
        <v>3603</v>
      </c>
      <c r="E1493" t="s">
        <v>3605</v>
      </c>
    </row>
    <row r="1494" spans="1:5" x14ac:dyDescent="0.25">
      <c r="A1494" t="s">
        <v>3564</v>
      </c>
      <c r="B1494" t="s">
        <v>3601</v>
      </c>
      <c r="C1494" t="s">
        <v>65</v>
      </c>
      <c r="D1494" t="s">
        <v>3606</v>
      </c>
      <c r="E1494" t="s">
        <v>3604</v>
      </c>
    </row>
    <row r="1495" spans="1:5" x14ac:dyDescent="0.25">
      <c r="A1495" t="s">
        <v>3564</v>
      </c>
      <c r="B1495" t="s">
        <v>3601</v>
      </c>
      <c r="C1495" t="s">
        <v>2793</v>
      </c>
      <c r="D1495" t="s">
        <v>3602</v>
      </c>
      <c r="E1495" t="s">
        <v>3603</v>
      </c>
    </row>
    <row r="1496" spans="1:5" x14ac:dyDescent="0.25">
      <c r="A1496" t="s">
        <v>3564</v>
      </c>
      <c r="B1496" t="s">
        <v>3601</v>
      </c>
      <c r="C1496" t="s">
        <v>372</v>
      </c>
      <c r="D1496" t="s">
        <v>3603</v>
      </c>
      <c r="E1496" t="s">
        <v>3609</v>
      </c>
    </row>
    <row r="1497" spans="1:5" x14ac:dyDescent="0.25">
      <c r="A1497" t="s">
        <v>3564</v>
      </c>
      <c r="B1497" t="s">
        <v>3601</v>
      </c>
      <c r="C1497" t="s">
        <v>1299</v>
      </c>
      <c r="D1497" t="s">
        <v>3607</v>
      </c>
      <c r="E1497" t="s">
        <v>3608</v>
      </c>
    </row>
    <row r="1498" spans="1:5" x14ac:dyDescent="0.25">
      <c r="A1498" t="s">
        <v>3564</v>
      </c>
      <c r="B1498" t="s">
        <v>3601</v>
      </c>
      <c r="C1498" t="s">
        <v>941</v>
      </c>
      <c r="D1498" t="s">
        <v>3602</v>
      </c>
      <c r="E1498" t="s">
        <v>3609</v>
      </c>
    </row>
    <row r="1499" spans="1:5" x14ac:dyDescent="0.25">
      <c r="A1499" t="s">
        <v>3564</v>
      </c>
      <c r="B1499" t="s">
        <v>3601</v>
      </c>
      <c r="C1499" t="s">
        <v>2272</v>
      </c>
      <c r="D1499" t="s">
        <v>3602</v>
      </c>
      <c r="E1499" t="s">
        <v>3604</v>
      </c>
    </row>
    <row r="1500" spans="1:5" x14ac:dyDescent="0.25">
      <c r="A1500" t="s">
        <v>3564</v>
      </c>
      <c r="B1500" t="s">
        <v>3601</v>
      </c>
      <c r="C1500" t="s">
        <v>2583</v>
      </c>
      <c r="D1500" t="s">
        <v>3602</v>
      </c>
      <c r="E1500" t="s">
        <v>3609</v>
      </c>
    </row>
    <row r="1501" spans="1:5" x14ac:dyDescent="0.25">
      <c r="A1501" t="s">
        <v>3564</v>
      </c>
      <c r="B1501" t="s">
        <v>3601</v>
      </c>
      <c r="C1501" t="s">
        <v>169</v>
      </c>
      <c r="D1501" t="s">
        <v>3606</v>
      </c>
      <c r="E1501" t="s">
        <v>3605</v>
      </c>
    </row>
    <row r="1502" spans="1:5" x14ac:dyDescent="0.25">
      <c r="A1502" t="s">
        <v>3564</v>
      </c>
      <c r="B1502" t="s">
        <v>3601</v>
      </c>
      <c r="C1502" t="s">
        <v>2110</v>
      </c>
      <c r="D1502" t="s">
        <v>3607</v>
      </c>
      <c r="E1502" t="s">
        <v>3608</v>
      </c>
    </row>
    <row r="1503" spans="1:5" x14ac:dyDescent="0.25">
      <c r="A1503" t="s">
        <v>3564</v>
      </c>
      <c r="B1503" t="s">
        <v>3601</v>
      </c>
      <c r="C1503" t="s">
        <v>2823</v>
      </c>
      <c r="D1503" t="s">
        <v>3607</v>
      </c>
      <c r="E1503" t="s">
        <v>3608</v>
      </c>
    </row>
    <row r="1504" spans="1:5" x14ac:dyDescent="0.25">
      <c r="A1504" t="s">
        <v>3564</v>
      </c>
      <c r="B1504" t="s">
        <v>3601</v>
      </c>
      <c r="C1504" t="s">
        <v>607</v>
      </c>
      <c r="D1504" t="s">
        <v>3603</v>
      </c>
      <c r="E1504" t="s">
        <v>3605</v>
      </c>
    </row>
    <row r="1505" spans="1:5" x14ac:dyDescent="0.25">
      <c r="A1505" t="s">
        <v>3564</v>
      </c>
      <c r="B1505" t="s">
        <v>3601</v>
      </c>
      <c r="C1505" t="s">
        <v>1002</v>
      </c>
      <c r="D1505" t="s">
        <v>3607</v>
      </c>
      <c r="E1505" t="s">
        <v>3608</v>
      </c>
    </row>
    <row r="1506" spans="1:5" x14ac:dyDescent="0.25">
      <c r="A1506" t="s">
        <v>3564</v>
      </c>
      <c r="B1506" t="s">
        <v>3601</v>
      </c>
      <c r="C1506" t="s">
        <v>657</v>
      </c>
      <c r="D1506" t="s">
        <v>3602</v>
      </c>
      <c r="E1506" t="s">
        <v>3604</v>
      </c>
    </row>
    <row r="1507" spans="1:5" x14ac:dyDescent="0.25">
      <c r="A1507" t="s">
        <v>3564</v>
      </c>
      <c r="B1507" t="s">
        <v>3601</v>
      </c>
      <c r="C1507" t="s">
        <v>2178</v>
      </c>
      <c r="D1507" t="s">
        <v>3602</v>
      </c>
      <c r="E1507" t="s">
        <v>3604</v>
      </c>
    </row>
    <row r="1508" spans="1:5" x14ac:dyDescent="0.25">
      <c r="A1508" t="s">
        <v>3564</v>
      </c>
      <c r="B1508" t="s">
        <v>3601</v>
      </c>
      <c r="C1508" t="s">
        <v>1963</v>
      </c>
      <c r="D1508" t="s">
        <v>3607</v>
      </c>
      <c r="E1508" t="s">
        <v>3608</v>
      </c>
    </row>
    <row r="1509" spans="1:5" x14ac:dyDescent="0.25">
      <c r="A1509" t="s">
        <v>3564</v>
      </c>
      <c r="B1509" t="s">
        <v>3601</v>
      </c>
      <c r="C1509" t="s">
        <v>960</v>
      </c>
      <c r="D1509" t="s">
        <v>3602</v>
      </c>
      <c r="E1509" t="s">
        <v>3604</v>
      </c>
    </row>
    <row r="1510" spans="1:5" x14ac:dyDescent="0.25">
      <c r="A1510" t="s">
        <v>3564</v>
      </c>
      <c r="B1510" t="s">
        <v>3601</v>
      </c>
      <c r="C1510" t="s">
        <v>1974</v>
      </c>
      <c r="D1510" t="s">
        <v>3603</v>
      </c>
      <c r="E1510" t="s">
        <v>3604</v>
      </c>
    </row>
    <row r="1511" spans="1:5" x14ac:dyDescent="0.25">
      <c r="A1511" t="s">
        <v>3564</v>
      </c>
      <c r="B1511" t="s">
        <v>3601</v>
      </c>
      <c r="C1511" t="s">
        <v>2132</v>
      </c>
      <c r="D1511" t="s">
        <v>3607</v>
      </c>
      <c r="E1511" t="s">
        <v>3608</v>
      </c>
    </row>
    <row r="1512" spans="1:5" x14ac:dyDescent="0.25">
      <c r="A1512" t="s">
        <v>3564</v>
      </c>
      <c r="B1512" t="s">
        <v>3601</v>
      </c>
      <c r="C1512" t="s">
        <v>1857</v>
      </c>
      <c r="D1512" t="s">
        <v>3607</v>
      </c>
      <c r="E1512" t="s">
        <v>3608</v>
      </c>
    </row>
    <row r="1513" spans="1:5" x14ac:dyDescent="0.25">
      <c r="A1513" t="s">
        <v>3564</v>
      </c>
      <c r="B1513" t="s">
        <v>3601</v>
      </c>
      <c r="C1513" t="s">
        <v>2753</v>
      </c>
      <c r="D1513" t="s">
        <v>3602</v>
      </c>
      <c r="E1513" t="s">
        <v>3609</v>
      </c>
    </row>
    <row r="1514" spans="1:5" x14ac:dyDescent="0.25">
      <c r="A1514" t="s">
        <v>3564</v>
      </c>
      <c r="B1514" t="s">
        <v>3601</v>
      </c>
      <c r="C1514" t="s">
        <v>2808</v>
      </c>
      <c r="D1514" t="s">
        <v>3602</v>
      </c>
      <c r="E1514" t="s">
        <v>3609</v>
      </c>
    </row>
    <row r="1515" spans="1:5" x14ac:dyDescent="0.25">
      <c r="A1515" t="s">
        <v>3564</v>
      </c>
      <c r="B1515" t="s">
        <v>3601</v>
      </c>
      <c r="C1515" t="s">
        <v>2679</v>
      </c>
      <c r="D1515" t="s">
        <v>3603</v>
      </c>
      <c r="E1515" t="s">
        <v>3603</v>
      </c>
    </row>
    <row r="1516" spans="1:5" x14ac:dyDescent="0.25">
      <c r="A1516" t="s">
        <v>3564</v>
      </c>
      <c r="B1516" t="s">
        <v>3601</v>
      </c>
      <c r="C1516" t="s">
        <v>2193</v>
      </c>
      <c r="D1516" t="s">
        <v>3602</v>
      </c>
      <c r="E1516" t="s">
        <v>3604</v>
      </c>
    </row>
    <row r="1517" spans="1:5" x14ac:dyDescent="0.25">
      <c r="A1517" t="s">
        <v>3564</v>
      </c>
      <c r="B1517" t="s">
        <v>3601</v>
      </c>
      <c r="C1517" t="s">
        <v>1418</v>
      </c>
      <c r="D1517" t="s">
        <v>3602</v>
      </c>
      <c r="E1517" t="s">
        <v>3605</v>
      </c>
    </row>
    <row r="1518" spans="1:5" x14ac:dyDescent="0.25">
      <c r="A1518" t="s">
        <v>3564</v>
      </c>
      <c r="B1518" t="s">
        <v>3601</v>
      </c>
      <c r="C1518" t="s">
        <v>2644</v>
      </c>
      <c r="D1518" t="s">
        <v>3602</v>
      </c>
      <c r="E1518" t="s">
        <v>3604</v>
      </c>
    </row>
    <row r="1519" spans="1:5" x14ac:dyDescent="0.25">
      <c r="A1519" t="s">
        <v>3564</v>
      </c>
      <c r="B1519" t="s">
        <v>3601</v>
      </c>
      <c r="C1519" t="s">
        <v>571</v>
      </c>
      <c r="D1519" t="s">
        <v>3607</v>
      </c>
      <c r="E1519" t="s">
        <v>3608</v>
      </c>
    </row>
    <row r="1520" spans="1:5" x14ac:dyDescent="0.25">
      <c r="A1520" t="s">
        <v>3564</v>
      </c>
      <c r="B1520" t="s">
        <v>3601</v>
      </c>
      <c r="C1520" t="s">
        <v>1880</v>
      </c>
      <c r="D1520" t="s">
        <v>3602</v>
      </c>
      <c r="E1520" t="s">
        <v>3604</v>
      </c>
    </row>
    <row r="1521" spans="1:5" x14ac:dyDescent="0.25">
      <c r="A1521" t="s">
        <v>3564</v>
      </c>
      <c r="B1521" t="s">
        <v>3601</v>
      </c>
      <c r="C1521" t="s">
        <v>2080</v>
      </c>
      <c r="D1521" t="s">
        <v>3602</v>
      </c>
      <c r="E1521" t="s">
        <v>3605</v>
      </c>
    </row>
    <row r="1522" spans="1:5" x14ac:dyDescent="0.25">
      <c r="A1522" t="s">
        <v>3564</v>
      </c>
      <c r="B1522" t="s">
        <v>3601</v>
      </c>
      <c r="C1522" t="s">
        <v>717</v>
      </c>
      <c r="D1522" t="s">
        <v>3606</v>
      </c>
      <c r="E1522" t="s">
        <v>3605</v>
      </c>
    </row>
    <row r="1523" spans="1:5" x14ac:dyDescent="0.25">
      <c r="A1523" t="s">
        <v>3564</v>
      </c>
      <c r="B1523" t="s">
        <v>3601</v>
      </c>
      <c r="C1523" t="s">
        <v>363</v>
      </c>
      <c r="D1523" t="s">
        <v>3602</v>
      </c>
      <c r="E1523" t="s">
        <v>3603</v>
      </c>
    </row>
    <row r="1524" spans="1:5" x14ac:dyDescent="0.25">
      <c r="A1524" t="s">
        <v>3564</v>
      </c>
      <c r="B1524" t="s">
        <v>3601</v>
      </c>
      <c r="C1524" t="s">
        <v>2267</v>
      </c>
      <c r="D1524" t="s">
        <v>3606</v>
      </c>
      <c r="E1524" t="s">
        <v>3609</v>
      </c>
    </row>
    <row r="1525" spans="1:5" x14ac:dyDescent="0.25">
      <c r="A1525" t="s">
        <v>3564</v>
      </c>
      <c r="B1525" t="s">
        <v>3601</v>
      </c>
      <c r="C1525" t="s">
        <v>1321</v>
      </c>
      <c r="D1525" t="s">
        <v>3603</v>
      </c>
      <c r="E1525" t="s">
        <v>3605</v>
      </c>
    </row>
    <row r="1526" spans="1:5" x14ac:dyDescent="0.25">
      <c r="A1526" t="s">
        <v>3564</v>
      </c>
      <c r="B1526" t="s">
        <v>3601</v>
      </c>
      <c r="C1526" t="s">
        <v>2047</v>
      </c>
      <c r="D1526" t="s">
        <v>3602</v>
      </c>
      <c r="E1526" t="s">
        <v>3605</v>
      </c>
    </row>
    <row r="1527" spans="1:5" x14ac:dyDescent="0.25">
      <c r="A1527" t="s">
        <v>3564</v>
      </c>
      <c r="B1527" t="s">
        <v>3601</v>
      </c>
      <c r="C1527" t="s">
        <v>1927</v>
      </c>
      <c r="D1527" t="s">
        <v>3607</v>
      </c>
      <c r="E1527" t="s">
        <v>3608</v>
      </c>
    </row>
    <row r="1528" spans="1:5" x14ac:dyDescent="0.25">
      <c r="A1528" t="s">
        <v>3564</v>
      </c>
      <c r="B1528" t="s">
        <v>3601</v>
      </c>
      <c r="C1528" t="s">
        <v>220</v>
      </c>
      <c r="D1528" t="s">
        <v>3607</v>
      </c>
      <c r="E1528" t="s">
        <v>3608</v>
      </c>
    </row>
    <row r="1529" spans="1:5" x14ac:dyDescent="0.25">
      <c r="A1529" t="s">
        <v>3564</v>
      </c>
      <c r="B1529" t="s">
        <v>3601</v>
      </c>
      <c r="C1529" t="s">
        <v>1580</v>
      </c>
      <c r="D1529" t="s">
        <v>3603</v>
      </c>
      <c r="E1529" t="s">
        <v>3603</v>
      </c>
    </row>
    <row r="1530" spans="1:5" x14ac:dyDescent="0.25">
      <c r="A1530" t="s">
        <v>3564</v>
      </c>
      <c r="B1530" t="s">
        <v>3601</v>
      </c>
      <c r="C1530" t="s">
        <v>151</v>
      </c>
      <c r="D1530" t="s">
        <v>3606</v>
      </c>
      <c r="E1530" t="s">
        <v>3609</v>
      </c>
    </row>
    <row r="1531" spans="1:5" x14ac:dyDescent="0.25">
      <c r="A1531" t="s">
        <v>3564</v>
      </c>
      <c r="B1531" t="s">
        <v>3601</v>
      </c>
      <c r="C1531" t="s">
        <v>2243</v>
      </c>
      <c r="D1531" t="s">
        <v>3607</v>
      </c>
      <c r="E1531" t="s">
        <v>3608</v>
      </c>
    </row>
    <row r="1532" spans="1:5" x14ac:dyDescent="0.25">
      <c r="A1532" t="s">
        <v>3564</v>
      </c>
      <c r="B1532" t="s">
        <v>3601</v>
      </c>
      <c r="C1532" t="s">
        <v>1271</v>
      </c>
      <c r="D1532" t="s">
        <v>3607</v>
      </c>
      <c r="E1532" t="s">
        <v>3608</v>
      </c>
    </row>
    <row r="1533" spans="1:5" x14ac:dyDescent="0.25">
      <c r="A1533" t="s">
        <v>3564</v>
      </c>
      <c r="B1533" t="s">
        <v>3601</v>
      </c>
      <c r="C1533" t="s">
        <v>2602</v>
      </c>
      <c r="D1533" t="s">
        <v>3603</v>
      </c>
      <c r="E1533" t="s">
        <v>3604</v>
      </c>
    </row>
    <row r="1534" spans="1:5" x14ac:dyDescent="0.25">
      <c r="A1534" t="s">
        <v>3564</v>
      </c>
      <c r="B1534" t="s">
        <v>3601</v>
      </c>
      <c r="C1534" t="s">
        <v>275</v>
      </c>
      <c r="D1534" t="s">
        <v>3603</v>
      </c>
      <c r="E1534" t="s">
        <v>3605</v>
      </c>
    </row>
    <row r="1535" spans="1:5" x14ac:dyDescent="0.25">
      <c r="A1535" t="s">
        <v>3564</v>
      </c>
      <c r="B1535" t="s">
        <v>3601</v>
      </c>
      <c r="C1535" t="s">
        <v>1630</v>
      </c>
      <c r="D1535" t="s">
        <v>3606</v>
      </c>
      <c r="E1535" t="s">
        <v>3605</v>
      </c>
    </row>
    <row r="1536" spans="1:5" x14ac:dyDescent="0.25">
      <c r="A1536" t="s">
        <v>3564</v>
      </c>
      <c r="B1536" t="s">
        <v>3601</v>
      </c>
      <c r="C1536" t="s">
        <v>1194</v>
      </c>
      <c r="D1536" t="s">
        <v>3607</v>
      </c>
      <c r="E1536" t="s">
        <v>3608</v>
      </c>
    </row>
    <row r="1537" spans="1:5" x14ac:dyDescent="0.25">
      <c r="A1537" t="s">
        <v>3564</v>
      </c>
      <c r="B1537" t="s">
        <v>3601</v>
      </c>
      <c r="C1537" t="s">
        <v>883</v>
      </c>
      <c r="D1537" t="s">
        <v>3606</v>
      </c>
      <c r="E1537" t="s">
        <v>3605</v>
      </c>
    </row>
    <row r="1538" spans="1:5" x14ac:dyDescent="0.25">
      <c r="A1538" t="s">
        <v>3564</v>
      </c>
      <c r="B1538" t="s">
        <v>3601</v>
      </c>
      <c r="C1538" t="s">
        <v>1077</v>
      </c>
      <c r="D1538" t="s">
        <v>3602</v>
      </c>
      <c r="E1538" t="s">
        <v>3605</v>
      </c>
    </row>
    <row r="1539" spans="1:5" x14ac:dyDescent="0.25">
      <c r="A1539" t="s">
        <v>3564</v>
      </c>
      <c r="B1539" t="s">
        <v>3601</v>
      </c>
      <c r="C1539" t="s">
        <v>1288</v>
      </c>
      <c r="D1539" t="s">
        <v>3603</v>
      </c>
      <c r="E1539" t="s">
        <v>3604</v>
      </c>
    </row>
    <row r="1540" spans="1:5" x14ac:dyDescent="0.25">
      <c r="A1540" t="s">
        <v>3564</v>
      </c>
      <c r="B1540" t="s">
        <v>3601</v>
      </c>
      <c r="C1540" t="s">
        <v>1990</v>
      </c>
      <c r="D1540" t="s">
        <v>3607</v>
      </c>
      <c r="E1540" t="s">
        <v>3608</v>
      </c>
    </row>
    <row r="1541" spans="1:5" x14ac:dyDescent="0.25">
      <c r="A1541" t="s">
        <v>3564</v>
      </c>
      <c r="B1541" t="s">
        <v>3601</v>
      </c>
      <c r="C1541" t="s">
        <v>733</v>
      </c>
      <c r="D1541" t="s">
        <v>3602</v>
      </c>
      <c r="E1541" t="s">
        <v>3609</v>
      </c>
    </row>
    <row r="1542" spans="1:5" x14ac:dyDescent="0.25">
      <c r="A1542" t="s">
        <v>3564</v>
      </c>
      <c r="B1542" t="s">
        <v>3601</v>
      </c>
      <c r="C1542" t="s">
        <v>1953</v>
      </c>
      <c r="D1542" t="s">
        <v>3603</v>
      </c>
      <c r="E1542" t="s">
        <v>3603</v>
      </c>
    </row>
    <row r="1543" spans="1:5" x14ac:dyDescent="0.25">
      <c r="A1543" t="s">
        <v>3564</v>
      </c>
      <c r="B1543" t="s">
        <v>3601</v>
      </c>
      <c r="C1543" t="s">
        <v>1204</v>
      </c>
      <c r="D1543" t="s">
        <v>3603</v>
      </c>
      <c r="E1543" t="s">
        <v>3603</v>
      </c>
    </row>
    <row r="1544" spans="1:5" x14ac:dyDescent="0.25">
      <c r="A1544" t="s">
        <v>3564</v>
      </c>
      <c r="B1544" t="s">
        <v>3601</v>
      </c>
      <c r="C1544" t="s">
        <v>186</v>
      </c>
      <c r="D1544" t="s">
        <v>3606</v>
      </c>
      <c r="E1544" t="s">
        <v>3603</v>
      </c>
    </row>
    <row r="1545" spans="1:5" x14ac:dyDescent="0.25">
      <c r="A1545" t="s">
        <v>3564</v>
      </c>
      <c r="B1545" t="s">
        <v>3601</v>
      </c>
      <c r="C1545" t="s">
        <v>935</v>
      </c>
      <c r="D1545" t="s">
        <v>3602</v>
      </c>
      <c r="E1545" t="s">
        <v>3603</v>
      </c>
    </row>
    <row r="1546" spans="1:5" x14ac:dyDescent="0.25">
      <c r="A1546" t="s">
        <v>3564</v>
      </c>
      <c r="B1546" t="s">
        <v>3610</v>
      </c>
      <c r="C1546" t="s">
        <v>2918</v>
      </c>
      <c r="D1546" t="s">
        <v>3606</v>
      </c>
      <c r="E1546" t="s">
        <v>3608</v>
      </c>
    </row>
    <row r="1547" spans="1:5" x14ac:dyDescent="0.25">
      <c r="A1547" t="s">
        <v>3567</v>
      </c>
      <c r="B1547" t="s">
        <v>3601</v>
      </c>
      <c r="C1547" t="s">
        <v>809</v>
      </c>
      <c r="D1547" t="s">
        <v>3602</v>
      </c>
      <c r="E1547" t="s">
        <v>3605</v>
      </c>
    </row>
    <row r="1548" spans="1:5" x14ac:dyDescent="0.25">
      <c r="A1548" t="s">
        <v>3567</v>
      </c>
      <c r="B1548" t="s">
        <v>3601</v>
      </c>
      <c r="C1548" t="s">
        <v>2203</v>
      </c>
      <c r="D1548" t="s">
        <v>3606</v>
      </c>
      <c r="E1548" t="s">
        <v>3609</v>
      </c>
    </row>
    <row r="1549" spans="1:5" x14ac:dyDescent="0.25">
      <c r="A1549" t="s">
        <v>3567</v>
      </c>
      <c r="B1549" t="s">
        <v>3601</v>
      </c>
      <c r="C1549" t="s">
        <v>997</v>
      </c>
      <c r="D1549" t="s">
        <v>3603</v>
      </c>
      <c r="E1549" t="s">
        <v>3603</v>
      </c>
    </row>
    <row r="1550" spans="1:5" x14ac:dyDescent="0.25">
      <c r="A1550" t="s">
        <v>3567</v>
      </c>
      <c r="B1550" t="s">
        <v>3601</v>
      </c>
      <c r="C1550" t="s">
        <v>2613</v>
      </c>
      <c r="D1550" t="s">
        <v>3602</v>
      </c>
      <c r="E1550" t="s">
        <v>3604</v>
      </c>
    </row>
    <row r="1551" spans="1:5" x14ac:dyDescent="0.25">
      <c r="A1551" t="s">
        <v>3567</v>
      </c>
      <c r="B1551" t="s">
        <v>3601</v>
      </c>
      <c r="C1551" t="s">
        <v>1095</v>
      </c>
      <c r="D1551" t="s">
        <v>3607</v>
      </c>
      <c r="E1551" t="s">
        <v>3608</v>
      </c>
    </row>
    <row r="1552" spans="1:5" x14ac:dyDescent="0.25">
      <c r="A1552" t="s">
        <v>3567</v>
      </c>
      <c r="B1552" t="s">
        <v>3601</v>
      </c>
      <c r="C1552" t="s">
        <v>2501</v>
      </c>
      <c r="D1552" t="s">
        <v>3602</v>
      </c>
      <c r="E1552" t="s">
        <v>3604</v>
      </c>
    </row>
    <row r="1553" spans="1:5" x14ac:dyDescent="0.25">
      <c r="A1553" t="s">
        <v>3567</v>
      </c>
      <c r="B1553" t="s">
        <v>3601</v>
      </c>
      <c r="C1553" t="s">
        <v>1399</v>
      </c>
      <c r="D1553" t="s">
        <v>3606</v>
      </c>
      <c r="E1553" t="s">
        <v>3609</v>
      </c>
    </row>
    <row r="1554" spans="1:5" x14ac:dyDescent="0.25">
      <c r="A1554" t="s">
        <v>3567</v>
      </c>
      <c r="B1554" t="s">
        <v>3601</v>
      </c>
      <c r="C1554" t="s">
        <v>1565</v>
      </c>
      <c r="D1554" t="s">
        <v>3606</v>
      </c>
      <c r="E1554" t="s">
        <v>3605</v>
      </c>
    </row>
    <row r="1555" spans="1:5" x14ac:dyDescent="0.25">
      <c r="A1555" t="s">
        <v>3567</v>
      </c>
      <c r="B1555" t="s">
        <v>3601</v>
      </c>
      <c r="C1555" t="s">
        <v>2638</v>
      </c>
      <c r="D1555" t="s">
        <v>3602</v>
      </c>
      <c r="E1555" t="s">
        <v>3603</v>
      </c>
    </row>
    <row r="1556" spans="1:5" x14ac:dyDescent="0.25">
      <c r="A1556" t="s">
        <v>3567</v>
      </c>
      <c r="B1556" t="s">
        <v>3601</v>
      </c>
      <c r="C1556" t="s">
        <v>621</v>
      </c>
      <c r="D1556" t="s">
        <v>3603</v>
      </c>
      <c r="E1556" t="s">
        <v>3603</v>
      </c>
    </row>
    <row r="1557" spans="1:5" x14ac:dyDescent="0.25">
      <c r="A1557" t="s">
        <v>3567</v>
      </c>
      <c r="B1557" t="s">
        <v>3601</v>
      </c>
      <c r="C1557" t="s">
        <v>2608</v>
      </c>
      <c r="D1557" t="s">
        <v>3607</v>
      </c>
      <c r="E1557" t="s">
        <v>3608</v>
      </c>
    </row>
    <row r="1558" spans="1:5" x14ac:dyDescent="0.25">
      <c r="A1558" t="s">
        <v>3567</v>
      </c>
      <c r="B1558" t="s">
        <v>3601</v>
      </c>
      <c r="C1558" t="s">
        <v>2592</v>
      </c>
      <c r="D1558" t="s">
        <v>3606</v>
      </c>
      <c r="E1558" t="s">
        <v>3605</v>
      </c>
    </row>
    <row r="1559" spans="1:5" x14ac:dyDescent="0.25">
      <c r="A1559" t="s">
        <v>3567</v>
      </c>
      <c r="B1559" t="s">
        <v>3601</v>
      </c>
      <c r="C1559" t="s">
        <v>1846</v>
      </c>
      <c r="D1559" t="s">
        <v>3602</v>
      </c>
      <c r="E1559" t="s">
        <v>3604</v>
      </c>
    </row>
    <row r="1560" spans="1:5" x14ac:dyDescent="0.25">
      <c r="A1560" t="s">
        <v>3567</v>
      </c>
      <c r="B1560" t="s">
        <v>3601</v>
      </c>
      <c r="C1560" t="s">
        <v>1468</v>
      </c>
      <c r="D1560" t="s">
        <v>3606</v>
      </c>
      <c r="E1560" t="s">
        <v>3609</v>
      </c>
    </row>
    <row r="1561" spans="1:5" x14ac:dyDescent="0.25">
      <c r="A1561" t="s">
        <v>3567</v>
      </c>
      <c r="B1561" t="s">
        <v>3601</v>
      </c>
      <c r="C1561" t="s">
        <v>965</v>
      </c>
      <c r="D1561" t="s">
        <v>3602</v>
      </c>
      <c r="E1561" t="s">
        <v>3609</v>
      </c>
    </row>
    <row r="1562" spans="1:5" x14ac:dyDescent="0.25">
      <c r="A1562" t="s">
        <v>3567</v>
      </c>
      <c r="B1562" t="s">
        <v>3601</v>
      </c>
      <c r="C1562" t="s">
        <v>733</v>
      </c>
      <c r="D1562" t="s">
        <v>3603</v>
      </c>
      <c r="E1562" t="s">
        <v>3604</v>
      </c>
    </row>
    <row r="1563" spans="1:5" x14ac:dyDescent="0.25">
      <c r="A1563" t="s">
        <v>3567</v>
      </c>
      <c r="B1563" t="s">
        <v>3601</v>
      </c>
      <c r="C1563" t="s">
        <v>771</v>
      </c>
      <c r="D1563" t="s">
        <v>3607</v>
      </c>
      <c r="E1563" t="s">
        <v>3608</v>
      </c>
    </row>
    <row r="1564" spans="1:5" x14ac:dyDescent="0.25">
      <c r="A1564" t="s">
        <v>3567</v>
      </c>
      <c r="B1564" t="s">
        <v>3601</v>
      </c>
      <c r="C1564" t="s">
        <v>1347</v>
      </c>
      <c r="D1564" t="s">
        <v>3607</v>
      </c>
      <c r="E1564" t="s">
        <v>3608</v>
      </c>
    </row>
    <row r="1565" spans="1:5" x14ac:dyDescent="0.25">
      <c r="A1565" t="s">
        <v>3567</v>
      </c>
      <c r="B1565" t="s">
        <v>3601</v>
      </c>
      <c r="C1565" t="s">
        <v>1072</v>
      </c>
      <c r="D1565" t="s">
        <v>3602</v>
      </c>
      <c r="E1565" t="s">
        <v>3605</v>
      </c>
    </row>
    <row r="1566" spans="1:5" x14ac:dyDescent="0.25">
      <c r="A1566" t="s">
        <v>3567</v>
      </c>
      <c r="B1566" t="s">
        <v>3601</v>
      </c>
      <c r="C1566" t="s">
        <v>684</v>
      </c>
      <c r="D1566" t="s">
        <v>3606</v>
      </c>
      <c r="E1566" t="s">
        <v>3603</v>
      </c>
    </row>
    <row r="1567" spans="1:5" x14ac:dyDescent="0.25">
      <c r="A1567" t="s">
        <v>3567</v>
      </c>
      <c r="B1567" t="s">
        <v>3601</v>
      </c>
      <c r="C1567" t="s">
        <v>516</v>
      </c>
      <c r="D1567" t="s">
        <v>3603</v>
      </c>
      <c r="E1567" t="s">
        <v>3603</v>
      </c>
    </row>
    <row r="1568" spans="1:5" x14ac:dyDescent="0.25">
      <c r="A1568" t="s">
        <v>3567</v>
      </c>
      <c r="B1568" t="s">
        <v>3601</v>
      </c>
      <c r="C1568" t="s">
        <v>1404</v>
      </c>
      <c r="D1568" t="s">
        <v>3607</v>
      </c>
      <c r="E1568" t="s">
        <v>3608</v>
      </c>
    </row>
    <row r="1569" spans="1:5" x14ac:dyDescent="0.25">
      <c r="A1569" t="s">
        <v>3567</v>
      </c>
      <c r="B1569" t="s">
        <v>3601</v>
      </c>
      <c r="C1569" t="s">
        <v>1327</v>
      </c>
      <c r="D1569" t="s">
        <v>3602</v>
      </c>
      <c r="E1569" t="s">
        <v>3604</v>
      </c>
    </row>
    <row r="1570" spans="1:5" x14ac:dyDescent="0.25">
      <c r="A1570" t="s">
        <v>3567</v>
      </c>
      <c r="B1570" t="s">
        <v>3601</v>
      </c>
      <c r="C1570" t="s">
        <v>1570</v>
      </c>
      <c r="D1570" t="s">
        <v>3606</v>
      </c>
      <c r="E1570" t="s">
        <v>3604</v>
      </c>
    </row>
    <row r="1571" spans="1:5" x14ac:dyDescent="0.25">
      <c r="A1571" t="s">
        <v>3567</v>
      </c>
      <c r="B1571" t="s">
        <v>3601</v>
      </c>
      <c r="C1571" t="s">
        <v>2390</v>
      </c>
      <c r="D1571" t="s">
        <v>3603</v>
      </c>
      <c r="E1571" t="s">
        <v>3609</v>
      </c>
    </row>
    <row r="1572" spans="1:5" x14ac:dyDescent="0.25">
      <c r="A1572" t="s">
        <v>3567</v>
      </c>
      <c r="B1572" t="s">
        <v>3601</v>
      </c>
      <c r="C1572" t="s">
        <v>2207</v>
      </c>
      <c r="D1572" t="s">
        <v>3603</v>
      </c>
      <c r="E1572" t="s">
        <v>3609</v>
      </c>
    </row>
    <row r="1573" spans="1:5" x14ac:dyDescent="0.25">
      <c r="A1573" t="s">
        <v>3567</v>
      </c>
      <c r="B1573" t="s">
        <v>3601</v>
      </c>
      <c r="C1573" t="s">
        <v>1984</v>
      </c>
      <c r="D1573" t="s">
        <v>3606</v>
      </c>
      <c r="E1573" t="s">
        <v>3609</v>
      </c>
    </row>
    <row r="1574" spans="1:5" x14ac:dyDescent="0.25">
      <c r="A1574" t="s">
        <v>3567</v>
      </c>
      <c r="B1574" t="s">
        <v>3601</v>
      </c>
      <c r="C1574" t="s">
        <v>1048</v>
      </c>
      <c r="D1574" t="s">
        <v>3606</v>
      </c>
      <c r="E1574" t="s">
        <v>3605</v>
      </c>
    </row>
    <row r="1575" spans="1:5" x14ac:dyDescent="0.25">
      <c r="A1575" t="s">
        <v>3567</v>
      </c>
      <c r="B1575" t="s">
        <v>3601</v>
      </c>
      <c r="C1575" t="s">
        <v>1612</v>
      </c>
      <c r="D1575" t="s">
        <v>3607</v>
      </c>
      <c r="E1575" t="s">
        <v>3608</v>
      </c>
    </row>
    <row r="1576" spans="1:5" x14ac:dyDescent="0.25">
      <c r="A1576" t="s">
        <v>3567</v>
      </c>
      <c r="B1576" t="s">
        <v>3601</v>
      </c>
      <c r="C1576" t="s">
        <v>2562</v>
      </c>
      <c r="D1576" t="s">
        <v>3602</v>
      </c>
      <c r="E1576" t="s">
        <v>3604</v>
      </c>
    </row>
    <row r="1577" spans="1:5" x14ac:dyDescent="0.25">
      <c r="A1577" t="s">
        <v>3567</v>
      </c>
      <c r="B1577" t="s">
        <v>3601</v>
      </c>
      <c r="C1577" t="s">
        <v>1266</v>
      </c>
      <c r="D1577" t="s">
        <v>3606</v>
      </c>
      <c r="E1577" t="s">
        <v>3603</v>
      </c>
    </row>
    <row r="1578" spans="1:5" x14ac:dyDescent="0.25">
      <c r="A1578" t="s">
        <v>3567</v>
      </c>
      <c r="B1578" t="s">
        <v>3601</v>
      </c>
      <c r="C1578" t="s">
        <v>2143</v>
      </c>
      <c r="D1578" t="s">
        <v>3606</v>
      </c>
      <c r="E1578" t="s">
        <v>3609</v>
      </c>
    </row>
    <row r="1579" spans="1:5" x14ac:dyDescent="0.25">
      <c r="A1579" t="s">
        <v>3567</v>
      </c>
      <c r="B1579" t="s">
        <v>3601</v>
      </c>
      <c r="C1579" t="s">
        <v>2679</v>
      </c>
      <c r="D1579" t="s">
        <v>3602</v>
      </c>
      <c r="E1579" t="s">
        <v>3604</v>
      </c>
    </row>
    <row r="1580" spans="1:5" x14ac:dyDescent="0.25">
      <c r="A1580" t="s">
        <v>3567</v>
      </c>
      <c r="B1580" t="s">
        <v>3601</v>
      </c>
      <c r="C1580" t="s">
        <v>2823</v>
      </c>
      <c r="D1580" t="s">
        <v>3602</v>
      </c>
      <c r="E1580" t="s">
        <v>3605</v>
      </c>
    </row>
    <row r="1581" spans="1:5" x14ac:dyDescent="0.25">
      <c r="A1581" t="s">
        <v>3567</v>
      </c>
      <c r="B1581" t="s">
        <v>3601</v>
      </c>
      <c r="C1581" t="s">
        <v>2758</v>
      </c>
      <c r="D1581" t="s">
        <v>3607</v>
      </c>
      <c r="E1581" t="s">
        <v>3608</v>
      </c>
    </row>
    <row r="1582" spans="1:5" x14ac:dyDescent="0.25">
      <c r="A1582" t="s">
        <v>3567</v>
      </c>
      <c r="B1582" t="s">
        <v>3601</v>
      </c>
      <c r="C1582" t="s">
        <v>484</v>
      </c>
      <c r="D1582" t="s">
        <v>3603</v>
      </c>
      <c r="E1582" t="s">
        <v>3603</v>
      </c>
    </row>
    <row r="1583" spans="1:5" x14ac:dyDescent="0.25">
      <c r="A1583" t="s">
        <v>3567</v>
      </c>
      <c r="B1583" t="s">
        <v>3601</v>
      </c>
      <c r="C1583" t="s">
        <v>2394</v>
      </c>
      <c r="D1583" t="s">
        <v>3606</v>
      </c>
      <c r="E1583" t="s">
        <v>3609</v>
      </c>
    </row>
    <row r="1584" spans="1:5" x14ac:dyDescent="0.25">
      <c r="A1584" t="s">
        <v>3567</v>
      </c>
      <c r="B1584" t="s">
        <v>3601</v>
      </c>
      <c r="C1584" t="s">
        <v>846</v>
      </c>
      <c r="D1584" t="s">
        <v>3603</v>
      </c>
      <c r="E1584" t="s">
        <v>3603</v>
      </c>
    </row>
    <row r="1585" spans="1:5" x14ac:dyDescent="0.25">
      <c r="A1585" t="s">
        <v>3567</v>
      </c>
      <c r="B1585" t="s">
        <v>3601</v>
      </c>
      <c r="C1585" t="s">
        <v>312</v>
      </c>
      <c r="D1585" t="s">
        <v>3607</v>
      </c>
      <c r="E1585" t="s">
        <v>3608</v>
      </c>
    </row>
    <row r="1586" spans="1:5" x14ac:dyDescent="0.25">
      <c r="A1586" t="s">
        <v>3567</v>
      </c>
      <c r="B1586" t="s">
        <v>3601</v>
      </c>
      <c r="C1586" t="s">
        <v>1784</v>
      </c>
      <c r="D1586" t="s">
        <v>3603</v>
      </c>
      <c r="E1586" t="s">
        <v>3605</v>
      </c>
    </row>
    <row r="1587" spans="1:5" x14ac:dyDescent="0.25">
      <c r="A1587" t="s">
        <v>3567</v>
      </c>
      <c r="B1587" t="s">
        <v>3601</v>
      </c>
      <c r="C1587" t="s">
        <v>893</v>
      </c>
      <c r="D1587" t="s">
        <v>3602</v>
      </c>
      <c r="E1587" t="s">
        <v>3609</v>
      </c>
    </row>
    <row r="1588" spans="1:5" x14ac:dyDescent="0.25">
      <c r="A1588" t="s">
        <v>3567</v>
      </c>
      <c r="B1588" t="s">
        <v>3601</v>
      </c>
      <c r="C1588" t="s">
        <v>1463</v>
      </c>
      <c r="D1588" t="s">
        <v>3603</v>
      </c>
      <c r="E1588" t="s">
        <v>3605</v>
      </c>
    </row>
    <row r="1589" spans="1:5" x14ac:dyDescent="0.25">
      <c r="A1589" t="s">
        <v>3567</v>
      </c>
      <c r="B1589" t="s">
        <v>3601</v>
      </c>
      <c r="C1589" t="s">
        <v>2628</v>
      </c>
      <c r="D1589" t="s">
        <v>3603</v>
      </c>
      <c r="E1589" t="s">
        <v>3603</v>
      </c>
    </row>
    <row r="1590" spans="1:5" x14ac:dyDescent="0.25">
      <c r="A1590" t="s">
        <v>3567</v>
      </c>
      <c r="B1590" t="s">
        <v>3601</v>
      </c>
      <c r="C1590" t="s">
        <v>436</v>
      </c>
      <c r="D1590" t="s">
        <v>3607</v>
      </c>
      <c r="E1590" t="s">
        <v>3608</v>
      </c>
    </row>
    <row r="1591" spans="1:5" x14ac:dyDescent="0.25">
      <c r="A1591" t="s">
        <v>3567</v>
      </c>
      <c r="B1591" t="s">
        <v>3601</v>
      </c>
      <c r="C1591" t="s">
        <v>32</v>
      </c>
      <c r="D1591" t="s">
        <v>3606</v>
      </c>
      <c r="E1591" t="s">
        <v>3603</v>
      </c>
    </row>
    <row r="1592" spans="1:5" x14ac:dyDescent="0.25">
      <c r="A1592" t="s">
        <v>3567</v>
      </c>
      <c r="B1592" t="s">
        <v>3601</v>
      </c>
      <c r="C1592" t="s">
        <v>838</v>
      </c>
      <c r="D1592" t="s">
        <v>3603</v>
      </c>
      <c r="E1592" t="s">
        <v>3604</v>
      </c>
    </row>
    <row r="1593" spans="1:5" x14ac:dyDescent="0.25">
      <c r="A1593" t="s">
        <v>3567</v>
      </c>
      <c r="B1593" t="s">
        <v>3601</v>
      </c>
      <c r="C1593" t="s">
        <v>2249</v>
      </c>
      <c r="D1593" t="s">
        <v>3602</v>
      </c>
      <c r="E1593" t="s">
        <v>3603</v>
      </c>
    </row>
    <row r="1594" spans="1:5" x14ac:dyDescent="0.25">
      <c r="A1594" t="s">
        <v>3567</v>
      </c>
      <c r="B1594" t="s">
        <v>3601</v>
      </c>
      <c r="C1594" t="s">
        <v>711</v>
      </c>
      <c r="D1594" t="s">
        <v>3602</v>
      </c>
      <c r="E1594" t="s">
        <v>3605</v>
      </c>
    </row>
    <row r="1595" spans="1:5" x14ac:dyDescent="0.25">
      <c r="A1595" t="s">
        <v>3569</v>
      </c>
      <c r="B1595" t="s">
        <v>3601</v>
      </c>
      <c r="C1595" t="s">
        <v>1917</v>
      </c>
      <c r="D1595" t="s">
        <v>3602</v>
      </c>
      <c r="E1595" t="s">
        <v>3605</v>
      </c>
    </row>
    <row r="1596" spans="1:5" x14ac:dyDescent="0.25">
      <c r="A1596" t="s">
        <v>3569</v>
      </c>
      <c r="B1596" t="s">
        <v>3601</v>
      </c>
      <c r="C1596" t="s">
        <v>143</v>
      </c>
      <c r="D1596" t="s">
        <v>3602</v>
      </c>
      <c r="E1596" t="s">
        <v>3605</v>
      </c>
    </row>
    <row r="1597" spans="1:5" x14ac:dyDescent="0.25">
      <c r="A1597" t="s">
        <v>3569</v>
      </c>
      <c r="B1597" t="s">
        <v>3601</v>
      </c>
      <c r="C1597" t="s">
        <v>2138</v>
      </c>
      <c r="D1597" t="s">
        <v>3602</v>
      </c>
      <c r="E1597" t="s">
        <v>3605</v>
      </c>
    </row>
    <row r="1598" spans="1:5" x14ac:dyDescent="0.25">
      <c r="A1598" t="s">
        <v>3569</v>
      </c>
      <c r="B1598" t="s">
        <v>3601</v>
      </c>
      <c r="C1598" t="s">
        <v>2877</v>
      </c>
      <c r="D1598" t="s">
        <v>3607</v>
      </c>
      <c r="E1598" t="s">
        <v>3608</v>
      </c>
    </row>
    <row r="1599" spans="1:5" x14ac:dyDescent="0.25">
      <c r="A1599" t="s">
        <v>3569</v>
      </c>
      <c r="B1599" t="s">
        <v>3601</v>
      </c>
      <c r="C1599" t="s">
        <v>1266</v>
      </c>
      <c r="D1599" t="s">
        <v>3602</v>
      </c>
      <c r="E1599" t="s">
        <v>3604</v>
      </c>
    </row>
    <row r="1600" spans="1:5" x14ac:dyDescent="0.25">
      <c r="A1600" t="s">
        <v>3569</v>
      </c>
      <c r="B1600" t="s">
        <v>3601</v>
      </c>
      <c r="C1600" t="s">
        <v>832</v>
      </c>
      <c r="D1600" t="s">
        <v>3607</v>
      </c>
      <c r="E1600" t="s">
        <v>3608</v>
      </c>
    </row>
    <row r="1601" spans="1:5" x14ac:dyDescent="0.25">
      <c r="A1601" t="s">
        <v>3569</v>
      </c>
      <c r="B1601" t="s">
        <v>3601</v>
      </c>
      <c r="C1601" t="s">
        <v>1875</v>
      </c>
      <c r="D1601" t="s">
        <v>3606</v>
      </c>
      <c r="E1601" t="s">
        <v>3609</v>
      </c>
    </row>
    <row r="1602" spans="1:5" x14ac:dyDescent="0.25">
      <c r="A1602" t="s">
        <v>3569</v>
      </c>
      <c r="B1602" t="s">
        <v>3601</v>
      </c>
      <c r="C1602" t="s">
        <v>2694</v>
      </c>
      <c r="D1602" t="s">
        <v>3607</v>
      </c>
      <c r="E1602" t="s">
        <v>3608</v>
      </c>
    </row>
    <row r="1603" spans="1:5" x14ac:dyDescent="0.25">
      <c r="A1603" t="s">
        <v>3569</v>
      </c>
      <c r="B1603" t="s">
        <v>3601</v>
      </c>
      <c r="C1603" t="s">
        <v>1558</v>
      </c>
      <c r="D1603" t="s">
        <v>3607</v>
      </c>
      <c r="E1603" t="s">
        <v>3608</v>
      </c>
    </row>
    <row r="1604" spans="1:5" x14ac:dyDescent="0.25">
      <c r="A1604" t="s">
        <v>3569</v>
      </c>
      <c r="B1604" t="s">
        <v>3601</v>
      </c>
      <c r="C1604" t="s">
        <v>883</v>
      </c>
      <c r="D1604" t="s">
        <v>3602</v>
      </c>
      <c r="E1604" t="s">
        <v>3605</v>
      </c>
    </row>
    <row r="1605" spans="1:5" x14ac:dyDescent="0.25">
      <c r="A1605" t="s">
        <v>3569</v>
      </c>
      <c r="B1605" t="s">
        <v>3601</v>
      </c>
      <c r="C1605" t="s">
        <v>1666</v>
      </c>
      <c r="D1605" t="s">
        <v>3603</v>
      </c>
      <c r="E1605" t="s">
        <v>3603</v>
      </c>
    </row>
    <row r="1606" spans="1:5" x14ac:dyDescent="0.25">
      <c r="A1606" t="s">
        <v>3569</v>
      </c>
      <c r="B1606" t="s">
        <v>3601</v>
      </c>
      <c r="C1606" t="s">
        <v>2823</v>
      </c>
      <c r="D1606" t="s">
        <v>3602</v>
      </c>
      <c r="E1606" t="s">
        <v>3609</v>
      </c>
    </row>
    <row r="1607" spans="1:5" x14ac:dyDescent="0.25">
      <c r="A1607" t="s">
        <v>3569</v>
      </c>
      <c r="B1607" t="s">
        <v>3601</v>
      </c>
      <c r="C1607" t="s">
        <v>2862</v>
      </c>
      <c r="D1607" t="s">
        <v>3602</v>
      </c>
      <c r="E1607" t="s">
        <v>3605</v>
      </c>
    </row>
    <row r="1608" spans="1:5" x14ac:dyDescent="0.25">
      <c r="A1608" t="s">
        <v>3569</v>
      </c>
      <c r="B1608" t="s">
        <v>3601</v>
      </c>
      <c r="C1608" t="s">
        <v>1072</v>
      </c>
      <c r="D1608" t="s">
        <v>3603</v>
      </c>
      <c r="E1608" t="s">
        <v>3604</v>
      </c>
    </row>
    <row r="1609" spans="1:5" x14ac:dyDescent="0.25">
      <c r="A1609" t="s">
        <v>3569</v>
      </c>
      <c r="B1609" t="s">
        <v>3601</v>
      </c>
      <c r="C1609" t="s">
        <v>2479</v>
      </c>
      <c r="D1609" t="s">
        <v>3603</v>
      </c>
      <c r="E1609" t="s">
        <v>3604</v>
      </c>
    </row>
    <row r="1610" spans="1:5" x14ac:dyDescent="0.25">
      <c r="A1610" t="s">
        <v>3569</v>
      </c>
      <c r="B1610" t="s">
        <v>3601</v>
      </c>
      <c r="C1610" t="s">
        <v>2464</v>
      </c>
      <c r="D1610" t="s">
        <v>3607</v>
      </c>
      <c r="E1610" t="s">
        <v>3608</v>
      </c>
    </row>
    <row r="1611" spans="1:5" x14ac:dyDescent="0.25">
      <c r="A1611" t="s">
        <v>3569</v>
      </c>
      <c r="B1611" t="s">
        <v>3601</v>
      </c>
      <c r="C1611" t="s">
        <v>2743</v>
      </c>
      <c r="D1611" t="s">
        <v>3607</v>
      </c>
      <c r="E1611" t="s">
        <v>3608</v>
      </c>
    </row>
    <row r="1612" spans="1:5" x14ac:dyDescent="0.25">
      <c r="A1612" t="s">
        <v>3569</v>
      </c>
      <c r="B1612" t="s">
        <v>3601</v>
      </c>
      <c r="C1612" t="s">
        <v>205</v>
      </c>
      <c r="D1612" t="s">
        <v>3602</v>
      </c>
      <c r="E1612" t="s">
        <v>3604</v>
      </c>
    </row>
    <row r="1613" spans="1:5" x14ac:dyDescent="0.25">
      <c r="A1613" t="s">
        <v>3569</v>
      </c>
      <c r="B1613" t="s">
        <v>3601</v>
      </c>
      <c r="C1613" t="s">
        <v>1810</v>
      </c>
      <c r="D1613" t="s">
        <v>3607</v>
      </c>
      <c r="E1613" t="s">
        <v>3608</v>
      </c>
    </row>
    <row r="1614" spans="1:5" x14ac:dyDescent="0.25">
      <c r="A1614" t="s">
        <v>3569</v>
      </c>
      <c r="B1614" t="s">
        <v>3601</v>
      </c>
      <c r="C1614" t="s">
        <v>783</v>
      </c>
      <c r="D1614" t="s">
        <v>3607</v>
      </c>
      <c r="E1614" t="s">
        <v>3608</v>
      </c>
    </row>
    <row r="1615" spans="1:5" x14ac:dyDescent="0.25">
      <c r="A1615" t="s">
        <v>3569</v>
      </c>
      <c r="B1615" t="s">
        <v>3601</v>
      </c>
      <c r="C1615" t="s">
        <v>484</v>
      </c>
      <c r="D1615" t="s">
        <v>3606</v>
      </c>
      <c r="E1615" t="s">
        <v>3603</v>
      </c>
    </row>
    <row r="1616" spans="1:5" x14ac:dyDescent="0.25">
      <c r="A1616" t="s">
        <v>3569</v>
      </c>
      <c r="B1616" t="s">
        <v>3601</v>
      </c>
      <c r="C1616" t="s">
        <v>2017</v>
      </c>
      <c r="D1616" t="s">
        <v>3602</v>
      </c>
      <c r="E1616" t="s">
        <v>3603</v>
      </c>
    </row>
    <row r="1617" spans="1:5" x14ac:dyDescent="0.25">
      <c r="A1617" t="s">
        <v>3569</v>
      </c>
      <c r="B1617" t="s">
        <v>3601</v>
      </c>
      <c r="C1617" t="s">
        <v>986</v>
      </c>
      <c r="D1617" t="s">
        <v>3602</v>
      </c>
      <c r="E1617" t="s">
        <v>3609</v>
      </c>
    </row>
    <row r="1618" spans="1:5" x14ac:dyDescent="0.25">
      <c r="A1618" t="s">
        <v>3569</v>
      </c>
      <c r="B1618" t="s">
        <v>3601</v>
      </c>
      <c r="C1618" t="s">
        <v>333</v>
      </c>
      <c r="D1618" t="s">
        <v>3607</v>
      </c>
      <c r="E1618" t="s">
        <v>3608</v>
      </c>
    </row>
    <row r="1619" spans="1:5" x14ac:dyDescent="0.25">
      <c r="A1619" t="s">
        <v>3569</v>
      </c>
      <c r="B1619" t="s">
        <v>3601</v>
      </c>
      <c r="C1619" t="s">
        <v>1752</v>
      </c>
      <c r="D1619" t="s">
        <v>3606</v>
      </c>
      <c r="E1619" t="s">
        <v>3604</v>
      </c>
    </row>
    <row r="1620" spans="1:5" x14ac:dyDescent="0.25">
      <c r="A1620" t="s">
        <v>3569</v>
      </c>
      <c r="B1620" t="s">
        <v>3601</v>
      </c>
      <c r="C1620" t="s">
        <v>1774</v>
      </c>
      <c r="D1620" t="s">
        <v>3607</v>
      </c>
      <c r="E1620" t="s">
        <v>3608</v>
      </c>
    </row>
    <row r="1621" spans="1:5" x14ac:dyDescent="0.25">
      <c r="A1621" t="s">
        <v>3569</v>
      </c>
      <c r="B1621" t="s">
        <v>3601</v>
      </c>
      <c r="C1621" t="s">
        <v>1440</v>
      </c>
      <c r="D1621" t="s">
        <v>3603</v>
      </c>
      <c r="E1621" t="s">
        <v>3609</v>
      </c>
    </row>
    <row r="1622" spans="1:5" x14ac:dyDescent="0.25">
      <c r="A1622" t="s">
        <v>3569</v>
      </c>
      <c r="B1622" t="s">
        <v>3601</v>
      </c>
      <c r="C1622" t="s">
        <v>795</v>
      </c>
      <c r="D1622" t="s">
        <v>3606</v>
      </c>
      <c r="E1622" t="s">
        <v>3605</v>
      </c>
    </row>
    <row r="1623" spans="1:5" x14ac:dyDescent="0.25">
      <c r="A1623" t="s">
        <v>3569</v>
      </c>
      <c r="B1623" t="s">
        <v>3601</v>
      </c>
      <c r="C1623" t="s">
        <v>2075</v>
      </c>
      <c r="D1623" t="s">
        <v>3607</v>
      </c>
      <c r="E1623" t="s">
        <v>3608</v>
      </c>
    </row>
    <row r="1624" spans="1:5" x14ac:dyDescent="0.25">
      <c r="A1624" t="s">
        <v>3569</v>
      </c>
      <c r="B1624" t="s">
        <v>3601</v>
      </c>
      <c r="C1624" t="s">
        <v>1871</v>
      </c>
      <c r="D1624" t="s">
        <v>3602</v>
      </c>
      <c r="E1624" t="s">
        <v>3609</v>
      </c>
    </row>
    <row r="1625" spans="1:5" x14ac:dyDescent="0.25">
      <c r="A1625" t="s">
        <v>3569</v>
      </c>
      <c r="B1625" t="s">
        <v>3601</v>
      </c>
      <c r="C1625" t="s">
        <v>2296</v>
      </c>
      <c r="D1625" t="s">
        <v>3603</v>
      </c>
      <c r="E1625" t="s">
        <v>3603</v>
      </c>
    </row>
    <row r="1626" spans="1:5" x14ac:dyDescent="0.25">
      <c r="A1626" t="s">
        <v>3569</v>
      </c>
      <c r="B1626" t="s">
        <v>3601</v>
      </c>
      <c r="C1626" t="s">
        <v>2638</v>
      </c>
      <c r="D1626" t="s">
        <v>3607</v>
      </c>
      <c r="E1626" t="s">
        <v>3608</v>
      </c>
    </row>
    <row r="1627" spans="1:5" x14ac:dyDescent="0.25">
      <c r="A1627" t="s">
        <v>3569</v>
      </c>
      <c r="B1627" t="s">
        <v>3601</v>
      </c>
      <c r="C1627" t="s">
        <v>267</v>
      </c>
      <c r="D1627" t="s">
        <v>3603</v>
      </c>
      <c r="E1627" t="s">
        <v>3603</v>
      </c>
    </row>
    <row r="1628" spans="1:5" x14ac:dyDescent="0.25">
      <c r="A1628" t="s">
        <v>3569</v>
      </c>
      <c r="B1628" t="s">
        <v>3601</v>
      </c>
      <c r="C1628" t="s">
        <v>2148</v>
      </c>
      <c r="D1628" t="s">
        <v>3606</v>
      </c>
      <c r="E1628" t="s">
        <v>3609</v>
      </c>
    </row>
    <row r="1629" spans="1:5" x14ac:dyDescent="0.25">
      <c r="A1629" t="s">
        <v>3569</v>
      </c>
      <c r="B1629" t="s">
        <v>3601</v>
      </c>
      <c r="C1629" t="s">
        <v>2315</v>
      </c>
      <c r="D1629" t="s">
        <v>3602</v>
      </c>
      <c r="E1629" t="s">
        <v>3609</v>
      </c>
    </row>
    <row r="1630" spans="1:5" x14ac:dyDescent="0.25">
      <c r="A1630" t="s">
        <v>3569</v>
      </c>
      <c r="B1630" t="s">
        <v>3601</v>
      </c>
      <c r="C1630" t="s">
        <v>2064</v>
      </c>
      <c r="D1630" t="s">
        <v>3606</v>
      </c>
      <c r="E1630" t="s">
        <v>3604</v>
      </c>
    </row>
    <row r="1631" spans="1:5" x14ac:dyDescent="0.25">
      <c r="A1631" t="s">
        <v>3569</v>
      </c>
      <c r="B1631" t="s">
        <v>3601</v>
      </c>
      <c r="C1631" t="s">
        <v>1979</v>
      </c>
      <c r="D1631" t="s">
        <v>3603</v>
      </c>
      <c r="E1631" t="s">
        <v>3603</v>
      </c>
    </row>
    <row r="1632" spans="1:5" x14ac:dyDescent="0.25">
      <c r="A1632" t="s">
        <v>3569</v>
      </c>
      <c r="B1632" t="s">
        <v>3601</v>
      </c>
      <c r="C1632" t="s">
        <v>1529</v>
      </c>
      <c r="D1632" t="s">
        <v>3603</v>
      </c>
      <c r="E1632" t="s">
        <v>3603</v>
      </c>
    </row>
    <row r="1633" spans="1:5" x14ac:dyDescent="0.25">
      <c r="A1633" t="s">
        <v>3569</v>
      </c>
      <c r="B1633" t="s">
        <v>3601</v>
      </c>
      <c r="C1633" t="s">
        <v>385</v>
      </c>
      <c r="D1633" t="s">
        <v>3607</v>
      </c>
      <c r="E1633" t="s">
        <v>3608</v>
      </c>
    </row>
    <row r="1634" spans="1:5" x14ac:dyDescent="0.25">
      <c r="A1634" t="s">
        <v>3569</v>
      </c>
      <c r="B1634" t="s">
        <v>3601</v>
      </c>
      <c r="C1634" t="s">
        <v>778</v>
      </c>
      <c r="D1634" t="s">
        <v>3606</v>
      </c>
      <c r="E1634" t="s">
        <v>3609</v>
      </c>
    </row>
    <row r="1635" spans="1:5" x14ac:dyDescent="0.25">
      <c r="A1635" t="s">
        <v>3569</v>
      </c>
      <c r="B1635" t="s">
        <v>3601</v>
      </c>
      <c r="C1635" t="s">
        <v>1156</v>
      </c>
      <c r="D1635" t="s">
        <v>3603</v>
      </c>
      <c r="E1635" t="s">
        <v>3603</v>
      </c>
    </row>
    <row r="1636" spans="1:5" x14ac:dyDescent="0.25">
      <c r="A1636" t="s">
        <v>3569</v>
      </c>
      <c r="B1636" t="s">
        <v>3601</v>
      </c>
      <c r="C1636" t="s">
        <v>1116</v>
      </c>
      <c r="D1636" t="s">
        <v>3606</v>
      </c>
      <c r="E1636" t="s">
        <v>3605</v>
      </c>
    </row>
    <row r="1637" spans="1:5" x14ac:dyDescent="0.25">
      <c r="A1637" t="s">
        <v>3569</v>
      </c>
      <c r="B1637" t="s">
        <v>3601</v>
      </c>
      <c r="C1637" t="s">
        <v>2527</v>
      </c>
      <c r="D1637" t="s">
        <v>3607</v>
      </c>
      <c r="E1637" t="s">
        <v>3608</v>
      </c>
    </row>
    <row r="1638" spans="1:5" x14ac:dyDescent="0.25">
      <c r="A1638" t="s">
        <v>3569</v>
      </c>
      <c r="B1638" t="s">
        <v>3601</v>
      </c>
      <c r="C1638" t="s">
        <v>1912</v>
      </c>
      <c r="D1638" t="s">
        <v>3607</v>
      </c>
      <c r="E1638" t="s">
        <v>3608</v>
      </c>
    </row>
    <row r="1639" spans="1:5" x14ac:dyDescent="0.25">
      <c r="A1639" t="s">
        <v>3569</v>
      </c>
      <c r="B1639" t="s">
        <v>3601</v>
      </c>
      <c r="C1639" t="s">
        <v>1740</v>
      </c>
      <c r="D1639" t="s">
        <v>3602</v>
      </c>
      <c r="E1639" t="s">
        <v>3603</v>
      </c>
    </row>
    <row r="1640" spans="1:5" x14ac:dyDescent="0.25">
      <c r="A1640" t="s">
        <v>3569</v>
      </c>
      <c r="B1640" t="s">
        <v>3601</v>
      </c>
      <c r="C1640" t="s">
        <v>450</v>
      </c>
      <c r="D1640" t="s">
        <v>3607</v>
      </c>
      <c r="E1640" t="s">
        <v>3608</v>
      </c>
    </row>
    <row r="1641" spans="1:5" x14ac:dyDescent="0.25">
      <c r="A1641" t="s">
        <v>3569</v>
      </c>
      <c r="B1641" t="s">
        <v>3601</v>
      </c>
      <c r="C1641" t="s">
        <v>1498</v>
      </c>
      <c r="D1641" t="s">
        <v>3602</v>
      </c>
      <c r="E1641" t="s">
        <v>3603</v>
      </c>
    </row>
    <row r="1642" spans="1:5" x14ac:dyDescent="0.25">
      <c r="A1642" t="s">
        <v>3569</v>
      </c>
      <c r="B1642" t="s">
        <v>3601</v>
      </c>
      <c r="C1642" t="s">
        <v>870</v>
      </c>
      <c r="D1642" t="s">
        <v>3603</v>
      </c>
      <c r="E1642" t="s">
        <v>3605</v>
      </c>
    </row>
    <row r="1643" spans="1:5" x14ac:dyDescent="0.25">
      <c r="A1643" t="s">
        <v>3569</v>
      </c>
      <c r="B1643" t="s">
        <v>3601</v>
      </c>
      <c r="C1643" t="s">
        <v>399</v>
      </c>
      <c r="D1643" t="s">
        <v>3602</v>
      </c>
      <c r="E1643" t="s">
        <v>3609</v>
      </c>
    </row>
    <row r="1644" spans="1:5" x14ac:dyDescent="0.25">
      <c r="A1644" t="s">
        <v>3569</v>
      </c>
      <c r="B1644" t="s">
        <v>3601</v>
      </c>
      <c r="C1644" t="s">
        <v>888</v>
      </c>
      <c r="D1644" t="s">
        <v>3603</v>
      </c>
      <c r="E1644" t="s">
        <v>3603</v>
      </c>
    </row>
    <row r="1645" spans="1:5" x14ac:dyDescent="0.25">
      <c r="A1645" t="s">
        <v>3569</v>
      </c>
      <c r="B1645" t="s">
        <v>3601</v>
      </c>
      <c r="C1645" t="s">
        <v>1017</v>
      </c>
      <c r="D1645" t="s">
        <v>3607</v>
      </c>
      <c r="E1645" t="s">
        <v>3608</v>
      </c>
    </row>
    <row r="1646" spans="1:5" x14ac:dyDescent="0.25">
      <c r="A1646" t="s">
        <v>3569</v>
      </c>
      <c r="B1646" t="s">
        <v>3601</v>
      </c>
      <c r="C1646" t="s">
        <v>1095</v>
      </c>
      <c r="D1646" t="s">
        <v>3602</v>
      </c>
      <c r="E1646" t="s">
        <v>3604</v>
      </c>
    </row>
    <row r="1647" spans="1:5" x14ac:dyDescent="0.25">
      <c r="A1647" t="s">
        <v>3569</v>
      </c>
      <c r="B1647" t="s">
        <v>3601</v>
      </c>
      <c r="C1647" t="s">
        <v>1271</v>
      </c>
      <c r="D1647" t="s">
        <v>3603</v>
      </c>
      <c r="E1647" t="s">
        <v>3603</v>
      </c>
    </row>
    <row r="1648" spans="1:5" x14ac:dyDescent="0.25">
      <c r="A1648" t="s">
        <v>3569</v>
      </c>
      <c r="B1648" t="s">
        <v>3601</v>
      </c>
      <c r="C1648" t="s">
        <v>1635</v>
      </c>
      <c r="D1648" t="s">
        <v>3607</v>
      </c>
      <c r="E1648" t="s">
        <v>3608</v>
      </c>
    </row>
    <row r="1649" spans="1:5" x14ac:dyDescent="0.25">
      <c r="A1649" t="s">
        <v>3569</v>
      </c>
      <c r="B1649" t="s">
        <v>3601</v>
      </c>
      <c r="C1649" t="s">
        <v>2385</v>
      </c>
      <c r="D1649" t="s">
        <v>3606</v>
      </c>
      <c r="E1649" t="s">
        <v>3604</v>
      </c>
    </row>
    <row r="1650" spans="1:5" x14ac:dyDescent="0.25">
      <c r="A1650" t="s">
        <v>3569</v>
      </c>
      <c r="B1650" t="s">
        <v>3601</v>
      </c>
      <c r="C1650" t="s">
        <v>1167</v>
      </c>
      <c r="D1650" t="s">
        <v>3607</v>
      </c>
      <c r="E1650" t="s">
        <v>3608</v>
      </c>
    </row>
    <row r="1651" spans="1:5" x14ac:dyDescent="0.25">
      <c r="A1651" t="s">
        <v>3569</v>
      </c>
      <c r="B1651" t="s">
        <v>3601</v>
      </c>
      <c r="C1651" t="s">
        <v>1769</v>
      </c>
      <c r="D1651" t="s">
        <v>3606</v>
      </c>
      <c r="E1651" t="s">
        <v>3605</v>
      </c>
    </row>
    <row r="1652" spans="1:5" x14ac:dyDescent="0.25">
      <c r="A1652" t="s">
        <v>3569</v>
      </c>
      <c r="B1652" t="s">
        <v>3601</v>
      </c>
      <c r="C1652" t="s">
        <v>1886</v>
      </c>
      <c r="D1652" t="s">
        <v>3607</v>
      </c>
      <c r="E1652" t="s">
        <v>3608</v>
      </c>
    </row>
    <row r="1653" spans="1:5" x14ac:dyDescent="0.25">
      <c r="A1653" t="s">
        <v>3569</v>
      </c>
      <c r="B1653" t="s">
        <v>3601</v>
      </c>
      <c r="C1653" t="s">
        <v>2163</v>
      </c>
      <c r="D1653" t="s">
        <v>3603</v>
      </c>
      <c r="E1653" t="s">
        <v>3604</v>
      </c>
    </row>
    <row r="1654" spans="1:5" x14ac:dyDescent="0.25">
      <c r="A1654" t="s">
        <v>3569</v>
      </c>
      <c r="B1654" t="s">
        <v>3601</v>
      </c>
      <c r="C1654" t="s">
        <v>1700</v>
      </c>
      <c r="D1654" t="s">
        <v>3602</v>
      </c>
      <c r="E1654" t="s">
        <v>3609</v>
      </c>
    </row>
    <row r="1655" spans="1:5" x14ac:dyDescent="0.25">
      <c r="A1655" t="s">
        <v>3569</v>
      </c>
      <c r="B1655" t="s">
        <v>3601</v>
      </c>
      <c r="C1655" t="s">
        <v>2272</v>
      </c>
      <c r="D1655" t="s">
        <v>3607</v>
      </c>
      <c r="E1655" t="s">
        <v>3608</v>
      </c>
    </row>
    <row r="1656" spans="1:5" x14ac:dyDescent="0.25">
      <c r="A1656" t="s">
        <v>3569</v>
      </c>
      <c r="B1656" t="s">
        <v>3601</v>
      </c>
      <c r="C1656" t="s">
        <v>356</v>
      </c>
      <c r="D1656" t="s">
        <v>3606</v>
      </c>
      <c r="E1656" t="s">
        <v>3603</v>
      </c>
    </row>
    <row r="1657" spans="1:5" x14ac:dyDescent="0.25">
      <c r="A1657" t="s">
        <v>3569</v>
      </c>
      <c r="B1657" t="s">
        <v>3601</v>
      </c>
      <c r="C1657" t="s">
        <v>2032</v>
      </c>
      <c r="D1657" t="s">
        <v>3607</v>
      </c>
      <c r="E1657" t="s">
        <v>3608</v>
      </c>
    </row>
    <row r="1658" spans="1:5" x14ac:dyDescent="0.25">
      <c r="A1658" t="s">
        <v>3569</v>
      </c>
      <c r="B1658" t="s">
        <v>3601</v>
      </c>
      <c r="C1658" t="s">
        <v>1719</v>
      </c>
      <c r="D1658" t="s">
        <v>3602</v>
      </c>
      <c r="E1658" t="s">
        <v>3604</v>
      </c>
    </row>
    <row r="1659" spans="1:5" x14ac:dyDescent="0.25">
      <c r="A1659" t="s">
        <v>3569</v>
      </c>
      <c r="B1659" t="s">
        <v>3601</v>
      </c>
      <c r="C1659" t="s">
        <v>1276</v>
      </c>
      <c r="D1659" t="s">
        <v>3603</v>
      </c>
      <c r="E1659" t="s">
        <v>3603</v>
      </c>
    </row>
    <row r="1660" spans="1:5" x14ac:dyDescent="0.25">
      <c r="A1660" t="s">
        <v>3569</v>
      </c>
      <c r="B1660" t="s">
        <v>3601</v>
      </c>
      <c r="C1660" t="s">
        <v>2552</v>
      </c>
      <c r="D1660" t="s">
        <v>3602</v>
      </c>
      <c r="E1660" t="s">
        <v>3609</v>
      </c>
    </row>
    <row r="1661" spans="1:5" x14ac:dyDescent="0.25">
      <c r="A1661" t="s">
        <v>3569</v>
      </c>
      <c r="B1661" t="s">
        <v>3601</v>
      </c>
      <c r="C1661" t="s">
        <v>2547</v>
      </c>
      <c r="D1661" t="s">
        <v>3603</v>
      </c>
      <c r="E1661" t="s">
        <v>3604</v>
      </c>
    </row>
    <row r="1662" spans="1:5" x14ac:dyDescent="0.25">
      <c r="A1662" t="s">
        <v>3569</v>
      </c>
      <c r="B1662" t="s">
        <v>3601</v>
      </c>
      <c r="C1662" t="s">
        <v>2012</v>
      </c>
      <c r="D1662" t="s">
        <v>3603</v>
      </c>
      <c r="E1662" t="s">
        <v>3605</v>
      </c>
    </row>
    <row r="1663" spans="1:5" x14ac:dyDescent="0.25">
      <c r="A1663" t="s">
        <v>3569</v>
      </c>
      <c r="B1663" t="s">
        <v>3601</v>
      </c>
      <c r="C1663" t="s">
        <v>1409</v>
      </c>
      <c r="D1663" t="s">
        <v>3603</v>
      </c>
      <c r="E1663" t="s">
        <v>3604</v>
      </c>
    </row>
    <row r="1664" spans="1:5" x14ac:dyDescent="0.25">
      <c r="A1664" t="s">
        <v>3569</v>
      </c>
      <c r="B1664" t="s">
        <v>3601</v>
      </c>
      <c r="C1664" t="s">
        <v>469</v>
      </c>
      <c r="D1664" t="s">
        <v>3603</v>
      </c>
      <c r="E1664" t="s">
        <v>3603</v>
      </c>
    </row>
    <row r="1665" spans="1:5" x14ac:dyDescent="0.25">
      <c r="A1665" t="s">
        <v>3569</v>
      </c>
      <c r="B1665" t="s">
        <v>3601</v>
      </c>
      <c r="C1665" t="s">
        <v>758</v>
      </c>
      <c r="D1665" t="s">
        <v>3606</v>
      </c>
      <c r="E1665" t="s">
        <v>3605</v>
      </c>
    </row>
    <row r="1666" spans="1:5" x14ac:dyDescent="0.25">
      <c r="A1666" t="s">
        <v>3569</v>
      </c>
      <c r="B1666" t="s">
        <v>3601</v>
      </c>
      <c r="C1666" t="s">
        <v>1060</v>
      </c>
      <c r="D1666" t="s">
        <v>3607</v>
      </c>
      <c r="E1666" t="s">
        <v>3608</v>
      </c>
    </row>
    <row r="1667" spans="1:5" x14ac:dyDescent="0.25">
      <c r="A1667" t="s">
        <v>3569</v>
      </c>
      <c r="B1667" t="s">
        <v>3601</v>
      </c>
      <c r="C1667" t="s">
        <v>2763</v>
      </c>
      <c r="D1667" t="s">
        <v>3607</v>
      </c>
      <c r="E1667" t="s">
        <v>3608</v>
      </c>
    </row>
    <row r="1668" spans="1:5" x14ac:dyDescent="0.25">
      <c r="A1668" t="s">
        <v>3569</v>
      </c>
      <c r="B1668" t="s">
        <v>3601</v>
      </c>
      <c r="C1668" t="s">
        <v>2758</v>
      </c>
      <c r="D1668" t="s">
        <v>3603</v>
      </c>
      <c r="E1668" t="s">
        <v>3603</v>
      </c>
    </row>
    <row r="1669" spans="1:5" x14ac:dyDescent="0.25">
      <c r="A1669" t="s">
        <v>3569</v>
      </c>
      <c r="B1669" t="s">
        <v>3601</v>
      </c>
      <c r="C1669" t="s">
        <v>1023</v>
      </c>
      <c r="D1669" t="s">
        <v>3607</v>
      </c>
      <c r="E1669" t="s">
        <v>3608</v>
      </c>
    </row>
    <row r="1670" spans="1:5" x14ac:dyDescent="0.25">
      <c r="A1670" t="s">
        <v>3569</v>
      </c>
      <c r="B1670" t="s">
        <v>3601</v>
      </c>
      <c r="C1670" t="s">
        <v>2843</v>
      </c>
      <c r="D1670" t="s">
        <v>3602</v>
      </c>
      <c r="E1670" t="s">
        <v>3605</v>
      </c>
    </row>
    <row r="1671" spans="1:5" x14ac:dyDescent="0.25">
      <c r="A1671" t="s">
        <v>3569</v>
      </c>
      <c r="B1671" t="s">
        <v>3601</v>
      </c>
      <c r="C1671" t="s">
        <v>723</v>
      </c>
      <c r="D1671" t="s">
        <v>3606</v>
      </c>
      <c r="E1671" t="s">
        <v>3609</v>
      </c>
    </row>
    <row r="1672" spans="1:5" x14ac:dyDescent="0.25">
      <c r="A1672" t="s">
        <v>3569</v>
      </c>
      <c r="B1672" t="s">
        <v>3601</v>
      </c>
      <c r="C1672" t="s">
        <v>2153</v>
      </c>
      <c r="D1672" t="s">
        <v>3603</v>
      </c>
      <c r="E1672" t="s">
        <v>3603</v>
      </c>
    </row>
    <row r="1673" spans="1:5" x14ac:dyDescent="0.25">
      <c r="A1673" t="s">
        <v>3569</v>
      </c>
      <c r="B1673" t="s">
        <v>3601</v>
      </c>
      <c r="C1673" t="s">
        <v>2306</v>
      </c>
      <c r="D1673" t="s">
        <v>3607</v>
      </c>
      <c r="E1673" t="s">
        <v>3608</v>
      </c>
    </row>
    <row r="1674" spans="1:5" x14ac:dyDescent="0.25">
      <c r="A1674" t="s">
        <v>3569</v>
      </c>
      <c r="B1674" t="s">
        <v>3601</v>
      </c>
      <c r="C1674" t="s">
        <v>258</v>
      </c>
      <c r="D1674" t="s">
        <v>3602</v>
      </c>
      <c r="E1674" t="s">
        <v>3603</v>
      </c>
    </row>
    <row r="1675" spans="1:5" x14ac:dyDescent="0.25">
      <c r="A1675" t="s">
        <v>3569</v>
      </c>
      <c r="B1675" t="s">
        <v>3601</v>
      </c>
      <c r="C1675" t="s">
        <v>1892</v>
      </c>
      <c r="D1675" t="s">
        <v>3606</v>
      </c>
      <c r="E1675" t="s">
        <v>3605</v>
      </c>
    </row>
    <row r="1676" spans="1:5" x14ac:dyDescent="0.25">
      <c r="A1676" t="s">
        <v>3569</v>
      </c>
      <c r="B1676" t="s">
        <v>3601</v>
      </c>
      <c r="C1676" t="s">
        <v>1927</v>
      </c>
      <c r="D1676" t="s">
        <v>3602</v>
      </c>
      <c r="E1676" t="s">
        <v>3604</v>
      </c>
    </row>
    <row r="1677" spans="1:5" x14ac:dyDescent="0.25">
      <c r="A1677" t="s">
        <v>3569</v>
      </c>
      <c r="B1677" t="s">
        <v>3601</v>
      </c>
      <c r="C1677" t="s">
        <v>771</v>
      </c>
      <c r="D1677" t="s">
        <v>3603</v>
      </c>
      <c r="E1677" t="s">
        <v>3609</v>
      </c>
    </row>
    <row r="1678" spans="1:5" x14ac:dyDescent="0.25">
      <c r="A1678" t="s">
        <v>3569</v>
      </c>
      <c r="B1678" t="s">
        <v>3601</v>
      </c>
      <c r="C1678" t="s">
        <v>490</v>
      </c>
      <c r="D1678" t="s">
        <v>3606</v>
      </c>
      <c r="E1678" t="s">
        <v>3605</v>
      </c>
    </row>
    <row r="1679" spans="1:5" x14ac:dyDescent="0.25">
      <c r="A1679" t="s">
        <v>3569</v>
      </c>
      <c r="B1679" t="s">
        <v>3601</v>
      </c>
      <c r="C1679" t="s">
        <v>751</v>
      </c>
      <c r="D1679" t="s">
        <v>3606</v>
      </c>
      <c r="E1679" t="s">
        <v>3605</v>
      </c>
    </row>
    <row r="1680" spans="1:5" x14ac:dyDescent="0.25">
      <c r="A1680" t="s">
        <v>3569</v>
      </c>
      <c r="B1680" t="s">
        <v>3601</v>
      </c>
      <c r="C1680" t="s">
        <v>2602</v>
      </c>
      <c r="D1680" t="s">
        <v>3603</v>
      </c>
      <c r="E1680" t="s">
        <v>3605</v>
      </c>
    </row>
    <row r="1681" spans="1:5" x14ac:dyDescent="0.25">
      <c r="A1681" t="s">
        <v>3569</v>
      </c>
      <c r="B1681" t="s">
        <v>3601</v>
      </c>
      <c r="C1681" t="s">
        <v>1327</v>
      </c>
      <c r="D1681" t="s">
        <v>3606</v>
      </c>
      <c r="E1681" t="s">
        <v>3605</v>
      </c>
    </row>
    <row r="1682" spans="1:5" x14ac:dyDescent="0.25">
      <c r="A1682" t="s">
        <v>3569</v>
      </c>
      <c r="B1682" t="s">
        <v>3601</v>
      </c>
      <c r="C1682" t="s">
        <v>556</v>
      </c>
      <c r="D1682" t="s">
        <v>3603</v>
      </c>
      <c r="E1682" t="s">
        <v>3604</v>
      </c>
    </row>
    <row r="1683" spans="1:5" x14ac:dyDescent="0.25">
      <c r="A1683" t="s">
        <v>3569</v>
      </c>
      <c r="B1683" t="s">
        <v>3601</v>
      </c>
      <c r="C1683" t="s">
        <v>1434</v>
      </c>
      <c r="D1683" t="s">
        <v>3607</v>
      </c>
      <c r="E1683" t="s">
        <v>3608</v>
      </c>
    </row>
    <row r="1684" spans="1:5" x14ac:dyDescent="0.25">
      <c r="A1684" t="s">
        <v>3569</v>
      </c>
      <c r="B1684" t="s">
        <v>3601</v>
      </c>
      <c r="C1684" t="s">
        <v>65</v>
      </c>
      <c r="D1684" t="s">
        <v>3606</v>
      </c>
      <c r="E1684" t="s">
        <v>3605</v>
      </c>
    </row>
    <row r="1685" spans="1:5" x14ac:dyDescent="0.25">
      <c r="A1685" t="s">
        <v>3569</v>
      </c>
      <c r="B1685" t="s">
        <v>3601</v>
      </c>
      <c r="C1685" t="s">
        <v>1736</v>
      </c>
      <c r="D1685" t="s">
        <v>3607</v>
      </c>
      <c r="E1685" t="s">
        <v>3608</v>
      </c>
    </row>
    <row r="1686" spans="1:5" x14ac:dyDescent="0.25">
      <c r="A1686" t="s">
        <v>3569</v>
      </c>
      <c r="B1686" t="s">
        <v>3601</v>
      </c>
      <c r="C1686" t="s">
        <v>2335</v>
      </c>
      <c r="D1686" t="s">
        <v>3606</v>
      </c>
      <c r="E1686" t="s">
        <v>3609</v>
      </c>
    </row>
    <row r="1687" spans="1:5" x14ac:dyDescent="0.25">
      <c r="A1687" t="s">
        <v>3569</v>
      </c>
      <c r="B1687" t="s">
        <v>3601</v>
      </c>
      <c r="C1687" t="s">
        <v>1110</v>
      </c>
      <c r="D1687" t="s">
        <v>3603</v>
      </c>
      <c r="E1687" t="s">
        <v>3609</v>
      </c>
    </row>
    <row r="1688" spans="1:5" x14ac:dyDescent="0.25">
      <c r="A1688" t="s">
        <v>3569</v>
      </c>
      <c r="B1688" t="s">
        <v>3601</v>
      </c>
      <c r="C1688" t="s">
        <v>1746</v>
      </c>
      <c r="D1688" t="s">
        <v>3606</v>
      </c>
      <c r="E1688" t="s">
        <v>3604</v>
      </c>
    </row>
    <row r="1689" spans="1:5" x14ac:dyDescent="0.25">
      <c r="A1689" t="s">
        <v>3569</v>
      </c>
      <c r="B1689" t="s">
        <v>3601</v>
      </c>
      <c r="C1689" t="s">
        <v>2512</v>
      </c>
      <c r="D1689" t="s">
        <v>3606</v>
      </c>
      <c r="E1689" t="s">
        <v>3609</v>
      </c>
    </row>
    <row r="1690" spans="1:5" x14ac:dyDescent="0.25">
      <c r="A1690" t="s">
        <v>3570</v>
      </c>
      <c r="B1690" t="s">
        <v>3601</v>
      </c>
      <c r="C1690" t="s">
        <v>1028</v>
      </c>
      <c r="D1690" t="s">
        <v>3606</v>
      </c>
      <c r="E1690" t="s">
        <v>3605</v>
      </c>
    </row>
    <row r="1691" spans="1:5" x14ac:dyDescent="0.25">
      <c r="A1691" t="s">
        <v>3570</v>
      </c>
      <c r="B1691" t="s">
        <v>3601</v>
      </c>
      <c r="C1691" t="s">
        <v>621</v>
      </c>
      <c r="D1691" t="s">
        <v>3607</v>
      </c>
      <c r="E1691" t="s">
        <v>3608</v>
      </c>
    </row>
    <row r="1692" spans="1:5" x14ac:dyDescent="0.25">
      <c r="A1692" t="s">
        <v>3570</v>
      </c>
      <c r="B1692" t="s">
        <v>3601</v>
      </c>
      <c r="C1692" t="s">
        <v>582</v>
      </c>
      <c r="D1692" t="s">
        <v>3602</v>
      </c>
      <c r="E1692" t="s">
        <v>3605</v>
      </c>
    </row>
    <row r="1693" spans="1:5" x14ac:dyDescent="0.25">
      <c r="A1693" t="s">
        <v>3570</v>
      </c>
      <c r="B1693" t="s">
        <v>3601</v>
      </c>
      <c r="C1693" t="s">
        <v>1135</v>
      </c>
      <c r="D1693" t="s">
        <v>3606</v>
      </c>
      <c r="E1693" t="s">
        <v>3605</v>
      </c>
    </row>
    <row r="1694" spans="1:5" x14ac:dyDescent="0.25">
      <c r="A1694" t="s">
        <v>3570</v>
      </c>
      <c r="B1694" t="s">
        <v>3601</v>
      </c>
      <c r="C1694" t="s">
        <v>1974</v>
      </c>
      <c r="D1694" t="s">
        <v>3602</v>
      </c>
      <c r="E1694" t="s">
        <v>3603</v>
      </c>
    </row>
    <row r="1695" spans="1:5" x14ac:dyDescent="0.25">
      <c r="A1695" t="s">
        <v>3570</v>
      </c>
      <c r="B1695" t="s">
        <v>3601</v>
      </c>
      <c r="C1695" t="s">
        <v>228</v>
      </c>
      <c r="D1695" t="s">
        <v>3607</v>
      </c>
      <c r="E1695" t="s">
        <v>3608</v>
      </c>
    </row>
    <row r="1696" spans="1:5" x14ac:dyDescent="0.25">
      <c r="A1696" t="s">
        <v>3570</v>
      </c>
      <c r="B1696" t="s">
        <v>3601</v>
      </c>
      <c r="C1696" t="s">
        <v>2489</v>
      </c>
      <c r="D1696" t="s">
        <v>3602</v>
      </c>
      <c r="E1696" t="s">
        <v>3609</v>
      </c>
    </row>
    <row r="1697" spans="1:5" x14ac:dyDescent="0.25">
      <c r="A1697" t="s">
        <v>3570</v>
      </c>
      <c r="B1697" t="s">
        <v>3601</v>
      </c>
      <c r="C1697" t="s">
        <v>2733</v>
      </c>
      <c r="D1697" t="s">
        <v>3606</v>
      </c>
      <c r="E1697" t="s">
        <v>3605</v>
      </c>
    </row>
    <row r="1698" spans="1:5" x14ac:dyDescent="0.25">
      <c r="A1698" t="s">
        <v>3570</v>
      </c>
      <c r="B1698" t="s">
        <v>3601</v>
      </c>
      <c r="C1698" t="s">
        <v>32</v>
      </c>
      <c r="D1698" t="s">
        <v>3606</v>
      </c>
      <c r="E1698" t="s">
        <v>3604</v>
      </c>
    </row>
    <row r="1699" spans="1:5" x14ac:dyDescent="0.25">
      <c r="A1699" t="s">
        <v>3570</v>
      </c>
      <c r="B1699" t="s">
        <v>3601</v>
      </c>
      <c r="C1699" t="s">
        <v>1199</v>
      </c>
      <c r="D1699" t="s">
        <v>3607</v>
      </c>
      <c r="E1699" t="s">
        <v>3608</v>
      </c>
    </row>
    <row r="1700" spans="1:5" x14ac:dyDescent="0.25">
      <c r="A1700" t="s">
        <v>3570</v>
      </c>
      <c r="B1700" t="s">
        <v>3601</v>
      </c>
      <c r="C1700" t="s">
        <v>1492</v>
      </c>
      <c r="D1700" t="s">
        <v>3606</v>
      </c>
      <c r="E1700" t="s">
        <v>3604</v>
      </c>
    </row>
    <row r="1701" spans="1:5" x14ac:dyDescent="0.25">
      <c r="A1701" t="s">
        <v>3570</v>
      </c>
      <c r="B1701" t="s">
        <v>3601</v>
      </c>
      <c r="C1701" t="s">
        <v>2527</v>
      </c>
      <c r="D1701" t="s">
        <v>3603</v>
      </c>
      <c r="E1701" t="s">
        <v>3603</v>
      </c>
    </row>
    <row r="1702" spans="1:5" x14ac:dyDescent="0.25">
      <c r="A1702" t="s">
        <v>3570</v>
      </c>
      <c r="B1702" t="s">
        <v>3601</v>
      </c>
      <c r="C1702" t="s">
        <v>1332</v>
      </c>
      <c r="D1702" t="s">
        <v>3606</v>
      </c>
      <c r="E1702" t="s">
        <v>3603</v>
      </c>
    </row>
    <row r="1703" spans="1:5" x14ac:dyDescent="0.25">
      <c r="A1703" t="s">
        <v>3570</v>
      </c>
      <c r="B1703" t="s">
        <v>3601</v>
      </c>
      <c r="C1703" t="s">
        <v>2188</v>
      </c>
      <c r="D1703" t="s">
        <v>3603</v>
      </c>
      <c r="E1703" t="s">
        <v>3604</v>
      </c>
    </row>
    <row r="1704" spans="1:5" x14ac:dyDescent="0.25">
      <c r="A1704" t="s">
        <v>3570</v>
      </c>
      <c r="B1704" t="s">
        <v>3601</v>
      </c>
      <c r="C1704" t="s">
        <v>1316</v>
      </c>
      <c r="D1704" t="s">
        <v>3607</v>
      </c>
      <c r="E1704" t="s">
        <v>3608</v>
      </c>
    </row>
    <row r="1705" spans="1:5" x14ac:dyDescent="0.25">
      <c r="A1705" t="s">
        <v>3570</v>
      </c>
      <c r="B1705" t="s">
        <v>3601</v>
      </c>
      <c r="C1705" t="s">
        <v>1482</v>
      </c>
      <c r="D1705" t="s">
        <v>3607</v>
      </c>
      <c r="E1705" t="s">
        <v>3608</v>
      </c>
    </row>
    <row r="1706" spans="1:5" x14ac:dyDescent="0.25">
      <c r="A1706" t="s">
        <v>3570</v>
      </c>
      <c r="B1706" t="s">
        <v>3601</v>
      </c>
      <c r="C1706" t="s">
        <v>1048</v>
      </c>
      <c r="D1706" t="s">
        <v>3607</v>
      </c>
      <c r="E1706" t="s">
        <v>3608</v>
      </c>
    </row>
    <row r="1707" spans="1:5" x14ac:dyDescent="0.25">
      <c r="A1707" t="s">
        <v>3570</v>
      </c>
      <c r="B1707" t="s">
        <v>3601</v>
      </c>
      <c r="C1707" t="s">
        <v>423</v>
      </c>
      <c r="D1707" t="s">
        <v>3603</v>
      </c>
      <c r="E1707" t="s">
        <v>3603</v>
      </c>
    </row>
    <row r="1708" spans="1:5" x14ac:dyDescent="0.25">
      <c r="A1708" t="s">
        <v>3570</v>
      </c>
      <c r="B1708" t="s">
        <v>3601</v>
      </c>
      <c r="C1708" t="s">
        <v>1917</v>
      </c>
      <c r="D1708" t="s">
        <v>3603</v>
      </c>
      <c r="E1708" t="s">
        <v>3604</v>
      </c>
    </row>
    <row r="1709" spans="1:5" x14ac:dyDescent="0.25">
      <c r="A1709" t="s">
        <v>3570</v>
      </c>
      <c r="B1709" t="s">
        <v>3601</v>
      </c>
      <c r="C1709" t="s">
        <v>542</v>
      </c>
      <c r="D1709" t="s">
        <v>3603</v>
      </c>
      <c r="E1709" t="s">
        <v>3603</v>
      </c>
    </row>
    <row r="1710" spans="1:5" x14ac:dyDescent="0.25">
      <c r="A1710" t="s">
        <v>3570</v>
      </c>
      <c r="B1710" t="s">
        <v>3601</v>
      </c>
      <c r="C1710" t="s">
        <v>399</v>
      </c>
      <c r="D1710" t="s">
        <v>3606</v>
      </c>
      <c r="E1710" t="s">
        <v>3605</v>
      </c>
    </row>
    <row r="1711" spans="1:5" x14ac:dyDescent="0.25">
      <c r="A1711" t="s">
        <v>3570</v>
      </c>
      <c r="B1711" t="s">
        <v>3601</v>
      </c>
      <c r="C1711" t="s">
        <v>563</v>
      </c>
      <c r="D1711" t="s">
        <v>3602</v>
      </c>
      <c r="E1711" t="s">
        <v>3603</v>
      </c>
    </row>
    <row r="1712" spans="1:5" x14ac:dyDescent="0.25">
      <c r="A1712" t="s">
        <v>3570</v>
      </c>
      <c r="B1712" t="s">
        <v>3601</v>
      </c>
      <c r="C1712" t="s">
        <v>1846</v>
      </c>
      <c r="D1712" t="s">
        <v>3602</v>
      </c>
      <c r="E1712" t="s">
        <v>3609</v>
      </c>
    </row>
    <row r="1713" spans="1:5" x14ac:dyDescent="0.25">
      <c r="A1713" t="s">
        <v>3570</v>
      </c>
      <c r="B1713" t="s">
        <v>3601</v>
      </c>
      <c r="C1713" t="s">
        <v>2674</v>
      </c>
      <c r="D1713" t="s">
        <v>3607</v>
      </c>
      <c r="E1713" t="s">
        <v>3608</v>
      </c>
    </row>
    <row r="1714" spans="1:5" x14ac:dyDescent="0.25">
      <c r="A1714" t="s">
        <v>3570</v>
      </c>
      <c r="B1714" t="s">
        <v>3601</v>
      </c>
      <c r="C1714" t="s">
        <v>1779</v>
      </c>
      <c r="D1714" t="s">
        <v>3606</v>
      </c>
      <c r="E1714" t="s">
        <v>3605</v>
      </c>
    </row>
    <row r="1715" spans="1:5" x14ac:dyDescent="0.25">
      <c r="A1715" t="s">
        <v>3570</v>
      </c>
      <c r="B1715" t="s">
        <v>3601</v>
      </c>
      <c r="C1715" t="s">
        <v>54</v>
      </c>
      <c r="D1715" t="s">
        <v>3606</v>
      </c>
      <c r="E1715" t="s">
        <v>3609</v>
      </c>
    </row>
    <row r="1716" spans="1:5" x14ac:dyDescent="0.25">
      <c r="A1716" t="s">
        <v>3570</v>
      </c>
      <c r="B1716" t="s">
        <v>3601</v>
      </c>
      <c r="C1716" t="s">
        <v>594</v>
      </c>
      <c r="D1716" t="s">
        <v>3606</v>
      </c>
      <c r="E1716" t="s">
        <v>3605</v>
      </c>
    </row>
    <row r="1717" spans="1:5" x14ac:dyDescent="0.25">
      <c r="A1717" t="s">
        <v>3570</v>
      </c>
      <c r="B1717" t="s">
        <v>3601</v>
      </c>
      <c r="C1717" t="s">
        <v>960</v>
      </c>
      <c r="D1717" t="s">
        <v>3603</v>
      </c>
      <c r="E1717" t="s">
        <v>3609</v>
      </c>
    </row>
    <row r="1718" spans="1:5" x14ac:dyDescent="0.25">
      <c r="A1718" t="s">
        <v>3570</v>
      </c>
      <c r="B1718" t="s">
        <v>3601</v>
      </c>
      <c r="C1718" t="s">
        <v>903</v>
      </c>
      <c r="D1718" t="s">
        <v>3603</v>
      </c>
      <c r="E1718" t="s">
        <v>3609</v>
      </c>
    </row>
    <row r="1719" spans="1:5" x14ac:dyDescent="0.25">
      <c r="A1719" t="s">
        <v>3570</v>
      </c>
      <c r="B1719" t="s">
        <v>3601</v>
      </c>
      <c r="C1719" t="s">
        <v>2345</v>
      </c>
      <c r="D1719" t="s">
        <v>3606</v>
      </c>
      <c r="E1719" t="s">
        <v>3605</v>
      </c>
    </row>
    <row r="1720" spans="1:5" x14ac:dyDescent="0.25">
      <c r="A1720" t="s">
        <v>3570</v>
      </c>
      <c r="B1720" t="s">
        <v>3601</v>
      </c>
      <c r="C1720" t="s">
        <v>1984</v>
      </c>
      <c r="D1720" t="s">
        <v>3602</v>
      </c>
      <c r="E1720" t="s">
        <v>3609</v>
      </c>
    </row>
    <row r="1721" spans="1:5" x14ac:dyDescent="0.25">
      <c r="A1721" t="s">
        <v>3570</v>
      </c>
      <c r="B1721" t="s">
        <v>3601</v>
      </c>
      <c r="C1721" t="s">
        <v>2449</v>
      </c>
      <c r="D1721" t="s">
        <v>3602</v>
      </c>
      <c r="E1721" t="s">
        <v>3609</v>
      </c>
    </row>
    <row r="1722" spans="1:5" x14ac:dyDescent="0.25">
      <c r="A1722" t="s">
        <v>3570</v>
      </c>
      <c r="B1722" t="s">
        <v>3601</v>
      </c>
      <c r="C1722" t="s">
        <v>1266</v>
      </c>
      <c r="D1722" t="s">
        <v>3603</v>
      </c>
      <c r="E1722" t="s">
        <v>3604</v>
      </c>
    </row>
    <row r="1723" spans="1:5" x14ac:dyDescent="0.25">
      <c r="A1723" t="s">
        <v>3570</v>
      </c>
      <c r="B1723" t="s">
        <v>3601</v>
      </c>
      <c r="C1723" t="s">
        <v>2833</v>
      </c>
      <c r="D1723" t="s">
        <v>3603</v>
      </c>
      <c r="E1723" t="s">
        <v>3603</v>
      </c>
    </row>
    <row r="1724" spans="1:5" x14ac:dyDescent="0.25">
      <c r="A1724" t="s">
        <v>3570</v>
      </c>
      <c r="B1724" t="s">
        <v>3601</v>
      </c>
      <c r="C1724" t="s">
        <v>377</v>
      </c>
      <c r="D1724" t="s">
        <v>3603</v>
      </c>
      <c r="E1724" t="s">
        <v>3603</v>
      </c>
    </row>
    <row r="1725" spans="1:5" x14ac:dyDescent="0.25">
      <c r="A1725" t="s">
        <v>3570</v>
      </c>
      <c r="B1725" t="s">
        <v>3601</v>
      </c>
      <c r="C1725" t="s">
        <v>2753</v>
      </c>
      <c r="D1725" t="s">
        <v>3606</v>
      </c>
      <c r="E1725" t="s">
        <v>3604</v>
      </c>
    </row>
    <row r="1726" spans="1:5" x14ac:dyDescent="0.25">
      <c r="A1726" t="s">
        <v>3570</v>
      </c>
      <c r="B1726" t="s">
        <v>3601</v>
      </c>
      <c r="C1726" t="s">
        <v>657</v>
      </c>
      <c r="D1726" t="s">
        <v>3602</v>
      </c>
      <c r="E1726" t="s">
        <v>3605</v>
      </c>
    </row>
    <row r="1727" spans="1:5" x14ac:dyDescent="0.25">
      <c r="A1727" t="s">
        <v>3570</v>
      </c>
      <c r="B1727" t="s">
        <v>3601</v>
      </c>
      <c r="C1727" t="s">
        <v>883</v>
      </c>
      <c r="D1727" t="s">
        <v>3603</v>
      </c>
      <c r="E1727" t="s">
        <v>3603</v>
      </c>
    </row>
    <row r="1728" spans="1:5" x14ac:dyDescent="0.25">
      <c r="A1728" t="s">
        <v>3570</v>
      </c>
      <c r="B1728" t="s">
        <v>3601</v>
      </c>
      <c r="C1728" t="s">
        <v>705</v>
      </c>
      <c r="D1728" t="s">
        <v>3607</v>
      </c>
      <c r="E1728" t="s">
        <v>3608</v>
      </c>
    </row>
    <row r="1729" spans="1:5" x14ac:dyDescent="0.25">
      <c r="A1729" t="s">
        <v>3570</v>
      </c>
      <c r="B1729" t="s">
        <v>3601</v>
      </c>
      <c r="C1729" t="s">
        <v>766</v>
      </c>
      <c r="D1729" t="s">
        <v>3606</v>
      </c>
      <c r="E1729" t="s">
        <v>3604</v>
      </c>
    </row>
    <row r="1730" spans="1:5" x14ac:dyDescent="0.25">
      <c r="A1730" t="s">
        <v>3570</v>
      </c>
      <c r="B1730" t="s">
        <v>3601</v>
      </c>
      <c r="C1730" t="s">
        <v>1875</v>
      </c>
      <c r="D1730" t="s">
        <v>3606</v>
      </c>
      <c r="E1730" t="s">
        <v>3604</v>
      </c>
    </row>
    <row r="1731" spans="1:5" x14ac:dyDescent="0.25">
      <c r="A1731" t="s">
        <v>3570</v>
      </c>
      <c r="B1731" t="s">
        <v>3601</v>
      </c>
      <c r="C1731" t="s">
        <v>783</v>
      </c>
      <c r="D1731" t="s">
        <v>3602</v>
      </c>
      <c r="E1731" t="s">
        <v>3603</v>
      </c>
    </row>
    <row r="1732" spans="1:5" x14ac:dyDescent="0.25">
      <c r="A1732" t="s">
        <v>3570</v>
      </c>
      <c r="B1732" t="s">
        <v>3601</v>
      </c>
      <c r="C1732" t="s">
        <v>535</v>
      </c>
      <c r="D1732" t="s">
        <v>3603</v>
      </c>
      <c r="E1732" t="s">
        <v>3604</v>
      </c>
    </row>
    <row r="1733" spans="1:5" x14ac:dyDescent="0.25">
      <c r="A1733" t="s">
        <v>3570</v>
      </c>
      <c r="B1733" t="s">
        <v>3601</v>
      </c>
      <c r="C1733" t="s">
        <v>1902</v>
      </c>
      <c r="D1733" t="s">
        <v>3602</v>
      </c>
      <c r="E1733" t="s">
        <v>3605</v>
      </c>
    </row>
    <row r="1734" spans="1:5" x14ac:dyDescent="0.25">
      <c r="A1734" t="s">
        <v>3570</v>
      </c>
      <c r="B1734" t="s">
        <v>3601</v>
      </c>
      <c r="C1734" t="s">
        <v>2306</v>
      </c>
      <c r="D1734" t="s">
        <v>3603</v>
      </c>
      <c r="E1734" t="s">
        <v>3604</v>
      </c>
    </row>
    <row r="1735" spans="1:5" x14ac:dyDescent="0.25">
      <c r="A1735" t="s">
        <v>3570</v>
      </c>
      <c r="B1735" t="s">
        <v>3601</v>
      </c>
      <c r="C1735" t="s">
        <v>349</v>
      </c>
      <c r="D1735" t="s">
        <v>3602</v>
      </c>
      <c r="E1735" t="s">
        <v>3609</v>
      </c>
    </row>
    <row r="1736" spans="1:5" x14ac:dyDescent="0.25">
      <c r="A1736" t="s">
        <v>3570</v>
      </c>
      <c r="B1736" t="s">
        <v>3601</v>
      </c>
      <c r="C1736" t="s">
        <v>2116</v>
      </c>
      <c r="D1736" t="s">
        <v>3603</v>
      </c>
      <c r="E1736" t="s">
        <v>3604</v>
      </c>
    </row>
    <row r="1737" spans="1:5" x14ac:dyDescent="0.25">
      <c r="A1737" t="s">
        <v>3570</v>
      </c>
      <c r="B1737" t="s">
        <v>3601</v>
      </c>
      <c r="C1737" t="s">
        <v>1259</v>
      </c>
      <c r="D1737" t="s">
        <v>3606</v>
      </c>
      <c r="E1737" t="s">
        <v>3609</v>
      </c>
    </row>
    <row r="1738" spans="1:5" x14ac:dyDescent="0.25">
      <c r="A1738" t="s">
        <v>3570</v>
      </c>
      <c r="B1738" t="s">
        <v>3601</v>
      </c>
      <c r="C1738" t="s">
        <v>1066</v>
      </c>
      <c r="D1738" t="s">
        <v>3603</v>
      </c>
      <c r="E1738" t="s">
        <v>3609</v>
      </c>
    </row>
    <row r="1739" spans="1:5" x14ac:dyDescent="0.25">
      <c r="A1739" t="s">
        <v>3570</v>
      </c>
      <c r="B1739" t="s">
        <v>3601</v>
      </c>
      <c r="C1739" t="s">
        <v>2562</v>
      </c>
      <c r="D1739" t="s">
        <v>3606</v>
      </c>
      <c r="E1739" t="s">
        <v>3604</v>
      </c>
    </row>
    <row r="1740" spans="1:5" x14ac:dyDescent="0.25">
      <c r="A1740" t="s">
        <v>3570</v>
      </c>
      <c r="B1740" t="s">
        <v>3601</v>
      </c>
      <c r="C1740" t="s">
        <v>992</v>
      </c>
      <c r="D1740" t="s">
        <v>3602</v>
      </c>
      <c r="E1740" t="s">
        <v>3609</v>
      </c>
    </row>
    <row r="1741" spans="1:5" x14ac:dyDescent="0.25">
      <c r="A1741" t="s">
        <v>3570</v>
      </c>
      <c r="B1741" t="s">
        <v>3601</v>
      </c>
      <c r="C1741" t="s">
        <v>1041</v>
      </c>
      <c r="D1741" t="s">
        <v>3606</v>
      </c>
      <c r="E1741" t="s">
        <v>3603</v>
      </c>
    </row>
    <row r="1742" spans="1:5" x14ac:dyDescent="0.25">
      <c r="A1742" t="s">
        <v>3570</v>
      </c>
      <c r="B1742" t="s">
        <v>3601</v>
      </c>
      <c r="C1742" t="s">
        <v>2423</v>
      </c>
      <c r="D1742" t="s">
        <v>3602</v>
      </c>
      <c r="E1742" t="s">
        <v>3605</v>
      </c>
    </row>
    <row r="1743" spans="1:5" x14ac:dyDescent="0.25">
      <c r="A1743" t="s">
        <v>3570</v>
      </c>
      <c r="B1743" t="s">
        <v>3601</v>
      </c>
      <c r="C1743" t="s">
        <v>1116</v>
      </c>
      <c r="D1743" t="s">
        <v>3603</v>
      </c>
      <c r="E1743" t="s">
        <v>3605</v>
      </c>
    </row>
    <row r="1744" spans="1:5" x14ac:dyDescent="0.25">
      <c r="A1744" t="s">
        <v>3570</v>
      </c>
      <c r="B1744" t="s">
        <v>3601</v>
      </c>
      <c r="C1744" t="s">
        <v>870</v>
      </c>
      <c r="D1744" t="s">
        <v>3607</v>
      </c>
      <c r="E1744" t="s">
        <v>3608</v>
      </c>
    </row>
    <row r="1745" spans="1:5" x14ac:dyDescent="0.25">
      <c r="A1745" t="s">
        <v>3570</v>
      </c>
      <c r="B1745" t="s">
        <v>3601</v>
      </c>
      <c r="C1745" t="s">
        <v>1769</v>
      </c>
      <c r="D1745" t="s">
        <v>3607</v>
      </c>
      <c r="E1745" t="s">
        <v>3608</v>
      </c>
    </row>
    <row r="1746" spans="1:5" x14ac:dyDescent="0.25">
      <c r="A1746" t="s">
        <v>3570</v>
      </c>
      <c r="B1746" t="s">
        <v>3601</v>
      </c>
      <c r="C1746" t="s">
        <v>1678</v>
      </c>
      <c r="D1746" t="s">
        <v>3602</v>
      </c>
      <c r="E1746" t="s">
        <v>3604</v>
      </c>
    </row>
    <row r="1747" spans="1:5" x14ac:dyDescent="0.25">
      <c r="A1747" t="s">
        <v>3570</v>
      </c>
      <c r="B1747" t="s">
        <v>3601</v>
      </c>
      <c r="C1747" t="s">
        <v>2602</v>
      </c>
      <c r="D1747" t="s">
        <v>3603</v>
      </c>
      <c r="E1747" t="s">
        <v>3604</v>
      </c>
    </row>
    <row r="1748" spans="1:5" x14ac:dyDescent="0.25">
      <c r="A1748" t="s">
        <v>3570</v>
      </c>
      <c r="B1748" t="s">
        <v>3601</v>
      </c>
      <c r="C1748" t="s">
        <v>1740</v>
      </c>
      <c r="D1748" t="s">
        <v>3607</v>
      </c>
      <c r="E1748" t="s">
        <v>3608</v>
      </c>
    </row>
    <row r="1749" spans="1:5" x14ac:dyDescent="0.25">
      <c r="A1749" t="s">
        <v>3570</v>
      </c>
      <c r="B1749" t="s">
        <v>3601</v>
      </c>
      <c r="C1749" t="s">
        <v>1463</v>
      </c>
      <c r="D1749" t="s">
        <v>3606</v>
      </c>
      <c r="E1749" t="s">
        <v>3603</v>
      </c>
    </row>
    <row r="1750" spans="1:5" x14ac:dyDescent="0.25">
      <c r="A1750" t="s">
        <v>3570</v>
      </c>
      <c r="B1750" t="s">
        <v>3601</v>
      </c>
      <c r="C1750" t="s">
        <v>1880</v>
      </c>
      <c r="D1750" t="s">
        <v>3606</v>
      </c>
      <c r="E1750" t="s">
        <v>3609</v>
      </c>
    </row>
    <row r="1751" spans="1:5" x14ac:dyDescent="0.25">
      <c r="A1751" t="s">
        <v>3570</v>
      </c>
      <c r="B1751" t="s">
        <v>3601</v>
      </c>
      <c r="C1751" t="s">
        <v>2649</v>
      </c>
      <c r="D1751" t="s">
        <v>3607</v>
      </c>
      <c r="E1751" t="s">
        <v>3608</v>
      </c>
    </row>
    <row r="1752" spans="1:5" x14ac:dyDescent="0.25">
      <c r="A1752" t="s">
        <v>3570</v>
      </c>
      <c r="B1752" t="s">
        <v>3601</v>
      </c>
      <c r="C1752" t="s">
        <v>115</v>
      </c>
      <c r="D1752" t="s">
        <v>3607</v>
      </c>
      <c r="E1752" t="s">
        <v>3608</v>
      </c>
    </row>
    <row r="1753" spans="1:5" x14ac:dyDescent="0.25">
      <c r="A1753" t="s">
        <v>3570</v>
      </c>
      <c r="B1753" t="s">
        <v>3601</v>
      </c>
      <c r="C1753" t="s">
        <v>2858</v>
      </c>
      <c r="D1753" t="s">
        <v>3602</v>
      </c>
      <c r="E1753" t="s">
        <v>3604</v>
      </c>
    </row>
    <row r="1754" spans="1:5" x14ac:dyDescent="0.25">
      <c r="A1754" t="s">
        <v>3570</v>
      </c>
      <c r="B1754" t="s">
        <v>3601</v>
      </c>
      <c r="C1754" t="s">
        <v>865</v>
      </c>
      <c r="D1754" t="s">
        <v>3607</v>
      </c>
      <c r="E1754" t="s">
        <v>3608</v>
      </c>
    </row>
    <row r="1755" spans="1:5" x14ac:dyDescent="0.25">
      <c r="A1755" t="s">
        <v>3570</v>
      </c>
      <c r="B1755" t="s">
        <v>3601</v>
      </c>
      <c r="C1755" t="s">
        <v>1095</v>
      </c>
      <c r="D1755" t="s">
        <v>3607</v>
      </c>
      <c r="E1755" t="s">
        <v>3608</v>
      </c>
    </row>
    <row r="1756" spans="1:5" x14ac:dyDescent="0.25">
      <c r="A1756" t="s">
        <v>3570</v>
      </c>
      <c r="B1756" t="s">
        <v>3601</v>
      </c>
      <c r="C1756" t="s">
        <v>44</v>
      </c>
      <c r="D1756" t="s">
        <v>3606</v>
      </c>
      <c r="E1756" t="s">
        <v>3609</v>
      </c>
    </row>
    <row r="1757" spans="1:5" x14ac:dyDescent="0.25">
      <c r="A1757" t="s">
        <v>3570</v>
      </c>
      <c r="B1757" t="s">
        <v>3601</v>
      </c>
      <c r="C1757" t="s">
        <v>2578</v>
      </c>
      <c r="D1757" t="s">
        <v>3603</v>
      </c>
      <c r="E1757" t="s">
        <v>3604</v>
      </c>
    </row>
    <row r="1758" spans="1:5" x14ac:dyDescent="0.25">
      <c r="A1758" t="s">
        <v>3570</v>
      </c>
      <c r="B1758" t="s">
        <v>3601</v>
      </c>
      <c r="C1758" t="s">
        <v>86</v>
      </c>
      <c r="D1758" t="s">
        <v>3606</v>
      </c>
      <c r="E1758" t="s">
        <v>3605</v>
      </c>
    </row>
    <row r="1759" spans="1:5" x14ac:dyDescent="0.25">
      <c r="A1759" t="s">
        <v>3570</v>
      </c>
      <c r="B1759" t="s">
        <v>3601</v>
      </c>
      <c r="C1759" t="s">
        <v>304</v>
      </c>
      <c r="D1759" t="s">
        <v>3606</v>
      </c>
      <c r="E1759" t="s">
        <v>3605</v>
      </c>
    </row>
    <row r="1760" spans="1:5" x14ac:dyDescent="0.25">
      <c r="A1760" t="s">
        <v>3570</v>
      </c>
      <c r="B1760" t="s">
        <v>3601</v>
      </c>
      <c r="C1760" t="s">
        <v>214</v>
      </c>
      <c r="D1760" t="s">
        <v>3607</v>
      </c>
      <c r="E1760" t="s">
        <v>3608</v>
      </c>
    </row>
    <row r="1761" spans="1:5" x14ac:dyDescent="0.25">
      <c r="A1761" t="s">
        <v>3570</v>
      </c>
      <c r="B1761" t="s">
        <v>3601</v>
      </c>
      <c r="C1761" t="s">
        <v>549</v>
      </c>
      <c r="D1761" t="s">
        <v>3602</v>
      </c>
      <c r="E1761" t="s">
        <v>3605</v>
      </c>
    </row>
    <row r="1762" spans="1:5" x14ac:dyDescent="0.25">
      <c r="A1762" t="s">
        <v>3570</v>
      </c>
      <c r="B1762" t="s">
        <v>3601</v>
      </c>
      <c r="C1762" t="s">
        <v>2613</v>
      </c>
      <c r="D1762" t="s">
        <v>3602</v>
      </c>
      <c r="E1762" t="s">
        <v>3605</v>
      </c>
    </row>
    <row r="1763" spans="1:5" x14ac:dyDescent="0.25">
      <c r="A1763" t="s">
        <v>3570</v>
      </c>
      <c r="B1763" t="s">
        <v>3601</v>
      </c>
      <c r="C1763" t="s">
        <v>1271</v>
      </c>
      <c r="D1763" t="s">
        <v>3602</v>
      </c>
      <c r="E1763" t="s">
        <v>3603</v>
      </c>
    </row>
    <row r="1764" spans="1:5" x14ac:dyDescent="0.25">
      <c r="A1764" t="s">
        <v>3570</v>
      </c>
      <c r="B1764" t="s">
        <v>3601</v>
      </c>
      <c r="C1764" t="s">
        <v>1468</v>
      </c>
      <c r="D1764" t="s">
        <v>3607</v>
      </c>
      <c r="E1764" t="s">
        <v>3608</v>
      </c>
    </row>
    <row r="1765" spans="1:5" x14ac:dyDescent="0.25">
      <c r="A1765" t="s">
        <v>3570</v>
      </c>
      <c r="B1765" t="s">
        <v>3601</v>
      </c>
      <c r="C1765" t="s">
        <v>2168</v>
      </c>
      <c r="D1765" t="s">
        <v>3607</v>
      </c>
      <c r="E1765" t="s">
        <v>3608</v>
      </c>
    </row>
    <row r="1766" spans="1:5" x14ac:dyDescent="0.25">
      <c r="A1766" t="s">
        <v>3570</v>
      </c>
      <c r="B1766" t="s">
        <v>3601</v>
      </c>
      <c r="C1766" t="s">
        <v>2086</v>
      </c>
      <c r="D1766" t="s">
        <v>3607</v>
      </c>
      <c r="E1766" t="s">
        <v>3608</v>
      </c>
    </row>
    <row r="1767" spans="1:5" x14ac:dyDescent="0.25">
      <c r="A1767" t="s">
        <v>3570</v>
      </c>
      <c r="B1767" t="s">
        <v>3601</v>
      </c>
      <c r="C1767" t="s">
        <v>2058</v>
      </c>
      <c r="D1767" t="s">
        <v>3602</v>
      </c>
      <c r="E1767" t="s">
        <v>3603</v>
      </c>
    </row>
    <row r="1768" spans="1:5" x14ac:dyDescent="0.25">
      <c r="A1768" t="s">
        <v>3570</v>
      </c>
      <c r="B1768" t="s">
        <v>3601</v>
      </c>
      <c r="C1768" t="s">
        <v>601</v>
      </c>
      <c r="D1768" t="s">
        <v>3606</v>
      </c>
      <c r="E1768" t="s">
        <v>3609</v>
      </c>
    </row>
    <row r="1769" spans="1:5" x14ac:dyDescent="0.25">
      <c r="A1769" t="s">
        <v>3570</v>
      </c>
      <c r="B1769" t="s">
        <v>3601</v>
      </c>
      <c r="C1769" t="s">
        <v>614</v>
      </c>
      <c r="D1769" t="s">
        <v>3603</v>
      </c>
      <c r="E1769" t="s">
        <v>3605</v>
      </c>
    </row>
    <row r="1770" spans="1:5" x14ac:dyDescent="0.25">
      <c r="A1770" t="s">
        <v>3570</v>
      </c>
      <c r="B1770" t="s">
        <v>3610</v>
      </c>
      <c r="C1770" t="s">
        <v>2943</v>
      </c>
      <c r="D1770" t="s">
        <v>3611</v>
      </c>
      <c r="E1770" t="s">
        <v>3608</v>
      </c>
    </row>
    <row r="1771" spans="1:5" x14ac:dyDescent="0.25">
      <c r="A1771" t="s">
        <v>3573</v>
      </c>
      <c r="B1771" t="s">
        <v>3601</v>
      </c>
      <c r="C1771" t="s">
        <v>1518</v>
      </c>
      <c r="D1771" t="s">
        <v>3607</v>
      </c>
      <c r="E1771" t="s">
        <v>3608</v>
      </c>
    </row>
    <row r="1772" spans="1:5" x14ac:dyDescent="0.25">
      <c r="A1772" t="s">
        <v>3573</v>
      </c>
      <c r="B1772" t="s">
        <v>3601</v>
      </c>
      <c r="C1772" t="s">
        <v>1875</v>
      </c>
      <c r="D1772" t="s">
        <v>3607</v>
      </c>
      <c r="E1772" t="s">
        <v>3608</v>
      </c>
    </row>
    <row r="1773" spans="1:5" x14ac:dyDescent="0.25">
      <c r="A1773" t="s">
        <v>3573</v>
      </c>
      <c r="B1773" t="s">
        <v>3601</v>
      </c>
      <c r="C1773" t="s">
        <v>992</v>
      </c>
      <c r="D1773" t="s">
        <v>3606</v>
      </c>
      <c r="E1773" t="s">
        <v>3604</v>
      </c>
    </row>
    <row r="1774" spans="1:5" x14ac:dyDescent="0.25">
      <c r="A1774" t="s">
        <v>3573</v>
      </c>
      <c r="B1774" t="s">
        <v>3601</v>
      </c>
      <c r="C1774" t="s">
        <v>1591</v>
      </c>
      <c r="D1774" t="s">
        <v>3603</v>
      </c>
      <c r="E1774" t="s">
        <v>3609</v>
      </c>
    </row>
    <row r="1775" spans="1:5" x14ac:dyDescent="0.25">
      <c r="A1775" t="s">
        <v>3573</v>
      </c>
      <c r="B1775" t="s">
        <v>3601</v>
      </c>
      <c r="C1775" t="s">
        <v>1503</v>
      </c>
      <c r="D1775" t="s">
        <v>3603</v>
      </c>
      <c r="E1775" t="s">
        <v>3603</v>
      </c>
    </row>
    <row r="1776" spans="1:5" x14ac:dyDescent="0.25">
      <c r="A1776" t="s">
        <v>3573</v>
      </c>
      <c r="B1776" t="s">
        <v>3601</v>
      </c>
      <c r="C1776" t="s">
        <v>2042</v>
      </c>
      <c r="D1776" t="s">
        <v>3606</v>
      </c>
      <c r="E1776" t="s">
        <v>3605</v>
      </c>
    </row>
    <row r="1777" spans="1:5" x14ac:dyDescent="0.25">
      <c r="A1777" t="s">
        <v>3573</v>
      </c>
      <c r="B1777" t="s">
        <v>3601</v>
      </c>
      <c r="C1777" t="s">
        <v>2618</v>
      </c>
      <c r="D1777" t="s">
        <v>3606</v>
      </c>
      <c r="E1777" t="s">
        <v>3609</v>
      </c>
    </row>
    <row r="1778" spans="1:5" x14ac:dyDescent="0.25">
      <c r="A1778" t="s">
        <v>3573</v>
      </c>
      <c r="B1778" t="s">
        <v>3601</v>
      </c>
      <c r="C1778" t="s">
        <v>723</v>
      </c>
      <c r="D1778" t="s">
        <v>3603</v>
      </c>
      <c r="E1778" t="s">
        <v>3603</v>
      </c>
    </row>
    <row r="1779" spans="1:5" x14ac:dyDescent="0.25">
      <c r="A1779" t="s">
        <v>3573</v>
      </c>
      <c r="B1779" t="s">
        <v>3601</v>
      </c>
      <c r="C1779" t="s">
        <v>2207</v>
      </c>
      <c r="D1779" t="s">
        <v>3607</v>
      </c>
      <c r="E1779" t="s">
        <v>3608</v>
      </c>
    </row>
    <row r="1780" spans="1:5" x14ac:dyDescent="0.25">
      <c r="A1780" t="s">
        <v>3573</v>
      </c>
      <c r="B1780" t="s">
        <v>3601</v>
      </c>
      <c r="C1780" t="s">
        <v>1116</v>
      </c>
      <c r="D1780" t="s">
        <v>3602</v>
      </c>
      <c r="E1780" t="s">
        <v>3609</v>
      </c>
    </row>
    <row r="1781" spans="1:5" x14ac:dyDescent="0.25">
      <c r="A1781" t="s">
        <v>3573</v>
      </c>
      <c r="B1781" t="s">
        <v>3601</v>
      </c>
      <c r="C1781" t="s">
        <v>1012</v>
      </c>
      <c r="D1781" t="s">
        <v>3602</v>
      </c>
      <c r="E1781" t="s">
        <v>3609</v>
      </c>
    </row>
    <row r="1782" spans="1:5" x14ac:dyDescent="0.25">
      <c r="A1782" t="s">
        <v>3573</v>
      </c>
      <c r="B1782" t="s">
        <v>3601</v>
      </c>
      <c r="C1782" t="s">
        <v>2724</v>
      </c>
      <c r="D1782" t="s">
        <v>3602</v>
      </c>
      <c r="E1782" t="s">
        <v>3605</v>
      </c>
    </row>
    <row r="1783" spans="1:5" x14ac:dyDescent="0.25">
      <c r="A1783" t="s">
        <v>3573</v>
      </c>
      <c r="B1783" t="s">
        <v>3601</v>
      </c>
      <c r="C1783" t="s">
        <v>1276</v>
      </c>
      <c r="D1783" t="s">
        <v>3607</v>
      </c>
      <c r="E1783" t="s">
        <v>3608</v>
      </c>
    </row>
    <row r="1784" spans="1:5" x14ac:dyDescent="0.25">
      <c r="A1784" t="s">
        <v>3573</v>
      </c>
      <c r="B1784" t="s">
        <v>3601</v>
      </c>
      <c r="C1784" t="s">
        <v>898</v>
      </c>
      <c r="D1784" t="s">
        <v>3603</v>
      </c>
      <c r="E1784" t="s">
        <v>3604</v>
      </c>
    </row>
    <row r="1785" spans="1:5" x14ac:dyDescent="0.25">
      <c r="A1785" t="s">
        <v>3573</v>
      </c>
      <c r="B1785" t="s">
        <v>3601</v>
      </c>
      <c r="C1785" t="s">
        <v>728</v>
      </c>
      <c r="D1785" t="s">
        <v>3603</v>
      </c>
      <c r="E1785" t="s">
        <v>3604</v>
      </c>
    </row>
    <row r="1786" spans="1:5" x14ac:dyDescent="0.25">
      <c r="A1786" t="s">
        <v>3573</v>
      </c>
      <c r="B1786" t="s">
        <v>3601</v>
      </c>
      <c r="C1786" t="s">
        <v>1842</v>
      </c>
      <c r="D1786" t="s">
        <v>3603</v>
      </c>
      <c r="E1786" t="s">
        <v>3603</v>
      </c>
    </row>
    <row r="1787" spans="1:5" x14ac:dyDescent="0.25">
      <c r="A1787" t="s">
        <v>3573</v>
      </c>
      <c r="B1787" t="s">
        <v>3601</v>
      </c>
      <c r="C1787" t="s">
        <v>2267</v>
      </c>
      <c r="D1787" t="s">
        <v>3607</v>
      </c>
      <c r="E1787" t="s">
        <v>3608</v>
      </c>
    </row>
    <row r="1788" spans="1:5" x14ac:dyDescent="0.25">
      <c r="A1788" t="s">
        <v>3573</v>
      </c>
      <c r="B1788" t="s">
        <v>3601</v>
      </c>
      <c r="C1788" t="s">
        <v>2474</v>
      </c>
      <c r="D1788" t="s">
        <v>3603</v>
      </c>
      <c r="E1788" t="s">
        <v>3604</v>
      </c>
    </row>
    <row r="1789" spans="1:5" x14ac:dyDescent="0.25">
      <c r="A1789" t="s">
        <v>3573</v>
      </c>
      <c r="B1789" t="s">
        <v>3601</v>
      </c>
      <c r="C1789" t="s">
        <v>2296</v>
      </c>
      <c r="D1789" t="s">
        <v>3603</v>
      </c>
      <c r="E1789" t="s">
        <v>3605</v>
      </c>
    </row>
    <row r="1790" spans="1:5" x14ac:dyDescent="0.25">
      <c r="A1790" t="s">
        <v>3573</v>
      </c>
      <c r="B1790" t="s">
        <v>3601</v>
      </c>
      <c r="C1790" t="s">
        <v>2547</v>
      </c>
      <c r="D1790" t="s">
        <v>3606</v>
      </c>
      <c r="E1790" t="s">
        <v>3603</v>
      </c>
    </row>
    <row r="1791" spans="1:5" x14ac:dyDescent="0.25">
      <c r="A1791" t="s">
        <v>3573</v>
      </c>
      <c r="B1791" t="s">
        <v>3601</v>
      </c>
      <c r="C1791" t="s">
        <v>2623</v>
      </c>
      <c r="D1791" t="s">
        <v>3603</v>
      </c>
      <c r="E1791" t="s">
        <v>3605</v>
      </c>
    </row>
    <row r="1792" spans="1:5" x14ac:dyDescent="0.25">
      <c r="A1792" t="s">
        <v>3573</v>
      </c>
      <c r="B1792" t="s">
        <v>3601</v>
      </c>
      <c r="C1792" t="s">
        <v>2709</v>
      </c>
      <c r="D1792" t="s">
        <v>3606</v>
      </c>
      <c r="E1792" t="s">
        <v>3609</v>
      </c>
    </row>
    <row r="1793" spans="1:5" x14ac:dyDescent="0.25">
      <c r="A1793" t="s">
        <v>3573</v>
      </c>
      <c r="B1793" t="s">
        <v>3601</v>
      </c>
      <c r="C1793" t="s">
        <v>1458</v>
      </c>
      <c r="D1793" t="s">
        <v>3602</v>
      </c>
      <c r="E1793" t="s">
        <v>3603</v>
      </c>
    </row>
    <row r="1794" spans="1:5" x14ac:dyDescent="0.25">
      <c r="A1794" t="s">
        <v>3573</v>
      </c>
      <c r="B1794" t="s">
        <v>3601</v>
      </c>
      <c r="C1794" t="s">
        <v>1612</v>
      </c>
      <c r="D1794" t="s">
        <v>3602</v>
      </c>
      <c r="E1794" t="s">
        <v>3605</v>
      </c>
    </row>
    <row r="1795" spans="1:5" x14ac:dyDescent="0.25">
      <c r="A1795" t="s">
        <v>3573</v>
      </c>
      <c r="B1795" t="s">
        <v>3601</v>
      </c>
      <c r="C1795" t="s">
        <v>549</v>
      </c>
      <c r="D1795" t="s">
        <v>3603</v>
      </c>
      <c r="E1795" t="s">
        <v>3603</v>
      </c>
    </row>
    <row r="1796" spans="1:5" x14ac:dyDescent="0.25">
      <c r="A1796" t="s">
        <v>3573</v>
      </c>
      <c r="B1796" t="s">
        <v>3601</v>
      </c>
      <c r="C1796" t="s">
        <v>1710</v>
      </c>
      <c r="D1796" t="s">
        <v>3603</v>
      </c>
      <c r="E1796" t="s">
        <v>3609</v>
      </c>
    </row>
    <row r="1797" spans="1:5" x14ac:dyDescent="0.25">
      <c r="A1797" t="s">
        <v>3573</v>
      </c>
      <c r="B1797" t="s">
        <v>3601</v>
      </c>
      <c r="C1797" t="s">
        <v>1237</v>
      </c>
      <c r="D1797" t="s">
        <v>3606</v>
      </c>
      <c r="E1797" t="s">
        <v>3603</v>
      </c>
    </row>
    <row r="1798" spans="1:5" x14ac:dyDescent="0.25">
      <c r="A1798" t="s">
        <v>3573</v>
      </c>
      <c r="B1798" t="s">
        <v>3601</v>
      </c>
      <c r="C1798" t="s">
        <v>1902</v>
      </c>
      <c r="D1798" t="s">
        <v>3602</v>
      </c>
      <c r="E1798" t="s">
        <v>3609</v>
      </c>
    </row>
    <row r="1799" spans="1:5" x14ac:dyDescent="0.25">
      <c r="A1799" t="s">
        <v>3573</v>
      </c>
      <c r="B1799" t="s">
        <v>3601</v>
      </c>
      <c r="C1799" t="s">
        <v>1135</v>
      </c>
      <c r="D1799" t="s">
        <v>3607</v>
      </c>
      <c r="E1799" t="s">
        <v>3608</v>
      </c>
    </row>
    <row r="1800" spans="1:5" x14ac:dyDescent="0.25">
      <c r="A1800" t="s">
        <v>3573</v>
      </c>
      <c r="B1800" t="s">
        <v>3601</v>
      </c>
      <c r="C1800" t="s">
        <v>2116</v>
      </c>
      <c r="D1800" t="s">
        <v>3607</v>
      </c>
      <c r="E1800" t="s">
        <v>3608</v>
      </c>
    </row>
    <row r="1801" spans="1:5" x14ac:dyDescent="0.25">
      <c r="A1801" t="s">
        <v>3573</v>
      </c>
      <c r="B1801" t="s">
        <v>3601</v>
      </c>
      <c r="C1801" t="s">
        <v>1282</v>
      </c>
      <c r="D1801" t="s">
        <v>3603</v>
      </c>
      <c r="E1801" t="s">
        <v>3604</v>
      </c>
    </row>
    <row r="1802" spans="1:5" x14ac:dyDescent="0.25">
      <c r="A1802" t="s">
        <v>3573</v>
      </c>
      <c r="B1802" t="s">
        <v>3601</v>
      </c>
      <c r="C1802" t="s">
        <v>2679</v>
      </c>
      <c r="D1802" t="s">
        <v>3607</v>
      </c>
      <c r="E1802" t="s">
        <v>3608</v>
      </c>
    </row>
    <row r="1803" spans="1:5" x14ac:dyDescent="0.25">
      <c r="A1803" t="s">
        <v>3573</v>
      </c>
      <c r="B1803" t="s">
        <v>3601</v>
      </c>
      <c r="C1803" t="s">
        <v>2689</v>
      </c>
      <c r="D1803" t="s">
        <v>3603</v>
      </c>
      <c r="E1803" t="s">
        <v>3604</v>
      </c>
    </row>
    <row r="1804" spans="1:5" x14ac:dyDescent="0.25">
      <c r="A1804" t="s">
        <v>3573</v>
      </c>
      <c r="B1804" t="s">
        <v>3601</v>
      </c>
      <c r="C1804" t="s">
        <v>1204</v>
      </c>
      <c r="D1804" t="s">
        <v>3607</v>
      </c>
      <c r="E1804" t="s">
        <v>3608</v>
      </c>
    </row>
    <row r="1805" spans="1:5" x14ac:dyDescent="0.25">
      <c r="A1805" t="s">
        <v>3573</v>
      </c>
      <c r="B1805" t="s">
        <v>3601</v>
      </c>
      <c r="C1805" t="s">
        <v>2489</v>
      </c>
      <c r="D1805" t="s">
        <v>3603</v>
      </c>
      <c r="E1805" t="s">
        <v>3604</v>
      </c>
    </row>
    <row r="1806" spans="1:5" x14ac:dyDescent="0.25">
      <c r="A1806" t="s">
        <v>3573</v>
      </c>
      <c r="B1806" t="s">
        <v>3601</v>
      </c>
      <c r="C1806" t="s">
        <v>1487</v>
      </c>
      <c r="D1806" t="s">
        <v>3602</v>
      </c>
      <c r="E1806" t="s">
        <v>3605</v>
      </c>
    </row>
    <row r="1807" spans="1:5" x14ac:dyDescent="0.25">
      <c r="A1807" t="s">
        <v>3573</v>
      </c>
      <c r="B1807" t="s">
        <v>3601</v>
      </c>
      <c r="C1807" t="s">
        <v>914</v>
      </c>
      <c r="D1807" t="s">
        <v>3607</v>
      </c>
      <c r="E1807" t="s">
        <v>3608</v>
      </c>
    </row>
    <row r="1808" spans="1:5" x14ac:dyDescent="0.25">
      <c r="A1808" t="s">
        <v>3573</v>
      </c>
      <c r="B1808" t="s">
        <v>3601</v>
      </c>
      <c r="C1808" t="s">
        <v>1434</v>
      </c>
      <c r="D1808" t="s">
        <v>3603</v>
      </c>
      <c r="E1808" t="s">
        <v>3604</v>
      </c>
    </row>
    <row r="1809" spans="1:5" x14ac:dyDescent="0.25">
      <c r="A1809" t="s">
        <v>3573</v>
      </c>
      <c r="B1809" t="s">
        <v>3601</v>
      </c>
      <c r="C1809" t="s">
        <v>2753</v>
      </c>
      <c r="D1809" t="s">
        <v>3602</v>
      </c>
      <c r="E1809" t="s">
        <v>3603</v>
      </c>
    </row>
    <row r="1810" spans="1:5" x14ac:dyDescent="0.25">
      <c r="A1810" t="s">
        <v>3573</v>
      </c>
      <c r="B1810" t="s">
        <v>3601</v>
      </c>
      <c r="C1810" t="s">
        <v>2649</v>
      </c>
      <c r="D1810" t="s">
        <v>3602</v>
      </c>
      <c r="E1810" t="s">
        <v>3609</v>
      </c>
    </row>
    <row r="1811" spans="1:5" x14ac:dyDescent="0.25">
      <c r="A1811" t="s">
        <v>3573</v>
      </c>
      <c r="B1811" t="s">
        <v>3601</v>
      </c>
      <c r="C1811" t="s">
        <v>44</v>
      </c>
      <c r="D1811" t="s">
        <v>3603</v>
      </c>
      <c r="E1811" t="s">
        <v>3604</v>
      </c>
    </row>
    <row r="1812" spans="1:5" x14ac:dyDescent="0.25">
      <c r="A1812" t="s">
        <v>3573</v>
      </c>
      <c r="B1812" t="s">
        <v>3601</v>
      </c>
      <c r="C1812" t="s">
        <v>2823</v>
      </c>
      <c r="D1812" t="s">
        <v>3603</v>
      </c>
      <c r="E1812" t="s">
        <v>3605</v>
      </c>
    </row>
    <row r="1813" spans="1:5" x14ac:dyDescent="0.25">
      <c r="A1813" t="s">
        <v>3573</v>
      </c>
      <c r="B1813" t="s">
        <v>3601</v>
      </c>
      <c r="C1813" t="s">
        <v>2439</v>
      </c>
      <c r="D1813" t="s">
        <v>3607</v>
      </c>
      <c r="E1813" t="s">
        <v>3608</v>
      </c>
    </row>
    <row r="1814" spans="1:5" x14ac:dyDescent="0.25">
      <c r="A1814" t="s">
        <v>3573</v>
      </c>
      <c r="B1814" t="s">
        <v>3601</v>
      </c>
      <c r="C1814" t="s">
        <v>1221</v>
      </c>
      <c r="D1814" t="s">
        <v>3607</v>
      </c>
      <c r="E1814" t="s">
        <v>3608</v>
      </c>
    </row>
    <row r="1815" spans="1:5" x14ac:dyDescent="0.25">
      <c r="A1815" t="s">
        <v>3573</v>
      </c>
      <c r="B1815" t="s">
        <v>3610</v>
      </c>
      <c r="C1815" t="s">
        <v>2948</v>
      </c>
      <c r="D1815" t="s">
        <v>3607</v>
      </c>
      <c r="E1815" t="s">
        <v>3608</v>
      </c>
    </row>
    <row r="1816" spans="1:5" x14ac:dyDescent="0.25">
      <c r="A1816" t="s">
        <v>3573</v>
      </c>
      <c r="B1816" t="s">
        <v>3610</v>
      </c>
      <c r="C1816" t="s">
        <v>2970</v>
      </c>
      <c r="D1816" t="s">
        <v>3607</v>
      </c>
      <c r="E1816" t="s">
        <v>3608</v>
      </c>
    </row>
    <row r="1817" spans="1:5" x14ac:dyDescent="0.25">
      <c r="A1817" t="s">
        <v>3573</v>
      </c>
      <c r="B1817" t="s">
        <v>3610</v>
      </c>
      <c r="C1817" t="s">
        <v>2943</v>
      </c>
      <c r="D1817" t="s">
        <v>3606</v>
      </c>
      <c r="E1817" t="s">
        <v>3608</v>
      </c>
    </row>
    <row r="1818" spans="1:5" x14ac:dyDescent="0.25">
      <c r="A1818" t="s">
        <v>3573</v>
      </c>
      <c r="B1818" t="s">
        <v>3610</v>
      </c>
      <c r="C1818" t="s">
        <v>2975</v>
      </c>
      <c r="D1818" t="s">
        <v>3606</v>
      </c>
      <c r="E1818" t="s">
        <v>3608</v>
      </c>
    </row>
    <row r="1819" spans="1:5" x14ac:dyDescent="0.25">
      <c r="A1819" t="s">
        <v>3573</v>
      </c>
      <c r="B1819" t="s">
        <v>3610</v>
      </c>
      <c r="C1819" t="s">
        <v>2907</v>
      </c>
      <c r="D1819" t="s">
        <v>3606</v>
      </c>
      <c r="E1819" t="s">
        <v>3608</v>
      </c>
    </row>
    <row r="1820" spans="1:5" x14ac:dyDescent="0.25">
      <c r="A1820" t="s">
        <v>3573</v>
      </c>
      <c r="B1820" t="s">
        <v>3610</v>
      </c>
      <c r="C1820" t="s">
        <v>2900</v>
      </c>
      <c r="D1820" t="s">
        <v>3612</v>
      </c>
      <c r="E1820" t="s">
        <v>3608</v>
      </c>
    </row>
    <row r="1821" spans="1:5" x14ac:dyDescent="0.25">
      <c r="A1821" t="s">
        <v>3575</v>
      </c>
      <c r="B1821" t="s">
        <v>3601</v>
      </c>
      <c r="C1821" t="s">
        <v>1394</v>
      </c>
      <c r="D1821" t="s">
        <v>3607</v>
      </c>
      <c r="E1821" t="s">
        <v>3608</v>
      </c>
    </row>
    <row r="1822" spans="1:5" x14ac:dyDescent="0.25">
      <c r="A1822" t="s">
        <v>3575</v>
      </c>
      <c r="B1822" t="s">
        <v>3601</v>
      </c>
      <c r="C1822" t="s">
        <v>1871</v>
      </c>
      <c r="D1822" t="s">
        <v>3607</v>
      </c>
      <c r="E1822" t="s">
        <v>3608</v>
      </c>
    </row>
    <row r="1823" spans="1:5" x14ac:dyDescent="0.25">
      <c r="A1823" t="s">
        <v>3575</v>
      </c>
      <c r="B1823" t="s">
        <v>3601</v>
      </c>
      <c r="C1823" t="s">
        <v>2249</v>
      </c>
      <c r="D1823" t="s">
        <v>3603</v>
      </c>
      <c r="E1823" t="s">
        <v>3604</v>
      </c>
    </row>
    <row r="1824" spans="1:5" x14ac:dyDescent="0.25">
      <c r="A1824" t="s">
        <v>3575</v>
      </c>
      <c r="B1824" t="s">
        <v>3601</v>
      </c>
      <c r="C1824" t="s">
        <v>705</v>
      </c>
      <c r="D1824" t="s">
        <v>3602</v>
      </c>
      <c r="E1824" t="s">
        <v>3605</v>
      </c>
    </row>
    <row r="1825" spans="1:5" x14ac:dyDescent="0.25">
      <c r="A1825" t="s">
        <v>3575</v>
      </c>
      <c r="B1825" t="s">
        <v>3601</v>
      </c>
      <c r="C1825" t="s">
        <v>1979</v>
      </c>
      <c r="D1825" t="s">
        <v>3606</v>
      </c>
      <c r="E1825" t="s">
        <v>3605</v>
      </c>
    </row>
    <row r="1826" spans="1:5" x14ac:dyDescent="0.25">
      <c r="A1826" t="s">
        <v>3575</v>
      </c>
      <c r="B1826" t="s">
        <v>3601</v>
      </c>
      <c r="C1826" t="s">
        <v>2047</v>
      </c>
      <c r="D1826" t="s">
        <v>3603</v>
      </c>
      <c r="E1826" t="s">
        <v>3609</v>
      </c>
    </row>
    <row r="1827" spans="1:5" x14ac:dyDescent="0.25">
      <c r="A1827" t="s">
        <v>3575</v>
      </c>
      <c r="B1827" t="s">
        <v>3601</v>
      </c>
      <c r="C1827" t="s">
        <v>664</v>
      </c>
      <c r="D1827" t="s">
        <v>3602</v>
      </c>
      <c r="E1827" t="s">
        <v>3605</v>
      </c>
    </row>
    <row r="1828" spans="1:5" x14ac:dyDescent="0.25">
      <c r="A1828" t="s">
        <v>3575</v>
      </c>
      <c r="B1828" t="s">
        <v>3601</v>
      </c>
      <c r="C1828" t="s">
        <v>2848</v>
      </c>
      <c r="D1828" t="s">
        <v>3607</v>
      </c>
      <c r="E1828" t="s">
        <v>3608</v>
      </c>
    </row>
    <row r="1829" spans="1:5" x14ac:dyDescent="0.25">
      <c r="A1829" t="s">
        <v>3575</v>
      </c>
      <c r="B1829" t="s">
        <v>3601</v>
      </c>
      <c r="C1829" t="s">
        <v>1842</v>
      </c>
      <c r="D1829" t="s">
        <v>3602</v>
      </c>
      <c r="E1829" t="s">
        <v>3603</v>
      </c>
    </row>
    <row r="1830" spans="1:5" x14ac:dyDescent="0.25">
      <c r="A1830" t="s">
        <v>3575</v>
      </c>
      <c r="B1830" t="s">
        <v>3601</v>
      </c>
      <c r="C1830" t="s">
        <v>1503</v>
      </c>
      <c r="D1830" t="s">
        <v>3603</v>
      </c>
      <c r="E1830" t="s">
        <v>3603</v>
      </c>
    </row>
    <row r="1831" spans="1:5" x14ac:dyDescent="0.25">
      <c r="A1831" t="s">
        <v>3575</v>
      </c>
      <c r="B1831" t="s">
        <v>3601</v>
      </c>
      <c r="C1831" t="s">
        <v>1105</v>
      </c>
      <c r="D1831" t="s">
        <v>3606</v>
      </c>
      <c r="E1831" t="s">
        <v>3609</v>
      </c>
    </row>
    <row r="1832" spans="1:5" x14ac:dyDescent="0.25">
      <c r="A1832" t="s">
        <v>3575</v>
      </c>
      <c r="B1832" t="s">
        <v>3601</v>
      </c>
      <c r="C1832" t="s">
        <v>2813</v>
      </c>
      <c r="D1832" t="s">
        <v>3606</v>
      </c>
      <c r="E1832" t="s">
        <v>3603</v>
      </c>
    </row>
    <row r="1833" spans="1:5" x14ac:dyDescent="0.25">
      <c r="A1833" t="s">
        <v>3575</v>
      </c>
      <c r="B1833" t="s">
        <v>3601</v>
      </c>
      <c r="C1833" t="s">
        <v>2263</v>
      </c>
      <c r="D1833" t="s">
        <v>3607</v>
      </c>
      <c r="E1833" t="s">
        <v>3608</v>
      </c>
    </row>
    <row r="1834" spans="1:5" x14ac:dyDescent="0.25">
      <c r="A1834" t="s">
        <v>3575</v>
      </c>
      <c r="B1834" t="s">
        <v>3601</v>
      </c>
      <c r="C1834" t="s">
        <v>186</v>
      </c>
      <c r="D1834" t="s">
        <v>3606</v>
      </c>
      <c r="E1834" t="s">
        <v>3605</v>
      </c>
    </row>
    <row r="1835" spans="1:5" x14ac:dyDescent="0.25">
      <c r="A1835" t="s">
        <v>3575</v>
      </c>
      <c r="B1835" t="s">
        <v>3601</v>
      </c>
      <c r="C1835" t="s">
        <v>1820</v>
      </c>
      <c r="D1835" t="s">
        <v>3603</v>
      </c>
      <c r="E1835" t="s">
        <v>3603</v>
      </c>
    </row>
    <row r="1836" spans="1:5" x14ac:dyDescent="0.25">
      <c r="A1836" t="s">
        <v>3575</v>
      </c>
      <c r="B1836" t="s">
        <v>3601</v>
      </c>
      <c r="C1836" t="s">
        <v>2532</v>
      </c>
      <c r="D1836" t="s">
        <v>3606</v>
      </c>
      <c r="E1836" t="s">
        <v>3603</v>
      </c>
    </row>
    <row r="1837" spans="1:5" x14ac:dyDescent="0.25">
      <c r="A1837" t="s">
        <v>3575</v>
      </c>
      <c r="B1837" t="s">
        <v>3601</v>
      </c>
      <c r="C1837" t="s">
        <v>571</v>
      </c>
      <c r="D1837" t="s">
        <v>3607</v>
      </c>
      <c r="E1837" t="s">
        <v>3608</v>
      </c>
    </row>
    <row r="1838" spans="1:5" x14ac:dyDescent="0.25">
      <c r="A1838" t="s">
        <v>3575</v>
      </c>
      <c r="B1838" t="s">
        <v>3601</v>
      </c>
      <c r="C1838" t="s">
        <v>2862</v>
      </c>
      <c r="D1838" t="s">
        <v>3606</v>
      </c>
      <c r="E1838" t="s">
        <v>3603</v>
      </c>
    </row>
    <row r="1839" spans="1:5" x14ac:dyDescent="0.25">
      <c r="A1839" t="s">
        <v>3575</v>
      </c>
      <c r="B1839" t="s">
        <v>3601</v>
      </c>
      <c r="C1839" t="s">
        <v>997</v>
      </c>
      <c r="D1839" t="s">
        <v>3607</v>
      </c>
      <c r="E1839" t="s">
        <v>3608</v>
      </c>
    </row>
    <row r="1840" spans="1:5" x14ac:dyDescent="0.25">
      <c r="A1840" t="s">
        <v>3575</v>
      </c>
      <c r="B1840" t="s">
        <v>3601</v>
      </c>
      <c r="C1840" t="s">
        <v>711</v>
      </c>
      <c r="D1840" t="s">
        <v>3606</v>
      </c>
      <c r="E1840" t="s">
        <v>3604</v>
      </c>
    </row>
    <row r="1841" spans="1:5" x14ac:dyDescent="0.25">
      <c r="A1841" t="s">
        <v>3575</v>
      </c>
      <c r="B1841" t="s">
        <v>3601</v>
      </c>
      <c r="C1841" t="s">
        <v>1565</v>
      </c>
      <c r="D1841" t="s">
        <v>3602</v>
      </c>
      <c r="E1841" t="s">
        <v>3609</v>
      </c>
    </row>
    <row r="1842" spans="1:5" x14ac:dyDescent="0.25">
      <c r="A1842" t="s">
        <v>3575</v>
      </c>
      <c r="B1842" t="s">
        <v>3601</v>
      </c>
      <c r="C1842" t="s">
        <v>1194</v>
      </c>
      <c r="D1842" t="s">
        <v>3602</v>
      </c>
      <c r="E1842" t="s">
        <v>3609</v>
      </c>
    </row>
    <row r="1843" spans="1:5" x14ac:dyDescent="0.25">
      <c r="A1843" t="s">
        <v>3575</v>
      </c>
      <c r="B1843" t="s">
        <v>3601</v>
      </c>
      <c r="C1843" t="s">
        <v>2127</v>
      </c>
      <c r="D1843" t="s">
        <v>3603</v>
      </c>
      <c r="E1843" t="s">
        <v>3609</v>
      </c>
    </row>
    <row r="1844" spans="1:5" x14ac:dyDescent="0.25">
      <c r="A1844" t="s">
        <v>3575</v>
      </c>
      <c r="B1844" t="s">
        <v>3601</v>
      </c>
      <c r="C1844" t="s">
        <v>745</v>
      </c>
      <c r="D1844" t="s">
        <v>3606</v>
      </c>
      <c r="E1844" t="s">
        <v>3604</v>
      </c>
    </row>
    <row r="1845" spans="1:5" x14ac:dyDescent="0.25">
      <c r="A1845" t="s">
        <v>3575</v>
      </c>
      <c r="B1845" t="s">
        <v>3601</v>
      </c>
      <c r="C1845" t="s">
        <v>2311</v>
      </c>
      <c r="D1845" t="s">
        <v>3607</v>
      </c>
      <c r="E1845" t="s">
        <v>3608</v>
      </c>
    </row>
    <row r="1846" spans="1:5" x14ac:dyDescent="0.25">
      <c r="A1846" t="s">
        <v>3575</v>
      </c>
      <c r="B1846" t="s">
        <v>3601</v>
      </c>
      <c r="C1846" t="s">
        <v>643</v>
      </c>
      <c r="D1846" t="s">
        <v>3607</v>
      </c>
      <c r="E1846" t="s">
        <v>3608</v>
      </c>
    </row>
    <row r="1847" spans="1:5" x14ac:dyDescent="0.25">
      <c r="A1847" t="s">
        <v>3575</v>
      </c>
      <c r="B1847" t="s">
        <v>3601</v>
      </c>
      <c r="C1847" t="s">
        <v>2597</v>
      </c>
      <c r="D1847" t="s">
        <v>3606</v>
      </c>
      <c r="E1847" t="s">
        <v>3604</v>
      </c>
    </row>
    <row r="1848" spans="1:5" x14ac:dyDescent="0.25">
      <c r="A1848" t="s">
        <v>3575</v>
      </c>
      <c r="B1848" t="s">
        <v>3601</v>
      </c>
      <c r="C1848" t="s">
        <v>2027</v>
      </c>
      <c r="D1848" t="s">
        <v>3603</v>
      </c>
      <c r="E1848" t="s">
        <v>3604</v>
      </c>
    </row>
    <row r="1849" spans="1:5" x14ac:dyDescent="0.25">
      <c r="A1849" t="s">
        <v>3575</v>
      </c>
      <c r="B1849" t="s">
        <v>3601</v>
      </c>
      <c r="C1849" t="s">
        <v>228</v>
      </c>
      <c r="D1849" t="s">
        <v>3602</v>
      </c>
      <c r="E1849" t="s">
        <v>3604</v>
      </c>
    </row>
    <row r="1850" spans="1:5" x14ac:dyDescent="0.25">
      <c r="A1850" t="s">
        <v>3575</v>
      </c>
      <c r="B1850" t="s">
        <v>3601</v>
      </c>
      <c r="C1850" t="s">
        <v>2116</v>
      </c>
      <c r="D1850" t="s">
        <v>3607</v>
      </c>
      <c r="E1850" t="s">
        <v>3608</v>
      </c>
    </row>
    <row r="1851" spans="1:5" x14ac:dyDescent="0.25">
      <c r="A1851" t="s">
        <v>3575</v>
      </c>
      <c r="B1851" t="s">
        <v>3601</v>
      </c>
      <c r="C1851" t="s">
        <v>1358</v>
      </c>
      <c r="D1851" t="s">
        <v>3603</v>
      </c>
      <c r="E1851" t="s">
        <v>3605</v>
      </c>
    </row>
    <row r="1852" spans="1:5" x14ac:dyDescent="0.25">
      <c r="A1852" t="s">
        <v>3575</v>
      </c>
      <c r="B1852" t="s">
        <v>3601</v>
      </c>
      <c r="C1852" t="s">
        <v>377</v>
      </c>
      <c r="D1852" t="s">
        <v>3607</v>
      </c>
      <c r="E1852" t="s">
        <v>3608</v>
      </c>
    </row>
    <row r="1853" spans="1:5" x14ac:dyDescent="0.25">
      <c r="A1853" t="s">
        <v>3575</v>
      </c>
      <c r="B1853" t="s">
        <v>3601</v>
      </c>
      <c r="C1853" t="s">
        <v>2537</v>
      </c>
      <c r="D1853" t="s">
        <v>3603</v>
      </c>
      <c r="E1853" t="s">
        <v>3604</v>
      </c>
    </row>
    <row r="1854" spans="1:5" x14ac:dyDescent="0.25">
      <c r="A1854" t="s">
        <v>3575</v>
      </c>
      <c r="B1854" t="s">
        <v>3601</v>
      </c>
      <c r="C1854" t="s">
        <v>2704</v>
      </c>
      <c r="D1854" t="s">
        <v>3602</v>
      </c>
      <c r="E1854" t="s">
        <v>3604</v>
      </c>
    </row>
    <row r="1855" spans="1:5" x14ac:dyDescent="0.25">
      <c r="A1855" t="s">
        <v>3575</v>
      </c>
      <c r="B1855" t="s">
        <v>3601</v>
      </c>
      <c r="C1855" t="s">
        <v>2414</v>
      </c>
      <c r="D1855" t="s">
        <v>3603</v>
      </c>
      <c r="E1855" t="s">
        <v>3605</v>
      </c>
    </row>
    <row r="1856" spans="1:5" x14ac:dyDescent="0.25">
      <c r="A1856" t="s">
        <v>3575</v>
      </c>
      <c r="B1856" t="s">
        <v>3601</v>
      </c>
      <c r="C1856" t="s">
        <v>349</v>
      </c>
      <c r="D1856" t="s">
        <v>3607</v>
      </c>
      <c r="E1856" t="s">
        <v>3608</v>
      </c>
    </row>
    <row r="1857" spans="1:5" x14ac:dyDescent="0.25">
      <c r="A1857" t="s">
        <v>3575</v>
      </c>
      <c r="B1857" t="s">
        <v>3601</v>
      </c>
      <c r="C1857" t="s">
        <v>2828</v>
      </c>
      <c r="D1857" t="s">
        <v>3607</v>
      </c>
      <c r="E1857" t="s">
        <v>3608</v>
      </c>
    </row>
    <row r="1858" spans="1:5" x14ac:dyDescent="0.25">
      <c r="A1858" t="s">
        <v>3575</v>
      </c>
      <c r="B1858" t="s">
        <v>3601</v>
      </c>
      <c r="C1858" t="s">
        <v>2469</v>
      </c>
      <c r="D1858" t="s">
        <v>3606</v>
      </c>
      <c r="E1858" t="s">
        <v>3609</v>
      </c>
    </row>
    <row r="1859" spans="1:5" x14ac:dyDescent="0.25">
      <c r="A1859" t="s">
        <v>3575</v>
      </c>
      <c r="B1859" t="s">
        <v>3601</v>
      </c>
      <c r="C1859" t="s">
        <v>601</v>
      </c>
      <c r="D1859" t="s">
        <v>3602</v>
      </c>
      <c r="E1859" t="s">
        <v>3605</v>
      </c>
    </row>
    <row r="1860" spans="1:5" x14ac:dyDescent="0.25">
      <c r="A1860" t="s">
        <v>3575</v>
      </c>
      <c r="B1860" t="s">
        <v>3610</v>
      </c>
      <c r="C1860" t="s">
        <v>2894</v>
      </c>
      <c r="D1860" t="s">
        <v>3606</v>
      </c>
      <c r="E1860" t="s">
        <v>3608</v>
      </c>
    </row>
    <row r="1861" spans="1:5" x14ac:dyDescent="0.25">
      <c r="A1861" t="s">
        <v>3576</v>
      </c>
      <c r="B1861" t="s">
        <v>3601</v>
      </c>
      <c r="C1861" t="s">
        <v>1606</v>
      </c>
      <c r="D1861" t="s">
        <v>3602</v>
      </c>
      <c r="E1861" t="s">
        <v>3605</v>
      </c>
    </row>
    <row r="1862" spans="1:5" x14ac:dyDescent="0.25">
      <c r="A1862" t="s">
        <v>3576</v>
      </c>
      <c r="B1862" t="s">
        <v>3601</v>
      </c>
      <c r="C1862" t="s">
        <v>1468</v>
      </c>
      <c r="D1862" t="s">
        <v>3602</v>
      </c>
      <c r="E1862" t="s">
        <v>3604</v>
      </c>
    </row>
    <row r="1863" spans="1:5" x14ac:dyDescent="0.25">
      <c r="A1863" t="s">
        <v>3576</v>
      </c>
      <c r="B1863" t="s">
        <v>3601</v>
      </c>
      <c r="C1863" t="s">
        <v>2674</v>
      </c>
      <c r="D1863" t="s">
        <v>3606</v>
      </c>
      <c r="E1863" t="s">
        <v>3604</v>
      </c>
    </row>
    <row r="1864" spans="1:5" x14ac:dyDescent="0.25">
      <c r="A1864" t="s">
        <v>3576</v>
      </c>
      <c r="B1864" t="s">
        <v>3601</v>
      </c>
      <c r="C1864" t="s">
        <v>2843</v>
      </c>
      <c r="D1864" t="s">
        <v>3607</v>
      </c>
      <c r="E1864" t="s">
        <v>3608</v>
      </c>
    </row>
    <row r="1865" spans="1:5" x14ac:dyDescent="0.25">
      <c r="A1865" t="s">
        <v>3576</v>
      </c>
      <c r="B1865" t="s">
        <v>3601</v>
      </c>
      <c r="C1865" t="s">
        <v>2788</v>
      </c>
      <c r="D1865" t="s">
        <v>3603</v>
      </c>
      <c r="E1865" t="s">
        <v>3605</v>
      </c>
    </row>
    <row r="1866" spans="1:5" x14ac:dyDescent="0.25">
      <c r="A1866" t="s">
        <v>3576</v>
      </c>
      <c r="B1866" t="s">
        <v>3601</v>
      </c>
      <c r="C1866" t="s">
        <v>728</v>
      </c>
      <c r="D1866" t="s">
        <v>3607</v>
      </c>
      <c r="E1866" t="s">
        <v>3608</v>
      </c>
    </row>
    <row r="1867" spans="1:5" x14ac:dyDescent="0.25">
      <c r="A1867" t="s">
        <v>3576</v>
      </c>
      <c r="B1867" t="s">
        <v>3601</v>
      </c>
      <c r="C1867" t="s">
        <v>1617</v>
      </c>
      <c r="D1867" t="s">
        <v>3602</v>
      </c>
      <c r="E1867" t="s">
        <v>3605</v>
      </c>
    </row>
    <row r="1868" spans="1:5" x14ac:dyDescent="0.25">
      <c r="A1868" t="s">
        <v>3576</v>
      </c>
      <c r="B1868" t="s">
        <v>3601</v>
      </c>
      <c r="C1868" t="s">
        <v>522</v>
      </c>
      <c r="D1868" t="s">
        <v>3602</v>
      </c>
      <c r="E1868" t="s">
        <v>3609</v>
      </c>
    </row>
    <row r="1869" spans="1:5" x14ac:dyDescent="0.25">
      <c r="A1869" t="s">
        <v>3576</v>
      </c>
      <c r="B1869" t="s">
        <v>3601</v>
      </c>
      <c r="C1869" t="s">
        <v>1370</v>
      </c>
      <c r="D1869" t="s">
        <v>3603</v>
      </c>
      <c r="E1869" t="s">
        <v>3609</v>
      </c>
    </row>
    <row r="1870" spans="1:5" x14ac:dyDescent="0.25">
      <c r="A1870" t="s">
        <v>3576</v>
      </c>
      <c r="B1870" t="s">
        <v>3601</v>
      </c>
      <c r="C1870" t="s">
        <v>809</v>
      </c>
      <c r="D1870" t="s">
        <v>3607</v>
      </c>
      <c r="E1870" t="s">
        <v>3608</v>
      </c>
    </row>
    <row r="1871" spans="1:5" x14ac:dyDescent="0.25">
      <c r="A1871" t="s">
        <v>3576</v>
      </c>
      <c r="B1871" t="s">
        <v>3601</v>
      </c>
      <c r="C1871" t="s">
        <v>2238</v>
      </c>
      <c r="D1871" t="s">
        <v>3603</v>
      </c>
      <c r="E1871" t="s">
        <v>3604</v>
      </c>
    </row>
    <row r="1872" spans="1:5" x14ac:dyDescent="0.25">
      <c r="A1872" t="s">
        <v>3576</v>
      </c>
      <c r="B1872" t="s">
        <v>3601</v>
      </c>
      <c r="C1872" t="s">
        <v>1259</v>
      </c>
      <c r="D1872" t="s">
        <v>3607</v>
      </c>
      <c r="E1872" t="s">
        <v>3608</v>
      </c>
    </row>
    <row r="1873" spans="1:5" x14ac:dyDescent="0.25">
      <c r="A1873" t="s">
        <v>3576</v>
      </c>
      <c r="B1873" t="s">
        <v>3601</v>
      </c>
      <c r="C1873" t="s">
        <v>2198</v>
      </c>
      <c r="D1873" t="s">
        <v>3607</v>
      </c>
      <c r="E1873" t="s">
        <v>3608</v>
      </c>
    </row>
    <row r="1874" spans="1:5" x14ac:dyDescent="0.25">
      <c r="A1874" t="s">
        <v>3576</v>
      </c>
      <c r="B1874" t="s">
        <v>3601</v>
      </c>
      <c r="C1874" t="s">
        <v>1327</v>
      </c>
      <c r="D1874" t="s">
        <v>3603</v>
      </c>
      <c r="E1874" t="s">
        <v>3604</v>
      </c>
    </row>
    <row r="1875" spans="1:5" x14ac:dyDescent="0.25">
      <c r="A1875" t="s">
        <v>3576</v>
      </c>
      <c r="B1875" t="s">
        <v>3601</v>
      </c>
      <c r="C1875" t="s">
        <v>267</v>
      </c>
      <c r="D1875" t="s">
        <v>3606</v>
      </c>
      <c r="E1875" t="s">
        <v>3605</v>
      </c>
    </row>
    <row r="1876" spans="1:5" x14ac:dyDescent="0.25">
      <c r="A1876" t="s">
        <v>3576</v>
      </c>
      <c r="B1876" t="s">
        <v>3601</v>
      </c>
      <c r="C1876" t="s">
        <v>2877</v>
      </c>
      <c r="D1876" t="s">
        <v>3602</v>
      </c>
      <c r="E1876" t="s">
        <v>3605</v>
      </c>
    </row>
    <row r="1877" spans="1:5" x14ac:dyDescent="0.25">
      <c r="A1877" t="s">
        <v>3576</v>
      </c>
      <c r="B1877" t="s">
        <v>3601</v>
      </c>
      <c r="C1877" t="s">
        <v>2254</v>
      </c>
      <c r="D1877" t="s">
        <v>3607</v>
      </c>
      <c r="E1877" t="s">
        <v>3608</v>
      </c>
    </row>
    <row r="1878" spans="1:5" x14ac:dyDescent="0.25">
      <c r="A1878" t="s">
        <v>3576</v>
      </c>
      <c r="B1878" t="s">
        <v>3601</v>
      </c>
      <c r="C1878" t="s">
        <v>2479</v>
      </c>
      <c r="D1878" t="s">
        <v>3607</v>
      </c>
      <c r="E1878" t="s">
        <v>3608</v>
      </c>
    </row>
    <row r="1879" spans="1:5" x14ac:dyDescent="0.25">
      <c r="A1879" t="s">
        <v>3576</v>
      </c>
      <c r="B1879" t="s">
        <v>3601</v>
      </c>
      <c r="C1879" t="s">
        <v>2444</v>
      </c>
      <c r="D1879" t="s">
        <v>3603</v>
      </c>
      <c r="E1879" t="s">
        <v>3605</v>
      </c>
    </row>
    <row r="1880" spans="1:5" x14ac:dyDescent="0.25">
      <c r="A1880" t="s">
        <v>3576</v>
      </c>
      <c r="B1880" t="s">
        <v>3601</v>
      </c>
      <c r="C1880" t="s">
        <v>816</v>
      </c>
      <c r="D1880" t="s">
        <v>3606</v>
      </c>
      <c r="E1880" t="s">
        <v>3605</v>
      </c>
    </row>
    <row r="1881" spans="1:5" x14ac:dyDescent="0.25">
      <c r="A1881" t="s">
        <v>3576</v>
      </c>
      <c r="B1881" t="s">
        <v>3601</v>
      </c>
      <c r="C1881" t="s">
        <v>1661</v>
      </c>
      <c r="D1881" t="s">
        <v>3606</v>
      </c>
      <c r="E1881" t="s">
        <v>3609</v>
      </c>
    </row>
    <row r="1882" spans="1:5" x14ac:dyDescent="0.25">
      <c r="A1882" t="s">
        <v>3576</v>
      </c>
      <c r="B1882" t="s">
        <v>3601</v>
      </c>
      <c r="C1882" t="s">
        <v>1815</v>
      </c>
      <c r="D1882" t="s">
        <v>3602</v>
      </c>
      <c r="E1882" t="s">
        <v>3604</v>
      </c>
    </row>
    <row r="1883" spans="1:5" x14ac:dyDescent="0.25">
      <c r="A1883" t="s">
        <v>3576</v>
      </c>
      <c r="B1883" t="s">
        <v>3601</v>
      </c>
      <c r="C1883" t="s">
        <v>1150</v>
      </c>
      <c r="D1883" t="s">
        <v>3603</v>
      </c>
      <c r="E1883" t="s">
        <v>3604</v>
      </c>
    </row>
    <row r="1884" spans="1:5" x14ac:dyDescent="0.25">
      <c r="A1884" t="s">
        <v>3576</v>
      </c>
      <c r="B1884" t="s">
        <v>3601</v>
      </c>
      <c r="C1884" t="s">
        <v>1565</v>
      </c>
      <c r="D1884" t="s">
        <v>3606</v>
      </c>
      <c r="E1884" t="s">
        <v>3609</v>
      </c>
    </row>
    <row r="1885" spans="1:5" x14ac:dyDescent="0.25">
      <c r="A1885" t="s">
        <v>3576</v>
      </c>
      <c r="B1885" t="s">
        <v>3601</v>
      </c>
      <c r="C1885" t="s">
        <v>1736</v>
      </c>
      <c r="D1885" t="s">
        <v>3603</v>
      </c>
      <c r="E1885" t="s">
        <v>3609</v>
      </c>
    </row>
    <row r="1886" spans="1:5" x14ac:dyDescent="0.25">
      <c r="A1886" t="s">
        <v>3576</v>
      </c>
      <c r="B1886" t="s">
        <v>3601</v>
      </c>
      <c r="C1886" t="s">
        <v>333</v>
      </c>
      <c r="D1886" t="s">
        <v>3607</v>
      </c>
      <c r="E1886" t="s">
        <v>3608</v>
      </c>
    </row>
    <row r="1887" spans="1:5" x14ac:dyDescent="0.25">
      <c r="A1887" t="s">
        <v>3576</v>
      </c>
      <c r="B1887" t="s">
        <v>3601</v>
      </c>
      <c r="C1887" t="s">
        <v>877</v>
      </c>
      <c r="D1887" t="s">
        <v>3602</v>
      </c>
      <c r="E1887" t="s">
        <v>3609</v>
      </c>
    </row>
    <row r="1888" spans="1:5" x14ac:dyDescent="0.25">
      <c r="A1888" t="s">
        <v>3576</v>
      </c>
      <c r="B1888" t="s">
        <v>3601</v>
      </c>
      <c r="C1888" t="s">
        <v>1796</v>
      </c>
      <c r="D1888" t="s">
        <v>3606</v>
      </c>
      <c r="E1888" t="s">
        <v>3603</v>
      </c>
    </row>
    <row r="1889" spans="1:5" x14ac:dyDescent="0.25">
      <c r="A1889" t="s">
        <v>3576</v>
      </c>
      <c r="B1889" t="s">
        <v>3601</v>
      </c>
      <c r="C1889" t="s">
        <v>909</v>
      </c>
      <c r="D1889" t="s">
        <v>3603</v>
      </c>
      <c r="E1889" t="s">
        <v>3609</v>
      </c>
    </row>
    <row r="1890" spans="1:5" x14ac:dyDescent="0.25">
      <c r="A1890" t="s">
        <v>3576</v>
      </c>
      <c r="B1890" t="s">
        <v>3601</v>
      </c>
      <c r="C1890" t="s">
        <v>1167</v>
      </c>
      <c r="D1890" t="s">
        <v>3606</v>
      </c>
      <c r="E1890" t="s">
        <v>3605</v>
      </c>
    </row>
    <row r="1891" spans="1:5" x14ac:dyDescent="0.25">
      <c r="A1891" t="s">
        <v>3576</v>
      </c>
      <c r="B1891" t="s">
        <v>3601</v>
      </c>
      <c r="C1891" t="s">
        <v>1852</v>
      </c>
      <c r="D1891" t="s">
        <v>3602</v>
      </c>
      <c r="E1891" t="s">
        <v>3604</v>
      </c>
    </row>
    <row r="1892" spans="1:5" x14ac:dyDescent="0.25">
      <c r="A1892" t="s">
        <v>3576</v>
      </c>
      <c r="B1892" t="s">
        <v>3601</v>
      </c>
      <c r="C1892" t="s">
        <v>2301</v>
      </c>
      <c r="D1892" t="s">
        <v>3602</v>
      </c>
      <c r="E1892" t="s">
        <v>3603</v>
      </c>
    </row>
    <row r="1893" spans="1:5" x14ac:dyDescent="0.25">
      <c r="A1893" t="s">
        <v>3576</v>
      </c>
      <c r="B1893" t="s">
        <v>3601</v>
      </c>
      <c r="C1893" t="s">
        <v>1128</v>
      </c>
      <c r="D1893" t="s">
        <v>3603</v>
      </c>
      <c r="E1893" t="s">
        <v>3605</v>
      </c>
    </row>
    <row r="1894" spans="1:5" x14ac:dyDescent="0.25">
      <c r="A1894" t="s">
        <v>3576</v>
      </c>
      <c r="B1894" t="s">
        <v>3601</v>
      </c>
      <c r="C1894" t="s">
        <v>1183</v>
      </c>
      <c r="D1894" t="s">
        <v>3607</v>
      </c>
      <c r="E1894" t="s">
        <v>3608</v>
      </c>
    </row>
    <row r="1895" spans="1:5" x14ac:dyDescent="0.25">
      <c r="A1895" t="s">
        <v>3576</v>
      </c>
      <c r="B1895" t="s">
        <v>3601</v>
      </c>
      <c r="C1895" t="s">
        <v>399</v>
      </c>
      <c r="D1895" t="s">
        <v>3603</v>
      </c>
      <c r="E1895" t="s">
        <v>3604</v>
      </c>
    </row>
    <row r="1896" spans="1:5" x14ac:dyDescent="0.25">
      <c r="A1896" t="s">
        <v>3576</v>
      </c>
      <c r="B1896" t="s">
        <v>3601</v>
      </c>
      <c r="C1896" t="s">
        <v>587</v>
      </c>
      <c r="D1896" t="s">
        <v>3607</v>
      </c>
      <c r="E1896" t="s">
        <v>3608</v>
      </c>
    </row>
    <row r="1897" spans="1:5" x14ac:dyDescent="0.25">
      <c r="A1897" t="s">
        <v>3576</v>
      </c>
      <c r="B1897" t="s">
        <v>3601</v>
      </c>
      <c r="C1897" t="s">
        <v>745</v>
      </c>
      <c r="D1897" t="s">
        <v>3603</v>
      </c>
      <c r="E1897" t="s">
        <v>3603</v>
      </c>
    </row>
    <row r="1898" spans="1:5" x14ac:dyDescent="0.25">
      <c r="A1898" t="s">
        <v>3576</v>
      </c>
      <c r="B1898" t="s">
        <v>3601</v>
      </c>
      <c r="C1898" t="s">
        <v>1503</v>
      </c>
      <c r="D1898" t="s">
        <v>3603</v>
      </c>
      <c r="E1898" t="s">
        <v>3605</v>
      </c>
    </row>
    <row r="1899" spans="1:5" x14ac:dyDescent="0.25">
      <c r="A1899" t="s">
        <v>3576</v>
      </c>
      <c r="B1899" t="s">
        <v>3601</v>
      </c>
      <c r="C1899" t="s">
        <v>1990</v>
      </c>
      <c r="D1899" t="s">
        <v>3606</v>
      </c>
      <c r="E1899" t="s">
        <v>3605</v>
      </c>
    </row>
    <row r="1900" spans="1:5" x14ac:dyDescent="0.25">
      <c r="A1900" t="s">
        <v>3576</v>
      </c>
      <c r="B1900" t="s">
        <v>3601</v>
      </c>
      <c r="C1900" t="s">
        <v>2522</v>
      </c>
      <c r="D1900" t="s">
        <v>3603</v>
      </c>
      <c r="E1900" t="s">
        <v>3605</v>
      </c>
    </row>
    <row r="1901" spans="1:5" x14ac:dyDescent="0.25">
      <c r="A1901" t="s">
        <v>3576</v>
      </c>
      <c r="B1901" t="s">
        <v>3601</v>
      </c>
      <c r="C1901" t="s">
        <v>1028</v>
      </c>
      <c r="D1901" t="s">
        <v>3606</v>
      </c>
      <c r="E1901" t="s">
        <v>3609</v>
      </c>
    </row>
    <row r="1902" spans="1:5" x14ac:dyDescent="0.25">
      <c r="A1902" t="s">
        <v>3576</v>
      </c>
      <c r="B1902" t="s">
        <v>3601</v>
      </c>
      <c r="C1902" t="s">
        <v>2213</v>
      </c>
      <c r="D1902" t="s">
        <v>3602</v>
      </c>
      <c r="E1902" t="s">
        <v>3609</v>
      </c>
    </row>
    <row r="1903" spans="1:5" x14ac:dyDescent="0.25">
      <c r="A1903" t="s">
        <v>3576</v>
      </c>
      <c r="B1903" t="s">
        <v>3601</v>
      </c>
      <c r="C1903" t="s">
        <v>1810</v>
      </c>
      <c r="D1903" t="s">
        <v>3602</v>
      </c>
      <c r="E1903" t="s">
        <v>3605</v>
      </c>
    </row>
    <row r="1904" spans="1:5" x14ac:dyDescent="0.25">
      <c r="A1904" t="s">
        <v>3576</v>
      </c>
      <c r="B1904" t="s">
        <v>3601</v>
      </c>
      <c r="C1904" t="s">
        <v>1221</v>
      </c>
      <c r="D1904" t="s">
        <v>3606</v>
      </c>
      <c r="E1904" t="s">
        <v>3605</v>
      </c>
    </row>
    <row r="1905" spans="1:5" x14ac:dyDescent="0.25">
      <c r="A1905" t="s">
        <v>3576</v>
      </c>
      <c r="B1905" t="s">
        <v>3601</v>
      </c>
      <c r="C1905" t="s">
        <v>1418</v>
      </c>
      <c r="D1905" t="s">
        <v>3603</v>
      </c>
      <c r="E1905" t="s">
        <v>3603</v>
      </c>
    </row>
    <row r="1906" spans="1:5" x14ac:dyDescent="0.25">
      <c r="A1906" t="s">
        <v>3576</v>
      </c>
      <c r="B1906" t="s">
        <v>3601</v>
      </c>
      <c r="C1906" t="s">
        <v>1248</v>
      </c>
      <c r="D1906" t="s">
        <v>3602</v>
      </c>
      <c r="E1906" t="s">
        <v>3609</v>
      </c>
    </row>
    <row r="1907" spans="1:5" x14ac:dyDescent="0.25">
      <c r="A1907" t="s">
        <v>3576</v>
      </c>
      <c r="B1907" t="s">
        <v>3601</v>
      </c>
      <c r="C1907" t="s">
        <v>629</v>
      </c>
      <c r="D1907" t="s">
        <v>3607</v>
      </c>
      <c r="E1907" t="s">
        <v>3608</v>
      </c>
    </row>
    <row r="1908" spans="1:5" x14ac:dyDescent="0.25">
      <c r="A1908" t="s">
        <v>3576</v>
      </c>
      <c r="B1908" t="s">
        <v>3601</v>
      </c>
      <c r="C1908" t="s">
        <v>443</v>
      </c>
      <c r="D1908" t="s">
        <v>3603</v>
      </c>
      <c r="E1908" t="s">
        <v>3603</v>
      </c>
    </row>
    <row r="1909" spans="1:5" x14ac:dyDescent="0.25">
      <c r="A1909" t="s">
        <v>3576</v>
      </c>
      <c r="B1909" t="s">
        <v>3601</v>
      </c>
      <c r="C1909" t="s">
        <v>1694</v>
      </c>
      <c r="D1909" t="s">
        <v>3607</v>
      </c>
      <c r="E1909" t="s">
        <v>3608</v>
      </c>
    </row>
    <row r="1910" spans="1:5" x14ac:dyDescent="0.25">
      <c r="A1910" t="s">
        <v>3576</v>
      </c>
      <c r="B1910" t="s">
        <v>3601</v>
      </c>
      <c r="C1910" t="s">
        <v>1444</v>
      </c>
      <c r="D1910" t="s">
        <v>3603</v>
      </c>
      <c r="E1910" t="s">
        <v>3604</v>
      </c>
    </row>
    <row r="1911" spans="1:5" x14ac:dyDescent="0.25">
      <c r="A1911" t="s">
        <v>3576</v>
      </c>
      <c r="B1911" t="s">
        <v>3601</v>
      </c>
      <c r="C1911" t="s">
        <v>2862</v>
      </c>
      <c r="D1911" t="s">
        <v>3607</v>
      </c>
      <c r="E1911" t="s">
        <v>3608</v>
      </c>
    </row>
    <row r="1912" spans="1:5" x14ac:dyDescent="0.25">
      <c r="A1912" t="s">
        <v>3576</v>
      </c>
      <c r="B1912" t="s">
        <v>3601</v>
      </c>
      <c r="C1912" t="s">
        <v>2091</v>
      </c>
      <c r="D1912" t="s">
        <v>3603</v>
      </c>
      <c r="E1912" t="s">
        <v>3609</v>
      </c>
    </row>
    <row r="1913" spans="1:5" x14ac:dyDescent="0.25">
      <c r="A1913" t="s">
        <v>3576</v>
      </c>
      <c r="B1913" t="s">
        <v>3601</v>
      </c>
      <c r="C1913" t="s">
        <v>1478</v>
      </c>
      <c r="D1913" t="s">
        <v>3603</v>
      </c>
      <c r="E1913" t="s">
        <v>3604</v>
      </c>
    </row>
    <row r="1914" spans="1:5" x14ac:dyDescent="0.25">
      <c r="A1914" t="s">
        <v>3576</v>
      </c>
      <c r="B1914" t="s">
        <v>3601</v>
      </c>
      <c r="C1914" t="s">
        <v>1942</v>
      </c>
      <c r="D1914" t="s">
        <v>3607</v>
      </c>
      <c r="E1914" t="s">
        <v>3608</v>
      </c>
    </row>
    <row r="1915" spans="1:5" x14ac:dyDescent="0.25">
      <c r="A1915" t="s">
        <v>3576</v>
      </c>
      <c r="B1915" t="s">
        <v>3610</v>
      </c>
      <c r="C1915" t="s">
        <v>2924</v>
      </c>
      <c r="D1915" t="s">
        <v>3612</v>
      </c>
      <c r="E1915" t="s">
        <v>3608</v>
      </c>
    </row>
    <row r="1916" spans="1:5" x14ac:dyDescent="0.25">
      <c r="A1916" t="s">
        <v>3578</v>
      </c>
      <c r="B1916" t="s">
        <v>3601</v>
      </c>
      <c r="C1916" t="s">
        <v>1294</v>
      </c>
      <c r="D1916" t="s">
        <v>3602</v>
      </c>
      <c r="E1916" t="s">
        <v>3609</v>
      </c>
    </row>
    <row r="1917" spans="1:5" x14ac:dyDescent="0.25">
      <c r="A1917" t="s">
        <v>3578</v>
      </c>
      <c r="B1917" t="s">
        <v>3601</v>
      </c>
      <c r="C1917" t="s">
        <v>1248</v>
      </c>
      <c r="D1917" t="s">
        <v>3606</v>
      </c>
      <c r="E1917" t="s">
        <v>3609</v>
      </c>
    </row>
    <row r="1918" spans="1:5" x14ac:dyDescent="0.25">
      <c r="A1918" t="s">
        <v>3578</v>
      </c>
      <c r="B1918" t="s">
        <v>3601</v>
      </c>
      <c r="C1918" t="s">
        <v>664</v>
      </c>
      <c r="D1918" t="s">
        <v>3602</v>
      </c>
      <c r="E1918" t="s">
        <v>3604</v>
      </c>
    </row>
    <row r="1919" spans="1:5" x14ac:dyDescent="0.25">
      <c r="A1919" t="s">
        <v>3578</v>
      </c>
      <c r="B1919" t="s">
        <v>3601</v>
      </c>
      <c r="C1919" t="s">
        <v>1927</v>
      </c>
      <c r="D1919" t="s">
        <v>3602</v>
      </c>
      <c r="E1919" t="s">
        <v>3604</v>
      </c>
    </row>
    <row r="1920" spans="1:5" x14ac:dyDescent="0.25">
      <c r="A1920" t="s">
        <v>3578</v>
      </c>
      <c r="B1920" t="s">
        <v>3601</v>
      </c>
      <c r="C1920" t="s">
        <v>1105</v>
      </c>
      <c r="D1920" t="s">
        <v>3603</v>
      </c>
      <c r="E1920" t="s">
        <v>3603</v>
      </c>
    </row>
    <row r="1921" spans="1:5" x14ac:dyDescent="0.25">
      <c r="A1921" t="s">
        <v>3578</v>
      </c>
      <c r="B1921" t="s">
        <v>3601</v>
      </c>
      <c r="C1921" t="s">
        <v>535</v>
      </c>
      <c r="D1921" t="s">
        <v>3607</v>
      </c>
      <c r="E1921" t="s">
        <v>3608</v>
      </c>
    </row>
    <row r="1922" spans="1:5" x14ac:dyDescent="0.25">
      <c r="A1922" t="s">
        <v>3578</v>
      </c>
      <c r="B1922" t="s">
        <v>3601</v>
      </c>
      <c r="C1922" t="s">
        <v>2704</v>
      </c>
      <c r="D1922" t="s">
        <v>3603</v>
      </c>
      <c r="E1922" t="s">
        <v>3605</v>
      </c>
    </row>
    <row r="1923" spans="1:5" x14ac:dyDescent="0.25">
      <c r="A1923" t="s">
        <v>3578</v>
      </c>
      <c r="B1923" t="s">
        <v>3601</v>
      </c>
      <c r="C1923" t="s">
        <v>2817</v>
      </c>
      <c r="D1923" t="s">
        <v>3603</v>
      </c>
      <c r="E1923" t="s">
        <v>3605</v>
      </c>
    </row>
    <row r="1924" spans="1:5" x14ac:dyDescent="0.25">
      <c r="A1924" t="s">
        <v>3578</v>
      </c>
      <c r="B1924" t="s">
        <v>3601</v>
      </c>
      <c r="C1924" t="s">
        <v>1974</v>
      </c>
      <c r="D1924" t="s">
        <v>3607</v>
      </c>
      <c r="E1924" t="s">
        <v>3608</v>
      </c>
    </row>
    <row r="1925" spans="1:5" x14ac:dyDescent="0.25">
      <c r="A1925" t="s">
        <v>3578</v>
      </c>
      <c r="B1925" t="s">
        <v>3601</v>
      </c>
      <c r="C1925" t="s">
        <v>462</v>
      </c>
      <c r="D1925" t="s">
        <v>3603</v>
      </c>
      <c r="E1925" t="s">
        <v>3605</v>
      </c>
    </row>
    <row r="1926" spans="1:5" x14ac:dyDescent="0.25">
      <c r="A1926" t="s">
        <v>3578</v>
      </c>
      <c r="B1926" t="s">
        <v>3601</v>
      </c>
      <c r="C1926" t="s">
        <v>2608</v>
      </c>
      <c r="D1926" t="s">
        <v>3602</v>
      </c>
      <c r="E1926" t="s">
        <v>3605</v>
      </c>
    </row>
    <row r="1927" spans="1:5" x14ac:dyDescent="0.25">
      <c r="A1927" t="s">
        <v>3578</v>
      </c>
      <c r="B1927" t="s">
        <v>3601</v>
      </c>
      <c r="C1927" t="s">
        <v>2399</v>
      </c>
      <c r="D1927" t="s">
        <v>3602</v>
      </c>
      <c r="E1927" t="s">
        <v>3609</v>
      </c>
    </row>
    <row r="1928" spans="1:5" x14ac:dyDescent="0.25">
      <c r="A1928" t="s">
        <v>3578</v>
      </c>
      <c r="B1928" t="s">
        <v>3601</v>
      </c>
      <c r="C1928" t="s">
        <v>852</v>
      </c>
      <c r="D1928" t="s">
        <v>3603</v>
      </c>
      <c r="E1928" t="s">
        <v>3603</v>
      </c>
    </row>
    <row r="1929" spans="1:5" x14ac:dyDescent="0.25">
      <c r="A1929" t="s">
        <v>3578</v>
      </c>
      <c r="B1929" t="s">
        <v>3601</v>
      </c>
      <c r="C1929" t="s">
        <v>826</v>
      </c>
      <c r="D1929" t="s">
        <v>3606</v>
      </c>
      <c r="E1929" t="s">
        <v>3605</v>
      </c>
    </row>
    <row r="1930" spans="1:5" x14ac:dyDescent="0.25">
      <c r="A1930" t="s">
        <v>3578</v>
      </c>
      <c r="B1930" t="s">
        <v>3601</v>
      </c>
      <c r="C1930" t="s">
        <v>549</v>
      </c>
      <c r="D1930" t="s">
        <v>3603</v>
      </c>
      <c r="E1930" t="s">
        <v>3603</v>
      </c>
    </row>
    <row r="1931" spans="1:5" x14ac:dyDescent="0.25">
      <c r="A1931" t="s">
        <v>3578</v>
      </c>
      <c r="B1931" t="s">
        <v>3601</v>
      </c>
      <c r="C1931" t="s">
        <v>691</v>
      </c>
      <c r="D1931" t="s">
        <v>3606</v>
      </c>
      <c r="E1931" t="s">
        <v>3603</v>
      </c>
    </row>
    <row r="1932" spans="1:5" x14ac:dyDescent="0.25">
      <c r="A1932" t="s">
        <v>3578</v>
      </c>
      <c r="B1932" t="s">
        <v>3601</v>
      </c>
      <c r="C1932" t="s">
        <v>1188</v>
      </c>
      <c r="D1932" t="s">
        <v>3602</v>
      </c>
      <c r="E1932" t="s">
        <v>3604</v>
      </c>
    </row>
    <row r="1933" spans="1:5" x14ac:dyDescent="0.25">
      <c r="A1933" t="s">
        <v>3578</v>
      </c>
      <c r="B1933" t="s">
        <v>3601</v>
      </c>
      <c r="C1933" t="s">
        <v>2798</v>
      </c>
      <c r="D1933" t="s">
        <v>3602</v>
      </c>
      <c r="E1933" t="s">
        <v>3603</v>
      </c>
    </row>
    <row r="1934" spans="1:5" x14ac:dyDescent="0.25">
      <c r="A1934" t="s">
        <v>3578</v>
      </c>
      <c r="B1934" t="s">
        <v>3601</v>
      </c>
      <c r="C1934" t="s">
        <v>2578</v>
      </c>
      <c r="D1934" t="s">
        <v>3606</v>
      </c>
      <c r="E1934" t="s">
        <v>3609</v>
      </c>
    </row>
    <row r="1935" spans="1:5" x14ac:dyDescent="0.25">
      <c r="A1935" t="s">
        <v>3578</v>
      </c>
      <c r="B1935" t="s">
        <v>3601</v>
      </c>
      <c r="C1935" t="s">
        <v>1048</v>
      </c>
      <c r="D1935" t="s">
        <v>3602</v>
      </c>
      <c r="E1935" t="s">
        <v>3605</v>
      </c>
    </row>
    <row r="1936" spans="1:5" x14ac:dyDescent="0.25">
      <c r="A1936" t="s">
        <v>3578</v>
      </c>
      <c r="B1936" t="s">
        <v>3601</v>
      </c>
      <c r="C1936" t="s">
        <v>1377</v>
      </c>
      <c r="D1936" t="s">
        <v>3602</v>
      </c>
      <c r="E1936" t="s">
        <v>3609</v>
      </c>
    </row>
    <row r="1937" spans="1:5" x14ac:dyDescent="0.25">
      <c r="A1937" t="s">
        <v>3578</v>
      </c>
      <c r="B1937" t="s">
        <v>3601</v>
      </c>
      <c r="C1937" t="s">
        <v>2183</v>
      </c>
      <c r="D1937" t="s">
        <v>3602</v>
      </c>
      <c r="E1937" t="s">
        <v>3609</v>
      </c>
    </row>
    <row r="1938" spans="1:5" x14ac:dyDescent="0.25">
      <c r="A1938" t="s">
        <v>3578</v>
      </c>
      <c r="B1938" t="s">
        <v>3601</v>
      </c>
      <c r="C1938" t="s">
        <v>1383</v>
      </c>
      <c r="D1938" t="s">
        <v>3603</v>
      </c>
      <c r="E1938" t="s">
        <v>3603</v>
      </c>
    </row>
    <row r="1939" spans="1:5" x14ac:dyDescent="0.25">
      <c r="A1939" t="s">
        <v>3578</v>
      </c>
      <c r="B1939" t="s">
        <v>3601</v>
      </c>
      <c r="C1939" t="s">
        <v>86</v>
      </c>
      <c r="D1939" t="s">
        <v>3602</v>
      </c>
      <c r="E1939" t="s">
        <v>3603</v>
      </c>
    </row>
    <row r="1940" spans="1:5" x14ac:dyDescent="0.25">
      <c r="A1940" t="s">
        <v>3578</v>
      </c>
      <c r="B1940" t="s">
        <v>3601</v>
      </c>
      <c r="C1940" t="s">
        <v>2100</v>
      </c>
      <c r="D1940" t="s">
        <v>3603</v>
      </c>
      <c r="E1940" t="s">
        <v>3605</v>
      </c>
    </row>
    <row r="1941" spans="1:5" x14ac:dyDescent="0.25">
      <c r="A1941" t="s">
        <v>3578</v>
      </c>
      <c r="B1941" t="s">
        <v>3601</v>
      </c>
      <c r="C1941" t="s">
        <v>1862</v>
      </c>
      <c r="D1941" t="s">
        <v>3606</v>
      </c>
      <c r="E1941" t="s">
        <v>3609</v>
      </c>
    </row>
    <row r="1942" spans="1:5" x14ac:dyDescent="0.25">
      <c r="A1942" t="s">
        <v>3578</v>
      </c>
      <c r="B1942" t="s">
        <v>3601</v>
      </c>
      <c r="C1942" t="s">
        <v>2537</v>
      </c>
      <c r="D1942" t="s">
        <v>3606</v>
      </c>
      <c r="E1942" t="s">
        <v>3605</v>
      </c>
    </row>
    <row r="1943" spans="1:5" x14ac:dyDescent="0.25">
      <c r="A1943" t="s">
        <v>3578</v>
      </c>
      <c r="B1943" t="s">
        <v>3601</v>
      </c>
      <c r="C1943" t="s">
        <v>2748</v>
      </c>
      <c r="D1943" t="s">
        <v>3603</v>
      </c>
      <c r="E1943" t="s">
        <v>3605</v>
      </c>
    </row>
    <row r="1944" spans="1:5" x14ac:dyDescent="0.25">
      <c r="A1944" t="s">
        <v>3578</v>
      </c>
      <c r="B1944" t="s">
        <v>3601</v>
      </c>
      <c r="C1944" t="s">
        <v>2105</v>
      </c>
      <c r="D1944" t="s">
        <v>3606</v>
      </c>
      <c r="E1944" t="s">
        <v>3604</v>
      </c>
    </row>
    <row r="1945" spans="1:5" x14ac:dyDescent="0.25">
      <c r="A1945" t="s">
        <v>3578</v>
      </c>
      <c r="B1945" t="s">
        <v>3601</v>
      </c>
      <c r="C1945" t="s">
        <v>723</v>
      </c>
      <c r="D1945" t="s">
        <v>3603</v>
      </c>
      <c r="E1945" t="s">
        <v>3604</v>
      </c>
    </row>
    <row r="1946" spans="1:5" x14ac:dyDescent="0.25">
      <c r="A1946" t="s">
        <v>3578</v>
      </c>
      <c r="B1946" t="s">
        <v>3601</v>
      </c>
      <c r="C1946" t="s">
        <v>979</v>
      </c>
      <c r="D1946" t="s">
        <v>3603</v>
      </c>
      <c r="E1946" t="s">
        <v>3603</v>
      </c>
    </row>
    <row r="1947" spans="1:5" x14ac:dyDescent="0.25">
      <c r="A1947" t="s">
        <v>3578</v>
      </c>
      <c r="B1947" t="s">
        <v>3601</v>
      </c>
      <c r="C1947" t="s">
        <v>832</v>
      </c>
      <c r="D1947" t="s">
        <v>3606</v>
      </c>
      <c r="E1947" t="s">
        <v>3604</v>
      </c>
    </row>
    <row r="1948" spans="1:5" x14ac:dyDescent="0.25">
      <c r="A1948" t="s">
        <v>3578</v>
      </c>
      <c r="B1948" t="s">
        <v>3601</v>
      </c>
      <c r="C1948" t="s">
        <v>2512</v>
      </c>
      <c r="D1948" t="s">
        <v>3602</v>
      </c>
      <c r="E1948" t="s">
        <v>3609</v>
      </c>
    </row>
    <row r="1949" spans="1:5" x14ac:dyDescent="0.25">
      <c r="A1949" t="s">
        <v>3578</v>
      </c>
      <c r="B1949" t="s">
        <v>3601</v>
      </c>
      <c r="C1949" t="s">
        <v>2291</v>
      </c>
      <c r="D1949" t="s">
        <v>3603</v>
      </c>
      <c r="E1949" t="s">
        <v>3604</v>
      </c>
    </row>
    <row r="1950" spans="1:5" x14ac:dyDescent="0.25">
      <c r="A1950" t="s">
        <v>3578</v>
      </c>
      <c r="B1950" t="s">
        <v>3601</v>
      </c>
      <c r="C1950" t="s">
        <v>1601</v>
      </c>
      <c r="D1950" t="s">
        <v>3603</v>
      </c>
      <c r="E1950" t="s">
        <v>3609</v>
      </c>
    </row>
    <row r="1951" spans="1:5" x14ac:dyDescent="0.25">
      <c r="A1951" t="s">
        <v>3578</v>
      </c>
      <c r="B1951" t="s">
        <v>3601</v>
      </c>
      <c r="C1951" t="s">
        <v>1173</v>
      </c>
      <c r="D1951" t="s">
        <v>3606</v>
      </c>
      <c r="E1951" t="s">
        <v>3605</v>
      </c>
    </row>
    <row r="1952" spans="1:5" x14ac:dyDescent="0.25">
      <c r="A1952" t="s">
        <v>3578</v>
      </c>
      <c r="B1952" t="s">
        <v>3601</v>
      </c>
      <c r="C1952" t="s">
        <v>194</v>
      </c>
      <c r="D1952" t="s">
        <v>3607</v>
      </c>
      <c r="E1952" t="s">
        <v>3608</v>
      </c>
    </row>
    <row r="1953" spans="1:5" x14ac:dyDescent="0.25">
      <c r="A1953" t="s">
        <v>3578</v>
      </c>
      <c r="B1953" t="s">
        <v>3601</v>
      </c>
      <c r="C1953" t="s">
        <v>1110</v>
      </c>
      <c r="D1953" t="s">
        <v>3603</v>
      </c>
      <c r="E1953" t="s">
        <v>3603</v>
      </c>
    </row>
    <row r="1954" spans="1:5" x14ac:dyDescent="0.25">
      <c r="A1954" t="s">
        <v>3578</v>
      </c>
      <c r="B1954" t="s">
        <v>3601</v>
      </c>
      <c r="C1954" t="s">
        <v>2728</v>
      </c>
      <c r="D1954" t="s">
        <v>3603</v>
      </c>
      <c r="E1954" t="s">
        <v>3609</v>
      </c>
    </row>
    <row r="1955" spans="1:5" x14ac:dyDescent="0.25">
      <c r="A1955" t="s">
        <v>3578</v>
      </c>
      <c r="B1955" t="s">
        <v>3601</v>
      </c>
      <c r="C1955" t="s">
        <v>2281</v>
      </c>
      <c r="D1955" t="s">
        <v>3606</v>
      </c>
      <c r="E1955" t="s">
        <v>3603</v>
      </c>
    </row>
    <row r="1956" spans="1:5" x14ac:dyDescent="0.25">
      <c r="A1956" t="s">
        <v>3578</v>
      </c>
      <c r="B1956" t="s">
        <v>3601</v>
      </c>
      <c r="C1956" t="s">
        <v>124</v>
      </c>
      <c r="D1956" t="s">
        <v>3606</v>
      </c>
      <c r="E1956" t="s">
        <v>3605</v>
      </c>
    </row>
    <row r="1957" spans="1:5" x14ac:dyDescent="0.25">
      <c r="A1957" t="s">
        <v>3578</v>
      </c>
      <c r="B1957" t="s">
        <v>3601</v>
      </c>
      <c r="C1957" t="s">
        <v>1440</v>
      </c>
      <c r="D1957" t="s">
        <v>3602</v>
      </c>
      <c r="E1957" t="s">
        <v>3604</v>
      </c>
    </row>
    <row r="1958" spans="1:5" x14ac:dyDescent="0.25">
      <c r="A1958" t="s">
        <v>3578</v>
      </c>
      <c r="B1958" t="s">
        <v>3601</v>
      </c>
      <c r="C1958" t="s">
        <v>1128</v>
      </c>
      <c r="D1958" t="s">
        <v>3607</v>
      </c>
      <c r="E1958" t="s">
        <v>3608</v>
      </c>
    </row>
    <row r="1959" spans="1:5" x14ac:dyDescent="0.25">
      <c r="A1959" t="s">
        <v>3578</v>
      </c>
      <c r="B1959" t="s">
        <v>3601</v>
      </c>
      <c r="C1959" t="s">
        <v>372</v>
      </c>
      <c r="D1959" t="s">
        <v>3602</v>
      </c>
      <c r="E1959" t="s">
        <v>3604</v>
      </c>
    </row>
    <row r="1960" spans="1:5" x14ac:dyDescent="0.25">
      <c r="A1960" t="s">
        <v>3578</v>
      </c>
      <c r="B1960" t="s">
        <v>3601</v>
      </c>
      <c r="C1960" t="s">
        <v>1880</v>
      </c>
      <c r="D1960" t="s">
        <v>3603</v>
      </c>
      <c r="E1960" t="s">
        <v>3603</v>
      </c>
    </row>
    <row r="1961" spans="1:5" x14ac:dyDescent="0.25">
      <c r="A1961" t="s">
        <v>3578</v>
      </c>
      <c r="B1961" t="s">
        <v>3601</v>
      </c>
      <c r="C1961" t="s">
        <v>423</v>
      </c>
      <c r="D1961" t="s">
        <v>3607</v>
      </c>
      <c r="E1961" t="s">
        <v>3608</v>
      </c>
    </row>
    <row r="1962" spans="1:5" x14ac:dyDescent="0.25">
      <c r="A1962" t="s">
        <v>3578</v>
      </c>
      <c r="B1962" t="s">
        <v>3601</v>
      </c>
      <c r="C1962" t="s">
        <v>1810</v>
      </c>
      <c r="D1962" t="s">
        <v>3602</v>
      </c>
      <c r="E1962" t="s">
        <v>3609</v>
      </c>
    </row>
    <row r="1963" spans="1:5" x14ac:dyDescent="0.25">
      <c r="A1963" t="s">
        <v>3578</v>
      </c>
      <c r="B1963" t="s">
        <v>3601</v>
      </c>
      <c r="C1963" t="s">
        <v>563</v>
      </c>
      <c r="D1963" t="s">
        <v>3606</v>
      </c>
      <c r="E1963" t="s">
        <v>3604</v>
      </c>
    </row>
    <row r="1964" spans="1:5" x14ac:dyDescent="0.25">
      <c r="A1964" t="s">
        <v>3578</v>
      </c>
      <c r="B1964" t="s">
        <v>3601</v>
      </c>
      <c r="C1964" t="s">
        <v>1656</v>
      </c>
      <c r="D1964" t="s">
        <v>3607</v>
      </c>
      <c r="E1964" t="s">
        <v>3608</v>
      </c>
    </row>
    <row r="1965" spans="1:5" x14ac:dyDescent="0.25">
      <c r="A1965" t="s">
        <v>3578</v>
      </c>
      <c r="B1965" t="s">
        <v>3601</v>
      </c>
      <c r="C1965" t="s">
        <v>32</v>
      </c>
      <c r="D1965" t="s">
        <v>3602</v>
      </c>
      <c r="E1965" t="s">
        <v>3604</v>
      </c>
    </row>
    <row r="1966" spans="1:5" x14ac:dyDescent="0.25">
      <c r="A1966" t="s">
        <v>3578</v>
      </c>
      <c r="B1966" t="s">
        <v>3601</v>
      </c>
      <c r="C1966" t="s">
        <v>2193</v>
      </c>
      <c r="D1966" t="s">
        <v>3607</v>
      </c>
      <c r="E1966" t="s">
        <v>3608</v>
      </c>
    </row>
    <row r="1967" spans="1:5" x14ac:dyDescent="0.25">
      <c r="A1967" t="s">
        <v>3578</v>
      </c>
      <c r="B1967" t="s">
        <v>3601</v>
      </c>
      <c r="C1967" t="s">
        <v>740</v>
      </c>
      <c r="D1967" t="s">
        <v>3602</v>
      </c>
      <c r="E1967" t="s">
        <v>3603</v>
      </c>
    </row>
    <row r="1968" spans="1:5" x14ac:dyDescent="0.25">
      <c r="A1968" t="s">
        <v>3578</v>
      </c>
      <c r="B1968" t="s">
        <v>3601</v>
      </c>
      <c r="C1968" t="s">
        <v>1337</v>
      </c>
      <c r="D1968" t="s">
        <v>3607</v>
      </c>
      <c r="E1968" t="s">
        <v>3608</v>
      </c>
    </row>
    <row r="1969" spans="1:5" x14ac:dyDescent="0.25">
      <c r="A1969" t="s">
        <v>3578</v>
      </c>
      <c r="B1969" t="s">
        <v>3601</v>
      </c>
      <c r="C1969" t="s">
        <v>870</v>
      </c>
      <c r="D1969" t="s">
        <v>3607</v>
      </c>
      <c r="E1969" t="s">
        <v>3608</v>
      </c>
    </row>
    <row r="1970" spans="1:5" x14ac:dyDescent="0.25">
      <c r="A1970" t="s">
        <v>3578</v>
      </c>
      <c r="B1970" t="s">
        <v>3601</v>
      </c>
      <c r="C1970" t="s">
        <v>1503</v>
      </c>
      <c r="D1970" t="s">
        <v>3602</v>
      </c>
      <c r="E1970" t="s">
        <v>3603</v>
      </c>
    </row>
    <row r="1971" spans="1:5" x14ac:dyDescent="0.25">
      <c r="A1971" t="s">
        <v>3578</v>
      </c>
      <c r="B1971" t="s">
        <v>3601</v>
      </c>
      <c r="C1971" t="s">
        <v>2733</v>
      </c>
      <c r="D1971" t="s">
        <v>3606</v>
      </c>
      <c r="E1971" t="s">
        <v>3605</v>
      </c>
    </row>
    <row r="1972" spans="1:5" x14ac:dyDescent="0.25">
      <c r="A1972" t="s">
        <v>3578</v>
      </c>
      <c r="B1972" t="s">
        <v>3601</v>
      </c>
      <c r="C1972" t="s">
        <v>1211</v>
      </c>
      <c r="D1972" t="s">
        <v>3607</v>
      </c>
      <c r="E1972" t="s">
        <v>3608</v>
      </c>
    </row>
    <row r="1973" spans="1:5" x14ac:dyDescent="0.25">
      <c r="A1973" t="s">
        <v>3578</v>
      </c>
      <c r="B1973" t="s">
        <v>3601</v>
      </c>
      <c r="C1973" t="s">
        <v>1036</v>
      </c>
      <c r="D1973" t="s">
        <v>3606</v>
      </c>
      <c r="E1973" t="s">
        <v>3609</v>
      </c>
    </row>
    <row r="1974" spans="1:5" x14ac:dyDescent="0.25">
      <c r="A1974" t="s">
        <v>3578</v>
      </c>
      <c r="B1974" t="s">
        <v>3601</v>
      </c>
      <c r="C1974" t="s">
        <v>205</v>
      </c>
      <c r="D1974" t="s">
        <v>3603</v>
      </c>
      <c r="E1974" t="s">
        <v>3603</v>
      </c>
    </row>
    <row r="1975" spans="1:5" x14ac:dyDescent="0.25">
      <c r="A1975" t="s">
        <v>3578</v>
      </c>
      <c r="B1975" t="s">
        <v>3601</v>
      </c>
      <c r="C1975" t="s">
        <v>1327</v>
      </c>
      <c r="D1975" t="s">
        <v>3607</v>
      </c>
      <c r="E1975" t="s">
        <v>3608</v>
      </c>
    </row>
    <row r="1976" spans="1:5" x14ac:dyDescent="0.25">
      <c r="A1976" t="s">
        <v>3578</v>
      </c>
      <c r="B1976" t="s">
        <v>3601</v>
      </c>
      <c r="C1976" t="s">
        <v>1752</v>
      </c>
      <c r="D1976" t="s">
        <v>3602</v>
      </c>
      <c r="E1976" t="s">
        <v>3603</v>
      </c>
    </row>
    <row r="1977" spans="1:5" x14ac:dyDescent="0.25">
      <c r="A1977" t="s">
        <v>3578</v>
      </c>
      <c r="B1977" t="s">
        <v>3601</v>
      </c>
      <c r="C1977" t="s">
        <v>1135</v>
      </c>
      <c r="D1977" t="s">
        <v>3603</v>
      </c>
      <c r="E1977" t="s">
        <v>3609</v>
      </c>
    </row>
    <row r="1978" spans="1:5" x14ac:dyDescent="0.25">
      <c r="A1978" t="s">
        <v>3578</v>
      </c>
      <c r="B1978" t="s">
        <v>3601</v>
      </c>
      <c r="C1978" t="s">
        <v>235</v>
      </c>
      <c r="D1978" t="s">
        <v>3603</v>
      </c>
      <c r="E1978" t="s">
        <v>3603</v>
      </c>
    </row>
    <row r="1979" spans="1:5" x14ac:dyDescent="0.25">
      <c r="A1979" t="s">
        <v>3578</v>
      </c>
      <c r="B1979" t="s">
        <v>3601</v>
      </c>
      <c r="C1979" t="s">
        <v>1353</v>
      </c>
      <c r="D1979" t="s">
        <v>3606</v>
      </c>
      <c r="E1979" t="s">
        <v>3605</v>
      </c>
    </row>
    <row r="1980" spans="1:5" x14ac:dyDescent="0.25">
      <c r="A1980" t="s">
        <v>3578</v>
      </c>
      <c r="B1980" t="s">
        <v>3601</v>
      </c>
      <c r="C1980" t="s">
        <v>1984</v>
      </c>
      <c r="D1980" t="s">
        <v>3607</v>
      </c>
      <c r="E1980" t="s">
        <v>3608</v>
      </c>
    </row>
    <row r="1981" spans="1:5" x14ac:dyDescent="0.25">
      <c r="A1981" t="s">
        <v>3578</v>
      </c>
      <c r="B1981" t="s">
        <v>3601</v>
      </c>
      <c r="C1981" t="s">
        <v>132</v>
      </c>
      <c r="D1981" t="s">
        <v>3607</v>
      </c>
      <c r="E1981" t="s">
        <v>3608</v>
      </c>
    </row>
    <row r="1982" spans="1:5" x14ac:dyDescent="0.25">
      <c r="A1982" t="s">
        <v>3578</v>
      </c>
      <c r="B1982" t="s">
        <v>3601</v>
      </c>
      <c r="C1982" t="s">
        <v>1095</v>
      </c>
      <c r="D1982" t="s">
        <v>3607</v>
      </c>
      <c r="E1982" t="s">
        <v>3608</v>
      </c>
    </row>
    <row r="1983" spans="1:5" x14ac:dyDescent="0.25">
      <c r="A1983" t="s">
        <v>3578</v>
      </c>
      <c r="B1983" t="s">
        <v>3601</v>
      </c>
      <c r="C1983" t="s">
        <v>349</v>
      </c>
      <c r="D1983" t="s">
        <v>3603</v>
      </c>
      <c r="E1983" t="s">
        <v>3609</v>
      </c>
    </row>
    <row r="1984" spans="1:5" x14ac:dyDescent="0.25">
      <c r="A1984" t="s">
        <v>3578</v>
      </c>
      <c r="B1984" t="s">
        <v>3601</v>
      </c>
      <c r="C1984" t="s">
        <v>1731</v>
      </c>
      <c r="D1984" t="s">
        <v>3607</v>
      </c>
      <c r="E1984" t="s">
        <v>3608</v>
      </c>
    </row>
    <row r="1985" spans="1:5" x14ac:dyDescent="0.25">
      <c r="A1985" t="s">
        <v>3578</v>
      </c>
      <c r="B1985" t="s">
        <v>3601</v>
      </c>
      <c r="C1985" t="s">
        <v>2132</v>
      </c>
      <c r="D1985" t="s">
        <v>3606</v>
      </c>
      <c r="E1985" t="s">
        <v>3609</v>
      </c>
    </row>
    <row r="1986" spans="1:5" x14ac:dyDescent="0.25">
      <c r="A1986" t="s">
        <v>3578</v>
      </c>
      <c r="B1986" t="s">
        <v>3601</v>
      </c>
      <c r="C1986" t="s">
        <v>1266</v>
      </c>
      <c r="D1986" t="s">
        <v>3603</v>
      </c>
      <c r="E1986" t="s">
        <v>3604</v>
      </c>
    </row>
    <row r="1987" spans="1:5" x14ac:dyDescent="0.25">
      <c r="A1987" t="s">
        <v>3578</v>
      </c>
      <c r="B1987" t="s">
        <v>3601</v>
      </c>
      <c r="C1987" t="s">
        <v>751</v>
      </c>
      <c r="D1987" t="s">
        <v>3602</v>
      </c>
      <c r="E1987" t="s">
        <v>3603</v>
      </c>
    </row>
    <row r="1988" spans="1:5" x14ac:dyDescent="0.25">
      <c r="A1988" t="s">
        <v>3578</v>
      </c>
      <c r="B1988" t="s">
        <v>3601</v>
      </c>
      <c r="C1988" t="s">
        <v>1473</v>
      </c>
      <c r="D1988" t="s">
        <v>3603</v>
      </c>
      <c r="E1988" t="s">
        <v>3605</v>
      </c>
    </row>
    <row r="1989" spans="1:5" x14ac:dyDescent="0.25">
      <c r="A1989" t="s">
        <v>3578</v>
      </c>
      <c r="B1989" t="s">
        <v>3601</v>
      </c>
      <c r="C1989" t="s">
        <v>2743</v>
      </c>
      <c r="D1989" t="s">
        <v>3606</v>
      </c>
      <c r="E1989" t="s">
        <v>3604</v>
      </c>
    </row>
    <row r="1990" spans="1:5" x14ac:dyDescent="0.25">
      <c r="A1990" t="s">
        <v>3578</v>
      </c>
      <c r="B1990" t="s">
        <v>3601</v>
      </c>
      <c r="C1990" t="s">
        <v>2449</v>
      </c>
      <c r="D1990" t="s">
        <v>3603</v>
      </c>
      <c r="E1990" t="s">
        <v>3605</v>
      </c>
    </row>
    <row r="1991" spans="1:5" x14ac:dyDescent="0.25">
      <c r="A1991" t="s">
        <v>3578</v>
      </c>
      <c r="B1991" t="s">
        <v>3601</v>
      </c>
      <c r="C1991" t="s">
        <v>992</v>
      </c>
      <c r="D1991" t="s">
        <v>3603</v>
      </c>
      <c r="E1991" t="s">
        <v>3605</v>
      </c>
    </row>
    <row r="1992" spans="1:5" x14ac:dyDescent="0.25">
      <c r="A1992" t="s">
        <v>3578</v>
      </c>
      <c r="B1992" t="s">
        <v>3601</v>
      </c>
      <c r="C1992" t="s">
        <v>2808</v>
      </c>
      <c r="D1992" t="s">
        <v>3602</v>
      </c>
      <c r="E1992" t="s">
        <v>3604</v>
      </c>
    </row>
    <row r="1993" spans="1:5" x14ac:dyDescent="0.25">
      <c r="A1993" t="s">
        <v>3578</v>
      </c>
      <c r="B1993" t="s">
        <v>3601</v>
      </c>
      <c r="C1993" t="s">
        <v>2188</v>
      </c>
      <c r="D1993" t="s">
        <v>3603</v>
      </c>
      <c r="E1993" t="s">
        <v>3604</v>
      </c>
    </row>
    <row r="1994" spans="1:5" x14ac:dyDescent="0.25">
      <c r="A1994" t="s">
        <v>3578</v>
      </c>
      <c r="B1994" t="s">
        <v>3601</v>
      </c>
      <c r="C1994" t="s">
        <v>1705</v>
      </c>
      <c r="D1994" t="s">
        <v>3603</v>
      </c>
      <c r="E1994" t="s">
        <v>3605</v>
      </c>
    </row>
    <row r="1995" spans="1:5" x14ac:dyDescent="0.25">
      <c r="A1995" t="s">
        <v>3578</v>
      </c>
      <c r="B1995" t="s">
        <v>3601</v>
      </c>
      <c r="C1995" t="s">
        <v>1156</v>
      </c>
      <c r="D1995" t="s">
        <v>3606</v>
      </c>
      <c r="E1995" t="s">
        <v>3609</v>
      </c>
    </row>
    <row r="1996" spans="1:5" x14ac:dyDescent="0.25">
      <c r="A1996" t="s">
        <v>3578</v>
      </c>
      <c r="B1996" t="s">
        <v>3601</v>
      </c>
      <c r="C1996" t="s">
        <v>1028</v>
      </c>
      <c r="D1996" t="s">
        <v>3606</v>
      </c>
      <c r="E1996" t="s">
        <v>3603</v>
      </c>
    </row>
    <row r="1997" spans="1:5" x14ac:dyDescent="0.25">
      <c r="A1997" t="s">
        <v>3578</v>
      </c>
      <c r="B1997" t="s">
        <v>3601</v>
      </c>
      <c r="C1997" t="s">
        <v>2340</v>
      </c>
      <c r="D1997" t="s">
        <v>3603</v>
      </c>
      <c r="E1997" t="s">
        <v>3605</v>
      </c>
    </row>
    <row r="1998" spans="1:5" x14ac:dyDescent="0.25">
      <c r="A1998" t="s">
        <v>3578</v>
      </c>
      <c r="B1998" t="s">
        <v>3601</v>
      </c>
      <c r="C1998" t="s">
        <v>1282</v>
      </c>
      <c r="D1998" t="s">
        <v>3602</v>
      </c>
      <c r="E1998" t="s">
        <v>3605</v>
      </c>
    </row>
    <row r="1999" spans="1:5" x14ac:dyDescent="0.25">
      <c r="A1999" t="s">
        <v>3578</v>
      </c>
      <c r="B1999" t="s">
        <v>3601</v>
      </c>
      <c r="C1999" t="s">
        <v>2233</v>
      </c>
      <c r="D1999" t="s">
        <v>3602</v>
      </c>
      <c r="E1999" t="s">
        <v>3604</v>
      </c>
    </row>
    <row r="2000" spans="1:5" x14ac:dyDescent="0.25">
      <c r="A2000" t="s">
        <v>3578</v>
      </c>
      <c r="B2000" t="s">
        <v>3601</v>
      </c>
      <c r="C2000" t="s">
        <v>1253</v>
      </c>
      <c r="D2000" t="s">
        <v>3607</v>
      </c>
      <c r="E2000" t="s">
        <v>3608</v>
      </c>
    </row>
    <row r="2001" spans="1:5" x14ac:dyDescent="0.25">
      <c r="A2001" t="s">
        <v>3578</v>
      </c>
      <c r="B2001" t="s">
        <v>3601</v>
      </c>
      <c r="C2001" t="s">
        <v>1161</v>
      </c>
      <c r="D2001" t="s">
        <v>3606</v>
      </c>
      <c r="E2001" t="s">
        <v>3605</v>
      </c>
    </row>
    <row r="2002" spans="1:5" x14ac:dyDescent="0.25">
      <c r="A2002" t="s">
        <v>3578</v>
      </c>
      <c r="B2002" t="s">
        <v>3601</v>
      </c>
      <c r="C2002" t="s">
        <v>960</v>
      </c>
      <c r="D2002" t="s">
        <v>3606</v>
      </c>
      <c r="E2002" t="s">
        <v>3605</v>
      </c>
    </row>
    <row r="2003" spans="1:5" x14ac:dyDescent="0.25">
      <c r="A2003" t="s">
        <v>3578</v>
      </c>
      <c r="B2003" t="s">
        <v>3601</v>
      </c>
      <c r="C2003" t="s">
        <v>161</v>
      </c>
      <c r="D2003" t="s">
        <v>3607</v>
      </c>
      <c r="E2003" t="s">
        <v>3608</v>
      </c>
    </row>
    <row r="2004" spans="1:5" x14ac:dyDescent="0.25">
      <c r="A2004" t="s">
        <v>3578</v>
      </c>
      <c r="B2004" t="s">
        <v>3601</v>
      </c>
      <c r="C2004" t="s">
        <v>745</v>
      </c>
      <c r="D2004" t="s">
        <v>3603</v>
      </c>
      <c r="E2004" t="s">
        <v>3604</v>
      </c>
    </row>
    <row r="2005" spans="1:5" x14ac:dyDescent="0.25">
      <c r="A2005" t="s">
        <v>3578</v>
      </c>
      <c r="B2005" t="s">
        <v>3610</v>
      </c>
      <c r="C2005" t="s">
        <v>2930</v>
      </c>
      <c r="D2005" t="s">
        <v>3612</v>
      </c>
      <c r="E2005" t="s">
        <v>3608</v>
      </c>
    </row>
    <row r="2006" spans="1:5" x14ac:dyDescent="0.25">
      <c r="A2006" t="s">
        <v>3578</v>
      </c>
      <c r="B2006" t="s">
        <v>3610</v>
      </c>
      <c r="C2006" t="s">
        <v>2948</v>
      </c>
      <c r="D2006" t="s">
        <v>3606</v>
      </c>
      <c r="E2006" t="s">
        <v>3608</v>
      </c>
    </row>
    <row r="2007" spans="1:5" x14ac:dyDescent="0.25">
      <c r="A2007" t="s">
        <v>3578</v>
      </c>
      <c r="B2007" t="s">
        <v>3610</v>
      </c>
      <c r="C2007" t="s">
        <v>2913</v>
      </c>
      <c r="D2007" t="s">
        <v>3606</v>
      </c>
      <c r="E2007" t="s">
        <v>3608</v>
      </c>
    </row>
    <row r="2008" spans="1:5" x14ac:dyDescent="0.25">
      <c r="A2008" t="s">
        <v>3578</v>
      </c>
      <c r="B2008" t="s">
        <v>3610</v>
      </c>
      <c r="C2008" t="s">
        <v>2894</v>
      </c>
      <c r="D2008" t="s">
        <v>3611</v>
      </c>
      <c r="E2008" t="s">
        <v>3608</v>
      </c>
    </row>
    <row r="2009" spans="1:5" x14ac:dyDescent="0.25">
      <c r="A2009" t="s">
        <v>3579</v>
      </c>
      <c r="B2009" t="s">
        <v>3601</v>
      </c>
      <c r="C2009" t="s">
        <v>935</v>
      </c>
      <c r="D2009" t="s">
        <v>3603</v>
      </c>
      <c r="E2009" t="s">
        <v>3603</v>
      </c>
    </row>
    <row r="2010" spans="1:5" x14ac:dyDescent="0.25">
      <c r="A2010" t="s">
        <v>3579</v>
      </c>
      <c r="B2010" t="s">
        <v>3601</v>
      </c>
      <c r="C2010" t="s">
        <v>684</v>
      </c>
      <c r="D2010" t="s">
        <v>3603</v>
      </c>
      <c r="E2010" t="s">
        <v>3605</v>
      </c>
    </row>
    <row r="2011" spans="1:5" x14ac:dyDescent="0.25">
      <c r="A2011" t="s">
        <v>3579</v>
      </c>
      <c r="B2011" t="s">
        <v>3601</v>
      </c>
      <c r="C2011" t="s">
        <v>733</v>
      </c>
      <c r="D2011" t="s">
        <v>3607</v>
      </c>
      <c r="E2011" t="s">
        <v>3608</v>
      </c>
    </row>
    <row r="2012" spans="1:5" x14ac:dyDescent="0.25">
      <c r="A2012" t="s">
        <v>3579</v>
      </c>
      <c r="B2012" t="s">
        <v>3601</v>
      </c>
      <c r="C2012" t="s">
        <v>2489</v>
      </c>
      <c r="D2012" t="s">
        <v>3603</v>
      </c>
      <c r="E2012" t="s">
        <v>3609</v>
      </c>
    </row>
    <row r="2013" spans="1:5" x14ac:dyDescent="0.25">
      <c r="A2013" t="s">
        <v>3579</v>
      </c>
      <c r="B2013" t="s">
        <v>3601</v>
      </c>
      <c r="C2013" t="s">
        <v>115</v>
      </c>
      <c r="D2013" t="s">
        <v>3607</v>
      </c>
      <c r="E2013" t="s">
        <v>3608</v>
      </c>
    </row>
    <row r="2014" spans="1:5" x14ac:dyDescent="0.25">
      <c r="A2014" t="s">
        <v>3579</v>
      </c>
      <c r="B2014" t="s">
        <v>3601</v>
      </c>
      <c r="C2014" t="s">
        <v>826</v>
      </c>
      <c r="D2014" t="s">
        <v>3606</v>
      </c>
      <c r="E2014" t="s">
        <v>3603</v>
      </c>
    </row>
    <row r="2015" spans="1:5" x14ac:dyDescent="0.25">
      <c r="A2015" t="s">
        <v>3579</v>
      </c>
      <c r="B2015" t="s">
        <v>3601</v>
      </c>
      <c r="C2015" t="s">
        <v>2532</v>
      </c>
      <c r="D2015" t="s">
        <v>3607</v>
      </c>
      <c r="E2015" t="s">
        <v>3608</v>
      </c>
    </row>
    <row r="2016" spans="1:5" x14ac:dyDescent="0.25">
      <c r="A2016" t="s">
        <v>3579</v>
      </c>
      <c r="B2016" t="s">
        <v>3601</v>
      </c>
      <c r="C2016" t="s">
        <v>490</v>
      </c>
      <c r="D2016" t="s">
        <v>3607</v>
      </c>
      <c r="E2016" t="s">
        <v>3608</v>
      </c>
    </row>
    <row r="2017" spans="1:5" x14ac:dyDescent="0.25">
      <c r="A2017" t="s">
        <v>3579</v>
      </c>
      <c r="B2017" t="s">
        <v>3601</v>
      </c>
      <c r="C2017" t="s">
        <v>1473</v>
      </c>
      <c r="D2017" t="s">
        <v>3603</v>
      </c>
      <c r="E2017" t="s">
        <v>3604</v>
      </c>
    </row>
    <row r="2018" spans="1:5" x14ac:dyDescent="0.25">
      <c r="A2018" t="s">
        <v>3579</v>
      </c>
      <c r="B2018" t="s">
        <v>3601</v>
      </c>
      <c r="C2018" t="s">
        <v>1449</v>
      </c>
      <c r="D2018" t="s">
        <v>3602</v>
      </c>
      <c r="E2018" t="s">
        <v>3609</v>
      </c>
    </row>
    <row r="2019" spans="1:5" x14ac:dyDescent="0.25">
      <c r="A2019" t="s">
        <v>3579</v>
      </c>
      <c r="B2019" t="s">
        <v>3601</v>
      </c>
      <c r="C2019" t="s">
        <v>2419</v>
      </c>
      <c r="D2019" t="s">
        <v>3602</v>
      </c>
      <c r="E2019" t="s">
        <v>3609</v>
      </c>
    </row>
    <row r="2020" spans="1:5" x14ac:dyDescent="0.25">
      <c r="A2020" t="s">
        <v>3579</v>
      </c>
      <c r="B2020" t="s">
        <v>3601</v>
      </c>
      <c r="C2020" t="s">
        <v>1156</v>
      </c>
      <c r="D2020" t="s">
        <v>3602</v>
      </c>
      <c r="E2020" t="s">
        <v>3604</v>
      </c>
    </row>
    <row r="2021" spans="1:5" x14ac:dyDescent="0.25">
      <c r="A2021" t="s">
        <v>3579</v>
      </c>
      <c r="B2021" t="s">
        <v>3601</v>
      </c>
      <c r="C2021" t="s">
        <v>2243</v>
      </c>
      <c r="D2021" t="s">
        <v>3602</v>
      </c>
      <c r="E2021" t="s">
        <v>3605</v>
      </c>
    </row>
    <row r="2022" spans="1:5" x14ac:dyDescent="0.25">
      <c r="A2022" t="s">
        <v>3579</v>
      </c>
      <c r="B2022" t="s">
        <v>3601</v>
      </c>
      <c r="C2022" t="s">
        <v>2127</v>
      </c>
      <c r="D2022" t="s">
        <v>3606</v>
      </c>
      <c r="E2022" t="s">
        <v>3603</v>
      </c>
    </row>
    <row r="2023" spans="1:5" x14ac:dyDescent="0.25">
      <c r="A2023" t="s">
        <v>3579</v>
      </c>
      <c r="B2023" t="s">
        <v>3601</v>
      </c>
      <c r="C2023" t="s">
        <v>1937</v>
      </c>
      <c r="D2023" t="s">
        <v>3602</v>
      </c>
      <c r="E2023" t="s">
        <v>3609</v>
      </c>
    </row>
    <row r="2024" spans="1:5" x14ac:dyDescent="0.25">
      <c r="A2024" t="s">
        <v>3579</v>
      </c>
      <c r="B2024" t="s">
        <v>3601</v>
      </c>
      <c r="C2024" t="s">
        <v>2356</v>
      </c>
      <c r="D2024" t="s">
        <v>3602</v>
      </c>
      <c r="E2024" t="s">
        <v>3604</v>
      </c>
    </row>
    <row r="2025" spans="1:5" x14ac:dyDescent="0.25">
      <c r="A2025" t="s">
        <v>3579</v>
      </c>
      <c r="B2025" t="s">
        <v>3601</v>
      </c>
      <c r="C2025" t="s">
        <v>2733</v>
      </c>
      <c r="D2025" t="s">
        <v>3602</v>
      </c>
      <c r="E2025" t="s">
        <v>3605</v>
      </c>
    </row>
    <row r="2026" spans="1:5" x14ac:dyDescent="0.25">
      <c r="A2026" t="s">
        <v>3579</v>
      </c>
      <c r="B2026" t="s">
        <v>3601</v>
      </c>
      <c r="C2026" t="s">
        <v>2203</v>
      </c>
      <c r="D2026" t="s">
        <v>3607</v>
      </c>
      <c r="E2026" t="s">
        <v>3608</v>
      </c>
    </row>
    <row r="2027" spans="1:5" x14ac:dyDescent="0.25">
      <c r="A2027" t="s">
        <v>3579</v>
      </c>
      <c r="B2027" t="s">
        <v>3601</v>
      </c>
      <c r="C2027" t="s">
        <v>2788</v>
      </c>
      <c r="D2027" t="s">
        <v>3603</v>
      </c>
      <c r="E2027" t="s">
        <v>3609</v>
      </c>
    </row>
    <row r="2028" spans="1:5" x14ac:dyDescent="0.25">
      <c r="A2028" t="s">
        <v>3579</v>
      </c>
      <c r="B2028" t="s">
        <v>3601</v>
      </c>
      <c r="C2028" t="s">
        <v>1558</v>
      </c>
      <c r="D2028" t="s">
        <v>3602</v>
      </c>
      <c r="E2028" t="s">
        <v>3604</v>
      </c>
    </row>
    <row r="2029" spans="1:5" x14ac:dyDescent="0.25">
      <c r="A2029" t="s">
        <v>3579</v>
      </c>
      <c r="B2029" t="s">
        <v>3601</v>
      </c>
      <c r="C2029" t="s">
        <v>2633</v>
      </c>
      <c r="D2029" t="s">
        <v>3606</v>
      </c>
      <c r="E2029" t="s">
        <v>3609</v>
      </c>
    </row>
    <row r="2030" spans="1:5" x14ac:dyDescent="0.25">
      <c r="A2030" t="s">
        <v>3579</v>
      </c>
      <c r="B2030" t="s">
        <v>3601</v>
      </c>
      <c r="C2030" t="s">
        <v>2527</v>
      </c>
      <c r="D2030" t="s">
        <v>3603</v>
      </c>
      <c r="E2030" t="s">
        <v>3604</v>
      </c>
    </row>
    <row r="2031" spans="1:5" x14ac:dyDescent="0.25">
      <c r="A2031" t="s">
        <v>3579</v>
      </c>
      <c r="B2031" t="s">
        <v>3601</v>
      </c>
      <c r="C2031" t="s">
        <v>1311</v>
      </c>
      <c r="D2031" t="s">
        <v>3602</v>
      </c>
      <c r="E2031" t="s">
        <v>3605</v>
      </c>
    </row>
    <row r="2032" spans="1:5" x14ac:dyDescent="0.25">
      <c r="A2032" t="s">
        <v>3579</v>
      </c>
      <c r="B2032" t="s">
        <v>3601</v>
      </c>
      <c r="C2032" t="s">
        <v>1173</v>
      </c>
      <c r="D2032" t="s">
        <v>3606</v>
      </c>
      <c r="E2032" t="s">
        <v>3609</v>
      </c>
    </row>
    <row r="2033" spans="1:5" x14ac:dyDescent="0.25">
      <c r="A2033" t="s">
        <v>3579</v>
      </c>
      <c r="B2033" t="s">
        <v>3601</v>
      </c>
      <c r="C2033" t="s">
        <v>691</v>
      </c>
      <c r="D2033" t="s">
        <v>3607</v>
      </c>
      <c r="E2033" t="s">
        <v>3608</v>
      </c>
    </row>
    <row r="2034" spans="1:5" x14ac:dyDescent="0.25">
      <c r="A2034" t="s">
        <v>3579</v>
      </c>
      <c r="B2034" t="s">
        <v>3601</v>
      </c>
      <c r="C2034" t="s">
        <v>2158</v>
      </c>
      <c r="D2034" t="s">
        <v>3606</v>
      </c>
      <c r="E2034" t="s">
        <v>3603</v>
      </c>
    </row>
    <row r="2035" spans="1:5" x14ac:dyDescent="0.25">
      <c r="A2035" t="s">
        <v>3579</v>
      </c>
      <c r="B2035" t="s">
        <v>3601</v>
      </c>
      <c r="C2035" t="s">
        <v>503</v>
      </c>
      <c r="D2035" t="s">
        <v>3606</v>
      </c>
      <c r="E2035" t="s">
        <v>3609</v>
      </c>
    </row>
    <row r="2036" spans="1:5" x14ac:dyDescent="0.25">
      <c r="A2036" t="s">
        <v>3579</v>
      </c>
      <c r="B2036" t="s">
        <v>3601</v>
      </c>
      <c r="C2036" t="s">
        <v>1820</v>
      </c>
      <c r="D2036" t="s">
        <v>3607</v>
      </c>
      <c r="E2036" t="s">
        <v>3608</v>
      </c>
    </row>
    <row r="2037" spans="1:5" x14ac:dyDescent="0.25">
      <c r="A2037" t="s">
        <v>3579</v>
      </c>
      <c r="B2037" t="s">
        <v>3601</v>
      </c>
      <c r="C2037" t="s">
        <v>1617</v>
      </c>
      <c r="D2037" t="s">
        <v>3603</v>
      </c>
      <c r="E2037" t="s">
        <v>3605</v>
      </c>
    </row>
    <row r="2038" spans="1:5" x14ac:dyDescent="0.25">
      <c r="A2038" t="s">
        <v>3579</v>
      </c>
      <c r="B2038" t="s">
        <v>3601</v>
      </c>
      <c r="C2038" t="s">
        <v>2613</v>
      </c>
      <c r="D2038" t="s">
        <v>3602</v>
      </c>
      <c r="E2038" t="s">
        <v>3605</v>
      </c>
    </row>
    <row r="2039" spans="1:5" x14ac:dyDescent="0.25">
      <c r="A2039" t="s">
        <v>3579</v>
      </c>
      <c r="B2039" t="s">
        <v>3601</v>
      </c>
      <c r="C2039" t="s">
        <v>2385</v>
      </c>
      <c r="D2039" t="s">
        <v>3603</v>
      </c>
      <c r="E2039" t="s">
        <v>3609</v>
      </c>
    </row>
    <row r="2040" spans="1:5" x14ac:dyDescent="0.25">
      <c r="A2040" t="s">
        <v>3579</v>
      </c>
      <c r="B2040" t="s">
        <v>3601</v>
      </c>
      <c r="C2040" t="s">
        <v>1979</v>
      </c>
      <c r="D2040" t="s">
        <v>3603</v>
      </c>
      <c r="E2040" t="s">
        <v>3609</v>
      </c>
    </row>
    <row r="2041" spans="1:5" x14ac:dyDescent="0.25">
      <c r="A2041" t="s">
        <v>3579</v>
      </c>
      <c r="B2041" t="s">
        <v>3601</v>
      </c>
      <c r="C2041" t="s">
        <v>1831</v>
      </c>
      <c r="D2041" t="s">
        <v>3602</v>
      </c>
      <c r="E2041" t="s">
        <v>3609</v>
      </c>
    </row>
    <row r="2042" spans="1:5" x14ac:dyDescent="0.25">
      <c r="A2042" t="s">
        <v>3579</v>
      </c>
      <c r="B2042" t="s">
        <v>3601</v>
      </c>
      <c r="C2042" t="s">
        <v>1259</v>
      </c>
      <c r="D2042" t="s">
        <v>3603</v>
      </c>
      <c r="E2042" t="s">
        <v>3609</v>
      </c>
    </row>
    <row r="2043" spans="1:5" x14ac:dyDescent="0.25">
      <c r="A2043" t="s">
        <v>3579</v>
      </c>
      <c r="B2043" t="s">
        <v>3601</v>
      </c>
      <c r="C2043" t="s">
        <v>643</v>
      </c>
      <c r="D2043" t="s">
        <v>3603</v>
      </c>
      <c r="E2043" t="s">
        <v>3603</v>
      </c>
    </row>
    <row r="2044" spans="1:5" x14ac:dyDescent="0.25">
      <c r="A2044" t="s">
        <v>3579</v>
      </c>
      <c r="B2044" t="s">
        <v>3601</v>
      </c>
      <c r="C2044" t="s">
        <v>2091</v>
      </c>
      <c r="D2044" t="s">
        <v>3602</v>
      </c>
      <c r="E2044" t="s">
        <v>3605</v>
      </c>
    </row>
    <row r="2045" spans="1:5" x14ac:dyDescent="0.25">
      <c r="A2045" t="s">
        <v>3579</v>
      </c>
      <c r="B2045" t="s">
        <v>3601</v>
      </c>
      <c r="C2045" t="s">
        <v>2522</v>
      </c>
      <c r="D2045" t="s">
        <v>3607</v>
      </c>
      <c r="E2045" t="s">
        <v>3608</v>
      </c>
    </row>
    <row r="2046" spans="1:5" x14ac:dyDescent="0.25">
      <c r="A2046" t="s">
        <v>3579</v>
      </c>
      <c r="B2046" t="s">
        <v>3601</v>
      </c>
      <c r="C2046" t="s">
        <v>312</v>
      </c>
      <c r="D2046" t="s">
        <v>3606</v>
      </c>
      <c r="E2046" t="s">
        <v>3604</v>
      </c>
    </row>
    <row r="2047" spans="1:5" x14ac:dyDescent="0.25">
      <c r="A2047" t="s">
        <v>3579</v>
      </c>
      <c r="B2047" t="s">
        <v>3601</v>
      </c>
      <c r="C2047" t="s">
        <v>2778</v>
      </c>
      <c r="D2047" t="s">
        <v>3606</v>
      </c>
      <c r="E2047" t="s">
        <v>3603</v>
      </c>
    </row>
    <row r="2048" spans="1:5" x14ac:dyDescent="0.25">
      <c r="A2048" t="s">
        <v>3579</v>
      </c>
      <c r="B2048" t="s">
        <v>3601</v>
      </c>
      <c r="C2048" t="s">
        <v>356</v>
      </c>
      <c r="D2048" t="s">
        <v>3606</v>
      </c>
      <c r="E2048" t="s">
        <v>3605</v>
      </c>
    </row>
    <row r="2049" spans="1:5" x14ac:dyDescent="0.25">
      <c r="A2049" t="s">
        <v>3579</v>
      </c>
      <c r="B2049" t="s">
        <v>3601</v>
      </c>
      <c r="C2049" t="s">
        <v>2394</v>
      </c>
      <c r="D2049" t="s">
        <v>3606</v>
      </c>
      <c r="E2049" t="s">
        <v>3605</v>
      </c>
    </row>
    <row r="2050" spans="1:5" x14ac:dyDescent="0.25">
      <c r="A2050" t="s">
        <v>3579</v>
      </c>
      <c r="B2050" t="s">
        <v>3601</v>
      </c>
      <c r="C2050" t="s">
        <v>941</v>
      </c>
      <c r="D2050" t="s">
        <v>3607</v>
      </c>
      <c r="E2050" t="s">
        <v>3608</v>
      </c>
    </row>
    <row r="2051" spans="1:5" x14ac:dyDescent="0.25">
      <c r="A2051" t="s">
        <v>3579</v>
      </c>
      <c r="B2051" t="s">
        <v>3601</v>
      </c>
      <c r="C2051" t="s">
        <v>1353</v>
      </c>
      <c r="D2051" t="s">
        <v>3602</v>
      </c>
      <c r="E2051" t="s">
        <v>3605</v>
      </c>
    </row>
    <row r="2052" spans="1:5" x14ac:dyDescent="0.25">
      <c r="A2052" t="s">
        <v>3579</v>
      </c>
      <c r="B2052" t="s">
        <v>3601</v>
      </c>
      <c r="C2052" t="s">
        <v>1984</v>
      </c>
      <c r="D2052" t="s">
        <v>3603</v>
      </c>
      <c r="E2052" t="s">
        <v>3609</v>
      </c>
    </row>
    <row r="2053" spans="1:5" x14ac:dyDescent="0.25">
      <c r="A2053" t="s">
        <v>3579</v>
      </c>
      <c r="B2053" t="s">
        <v>3601</v>
      </c>
      <c r="C2053" t="s">
        <v>2808</v>
      </c>
      <c r="D2053" t="s">
        <v>3606</v>
      </c>
      <c r="E2053" t="s">
        <v>3609</v>
      </c>
    </row>
    <row r="2054" spans="1:5" x14ac:dyDescent="0.25">
      <c r="A2054" t="s">
        <v>3579</v>
      </c>
      <c r="B2054" t="s">
        <v>3601</v>
      </c>
      <c r="C2054" t="s">
        <v>1661</v>
      </c>
      <c r="D2054" t="s">
        <v>3603</v>
      </c>
      <c r="E2054" t="s">
        <v>3604</v>
      </c>
    </row>
    <row r="2055" spans="1:5" x14ac:dyDescent="0.25">
      <c r="A2055" t="s">
        <v>3579</v>
      </c>
      <c r="B2055" t="s">
        <v>3601</v>
      </c>
      <c r="C2055" t="s">
        <v>2506</v>
      </c>
      <c r="D2055" t="s">
        <v>3602</v>
      </c>
      <c r="E2055" t="s">
        <v>3603</v>
      </c>
    </row>
    <row r="2056" spans="1:5" x14ac:dyDescent="0.25">
      <c r="A2056" t="s">
        <v>3579</v>
      </c>
      <c r="B2056" t="s">
        <v>3601</v>
      </c>
      <c r="C2056" t="s">
        <v>582</v>
      </c>
      <c r="D2056" t="s">
        <v>3603</v>
      </c>
      <c r="E2056" t="s">
        <v>3609</v>
      </c>
    </row>
    <row r="2057" spans="1:5" x14ac:dyDescent="0.25">
      <c r="A2057" t="s">
        <v>3579</v>
      </c>
      <c r="B2057" t="s">
        <v>3601</v>
      </c>
      <c r="C2057" t="s">
        <v>1586</v>
      </c>
      <c r="D2057" t="s">
        <v>3602</v>
      </c>
      <c r="E2057" t="s">
        <v>3604</v>
      </c>
    </row>
    <row r="2058" spans="1:5" x14ac:dyDescent="0.25">
      <c r="A2058" t="s">
        <v>3579</v>
      </c>
      <c r="B2058" t="s">
        <v>3601</v>
      </c>
      <c r="C2058" t="s">
        <v>1752</v>
      </c>
      <c r="D2058" t="s">
        <v>3606</v>
      </c>
      <c r="E2058" t="s">
        <v>3604</v>
      </c>
    </row>
    <row r="2059" spans="1:5" x14ac:dyDescent="0.25">
      <c r="A2059" t="s">
        <v>3579</v>
      </c>
      <c r="B2059" t="s">
        <v>3601</v>
      </c>
      <c r="C2059" t="s">
        <v>1294</v>
      </c>
      <c r="D2059" t="s">
        <v>3607</v>
      </c>
      <c r="E2059" t="s">
        <v>3608</v>
      </c>
    </row>
    <row r="2060" spans="1:5" x14ac:dyDescent="0.25">
      <c r="A2060" t="s">
        <v>3579</v>
      </c>
      <c r="B2060" t="s">
        <v>3601</v>
      </c>
      <c r="C2060" t="s">
        <v>2848</v>
      </c>
      <c r="D2060" t="s">
        <v>3602</v>
      </c>
      <c r="E2060" t="s">
        <v>3604</v>
      </c>
    </row>
    <row r="2061" spans="1:5" x14ac:dyDescent="0.25">
      <c r="A2061" t="s">
        <v>3579</v>
      </c>
      <c r="B2061" t="s">
        <v>3601</v>
      </c>
      <c r="C2061" t="s">
        <v>2371</v>
      </c>
      <c r="D2061" t="s">
        <v>3607</v>
      </c>
      <c r="E2061" t="s">
        <v>3608</v>
      </c>
    </row>
    <row r="2062" spans="1:5" x14ac:dyDescent="0.25">
      <c r="A2062" t="s">
        <v>3579</v>
      </c>
      <c r="B2062" t="s">
        <v>3601</v>
      </c>
      <c r="C2062" t="s">
        <v>2064</v>
      </c>
      <c r="D2062" t="s">
        <v>3606</v>
      </c>
      <c r="E2062" t="s">
        <v>3605</v>
      </c>
    </row>
    <row r="2063" spans="1:5" x14ac:dyDescent="0.25">
      <c r="A2063" t="s">
        <v>3579</v>
      </c>
      <c r="B2063" t="s">
        <v>3601</v>
      </c>
      <c r="C2063" t="s">
        <v>601</v>
      </c>
      <c r="D2063" t="s">
        <v>3606</v>
      </c>
      <c r="E2063" t="s">
        <v>3604</v>
      </c>
    </row>
    <row r="2064" spans="1:5" x14ac:dyDescent="0.25">
      <c r="A2064" t="s">
        <v>3579</v>
      </c>
      <c r="B2064" t="s">
        <v>3601</v>
      </c>
      <c r="C2064" t="s">
        <v>44</v>
      </c>
      <c r="D2064" t="s">
        <v>3602</v>
      </c>
      <c r="E2064" t="s">
        <v>3609</v>
      </c>
    </row>
    <row r="2065" spans="1:5" x14ac:dyDescent="0.25">
      <c r="A2065" t="s">
        <v>3579</v>
      </c>
      <c r="B2065" t="s">
        <v>3601</v>
      </c>
      <c r="C2065" t="s">
        <v>1953</v>
      </c>
      <c r="D2065" t="s">
        <v>3607</v>
      </c>
      <c r="E2065" t="s">
        <v>3608</v>
      </c>
    </row>
    <row r="2066" spans="1:5" x14ac:dyDescent="0.25">
      <c r="A2066" t="s">
        <v>3579</v>
      </c>
      <c r="B2066" t="s">
        <v>3601</v>
      </c>
      <c r="C2066" t="s">
        <v>2218</v>
      </c>
      <c r="D2066" t="s">
        <v>3607</v>
      </c>
      <c r="E2066" t="s">
        <v>3608</v>
      </c>
    </row>
    <row r="2067" spans="1:5" x14ac:dyDescent="0.25">
      <c r="A2067" t="s">
        <v>3579</v>
      </c>
      <c r="B2067" t="s">
        <v>3601</v>
      </c>
      <c r="C2067" t="s">
        <v>297</v>
      </c>
      <c r="D2067" t="s">
        <v>3607</v>
      </c>
      <c r="E2067" t="s">
        <v>3608</v>
      </c>
    </row>
    <row r="2068" spans="1:5" x14ac:dyDescent="0.25">
      <c r="A2068" t="s">
        <v>3579</v>
      </c>
      <c r="B2068" t="s">
        <v>3601</v>
      </c>
      <c r="C2068" t="s">
        <v>1570</v>
      </c>
      <c r="D2068" t="s">
        <v>3603</v>
      </c>
      <c r="E2068" t="s">
        <v>3603</v>
      </c>
    </row>
    <row r="2069" spans="1:5" x14ac:dyDescent="0.25">
      <c r="A2069" t="s">
        <v>3579</v>
      </c>
      <c r="B2069" t="s">
        <v>3601</v>
      </c>
      <c r="C2069" t="s">
        <v>1892</v>
      </c>
      <c r="D2069" t="s">
        <v>3602</v>
      </c>
      <c r="E2069" t="s">
        <v>3609</v>
      </c>
    </row>
    <row r="2070" spans="1:5" x14ac:dyDescent="0.25">
      <c r="A2070" t="s">
        <v>3579</v>
      </c>
      <c r="B2070" t="s">
        <v>3601</v>
      </c>
      <c r="C2070" t="s">
        <v>1508</v>
      </c>
      <c r="D2070" t="s">
        <v>3606</v>
      </c>
      <c r="E2070" t="s">
        <v>3609</v>
      </c>
    </row>
    <row r="2071" spans="1:5" x14ac:dyDescent="0.25">
      <c r="A2071" t="s">
        <v>3579</v>
      </c>
      <c r="B2071" t="s">
        <v>3601</v>
      </c>
      <c r="C2071" t="s">
        <v>922</v>
      </c>
      <c r="D2071" t="s">
        <v>3606</v>
      </c>
      <c r="E2071" t="s">
        <v>3609</v>
      </c>
    </row>
    <row r="2072" spans="1:5" x14ac:dyDescent="0.25">
      <c r="A2072" t="s">
        <v>3579</v>
      </c>
      <c r="B2072" t="s">
        <v>3601</v>
      </c>
      <c r="C2072" t="s">
        <v>2608</v>
      </c>
      <c r="D2072" t="s">
        <v>3606</v>
      </c>
      <c r="E2072" t="s">
        <v>3603</v>
      </c>
    </row>
    <row r="2073" spans="1:5" x14ac:dyDescent="0.25">
      <c r="A2073" t="s">
        <v>3579</v>
      </c>
      <c r="B2073" t="s">
        <v>3601</v>
      </c>
      <c r="C2073" t="s">
        <v>778</v>
      </c>
      <c r="D2073" t="s">
        <v>3607</v>
      </c>
      <c r="E2073" t="s">
        <v>3608</v>
      </c>
    </row>
    <row r="2074" spans="1:5" x14ac:dyDescent="0.25">
      <c r="A2074" t="s">
        <v>3579</v>
      </c>
      <c r="B2074" t="s">
        <v>3601</v>
      </c>
      <c r="C2074" t="s">
        <v>2207</v>
      </c>
      <c r="D2074" t="s">
        <v>3607</v>
      </c>
      <c r="E2074" t="s">
        <v>3608</v>
      </c>
    </row>
    <row r="2075" spans="1:5" x14ac:dyDescent="0.25">
      <c r="A2075" t="s">
        <v>3579</v>
      </c>
      <c r="B2075" t="s">
        <v>3601</v>
      </c>
      <c r="C2075" t="s">
        <v>1017</v>
      </c>
      <c r="D2075" t="s">
        <v>3606</v>
      </c>
      <c r="E2075" t="s">
        <v>3605</v>
      </c>
    </row>
    <row r="2076" spans="1:5" x14ac:dyDescent="0.25">
      <c r="A2076" t="s">
        <v>3579</v>
      </c>
      <c r="B2076" t="s">
        <v>3601</v>
      </c>
      <c r="C2076" t="s">
        <v>1736</v>
      </c>
      <c r="D2076" t="s">
        <v>3603</v>
      </c>
      <c r="E2076" t="s">
        <v>3609</v>
      </c>
    </row>
    <row r="2077" spans="1:5" x14ac:dyDescent="0.25">
      <c r="A2077" t="s">
        <v>3579</v>
      </c>
      <c r="B2077" t="s">
        <v>3601</v>
      </c>
      <c r="C2077" t="s">
        <v>986</v>
      </c>
      <c r="D2077" t="s">
        <v>3603</v>
      </c>
      <c r="E2077" t="s">
        <v>3604</v>
      </c>
    </row>
    <row r="2078" spans="1:5" x14ac:dyDescent="0.25">
      <c r="A2078" t="s">
        <v>3579</v>
      </c>
      <c r="B2078" t="s">
        <v>3601</v>
      </c>
      <c r="C2078" t="s">
        <v>1095</v>
      </c>
      <c r="D2078" t="s">
        <v>3602</v>
      </c>
      <c r="E2078" t="s">
        <v>3604</v>
      </c>
    </row>
    <row r="2079" spans="1:5" x14ac:dyDescent="0.25">
      <c r="A2079" t="s">
        <v>3579</v>
      </c>
      <c r="B2079" t="s">
        <v>3601</v>
      </c>
      <c r="C2079" t="s">
        <v>2803</v>
      </c>
      <c r="D2079" t="s">
        <v>3602</v>
      </c>
      <c r="E2079" t="s">
        <v>3603</v>
      </c>
    </row>
    <row r="2080" spans="1:5" x14ac:dyDescent="0.25">
      <c r="A2080" t="s">
        <v>3579</v>
      </c>
      <c r="B2080" t="s">
        <v>3601</v>
      </c>
      <c r="C2080" t="s">
        <v>2080</v>
      </c>
      <c r="D2080" t="s">
        <v>3606</v>
      </c>
      <c r="E2080" t="s">
        <v>3604</v>
      </c>
    </row>
    <row r="2081" spans="1:5" x14ac:dyDescent="0.25">
      <c r="A2081" t="s">
        <v>3579</v>
      </c>
      <c r="B2081" t="s">
        <v>3601</v>
      </c>
      <c r="C2081" t="s">
        <v>289</v>
      </c>
      <c r="D2081" t="s">
        <v>3602</v>
      </c>
      <c r="E2081" t="s">
        <v>3605</v>
      </c>
    </row>
    <row r="2082" spans="1:5" x14ac:dyDescent="0.25">
      <c r="A2082" t="s">
        <v>3579</v>
      </c>
      <c r="B2082" t="s">
        <v>3601</v>
      </c>
      <c r="C2082" t="s">
        <v>2479</v>
      </c>
      <c r="D2082" t="s">
        <v>3607</v>
      </c>
      <c r="E2082" t="s">
        <v>3608</v>
      </c>
    </row>
    <row r="2083" spans="1:5" x14ac:dyDescent="0.25">
      <c r="A2083" t="s">
        <v>3579</v>
      </c>
      <c r="B2083" t="s">
        <v>3601</v>
      </c>
      <c r="C2083" t="s">
        <v>456</v>
      </c>
      <c r="D2083" t="s">
        <v>3602</v>
      </c>
      <c r="E2083" t="s">
        <v>3605</v>
      </c>
    </row>
    <row r="2084" spans="1:5" x14ac:dyDescent="0.25">
      <c r="A2084" t="s">
        <v>3579</v>
      </c>
      <c r="B2084" t="s">
        <v>3601</v>
      </c>
      <c r="C2084" t="s">
        <v>992</v>
      </c>
      <c r="D2084" t="s">
        <v>3607</v>
      </c>
      <c r="E2084" t="s">
        <v>3608</v>
      </c>
    </row>
    <row r="2085" spans="1:5" x14ac:dyDescent="0.25">
      <c r="A2085" t="s">
        <v>3579</v>
      </c>
      <c r="B2085" t="s">
        <v>3601</v>
      </c>
      <c r="C2085" t="s">
        <v>1791</v>
      </c>
      <c r="D2085" t="s">
        <v>3607</v>
      </c>
      <c r="E2085" t="s">
        <v>3608</v>
      </c>
    </row>
    <row r="2086" spans="1:5" x14ac:dyDescent="0.25">
      <c r="A2086" t="s">
        <v>3579</v>
      </c>
      <c r="B2086" t="s">
        <v>3601</v>
      </c>
      <c r="C2086" t="s">
        <v>2858</v>
      </c>
      <c r="D2086" t="s">
        <v>3603</v>
      </c>
      <c r="E2086" t="s">
        <v>3605</v>
      </c>
    </row>
    <row r="2087" spans="1:5" x14ac:dyDescent="0.25">
      <c r="A2087" t="s">
        <v>3579</v>
      </c>
      <c r="B2087" t="s">
        <v>3601</v>
      </c>
      <c r="C2087" t="s">
        <v>2223</v>
      </c>
      <c r="D2087" t="s">
        <v>3606</v>
      </c>
      <c r="E2087" t="s">
        <v>3605</v>
      </c>
    </row>
    <row r="2088" spans="1:5" x14ac:dyDescent="0.25">
      <c r="A2088" t="s">
        <v>3579</v>
      </c>
      <c r="B2088" t="s">
        <v>3601</v>
      </c>
      <c r="C2088" t="s">
        <v>1105</v>
      </c>
      <c r="D2088" t="s">
        <v>3602</v>
      </c>
      <c r="E2088" t="s">
        <v>3604</v>
      </c>
    </row>
    <row r="2089" spans="1:5" x14ac:dyDescent="0.25">
      <c r="A2089" t="s">
        <v>3579</v>
      </c>
      <c r="B2089" t="s">
        <v>3601</v>
      </c>
      <c r="C2089" t="s">
        <v>304</v>
      </c>
      <c r="D2089" t="s">
        <v>3603</v>
      </c>
      <c r="E2089" t="s">
        <v>3605</v>
      </c>
    </row>
    <row r="2090" spans="1:5" x14ac:dyDescent="0.25">
      <c r="A2090" t="s">
        <v>3579</v>
      </c>
      <c r="B2090" t="s">
        <v>3601</v>
      </c>
      <c r="C2090" t="s">
        <v>2007</v>
      </c>
      <c r="D2090" t="s">
        <v>3606</v>
      </c>
      <c r="E2090" t="s">
        <v>3603</v>
      </c>
    </row>
    <row r="2091" spans="1:5" x14ac:dyDescent="0.25">
      <c r="A2091" t="s">
        <v>3579</v>
      </c>
      <c r="B2091" t="s">
        <v>3601</v>
      </c>
      <c r="C2091" t="s">
        <v>2163</v>
      </c>
      <c r="D2091" t="s">
        <v>3607</v>
      </c>
      <c r="E2091" t="s">
        <v>3608</v>
      </c>
    </row>
    <row r="2092" spans="1:5" x14ac:dyDescent="0.25">
      <c r="A2092" t="s">
        <v>3579</v>
      </c>
      <c r="B2092" t="s">
        <v>3601</v>
      </c>
      <c r="C2092" t="s">
        <v>717</v>
      </c>
      <c r="D2092" t="s">
        <v>3607</v>
      </c>
      <c r="E2092" t="s">
        <v>3608</v>
      </c>
    </row>
    <row r="2093" spans="1:5" x14ac:dyDescent="0.25">
      <c r="A2093" t="s">
        <v>3579</v>
      </c>
      <c r="B2093" t="s">
        <v>3601</v>
      </c>
      <c r="C2093" t="s">
        <v>2390</v>
      </c>
      <c r="D2093" t="s">
        <v>3602</v>
      </c>
      <c r="E2093" t="s">
        <v>3604</v>
      </c>
    </row>
    <row r="2094" spans="1:5" x14ac:dyDescent="0.25">
      <c r="A2094" t="s">
        <v>3579</v>
      </c>
      <c r="B2094" t="s">
        <v>3601</v>
      </c>
      <c r="C2094" t="s">
        <v>462</v>
      </c>
      <c r="D2094" t="s">
        <v>3603</v>
      </c>
      <c r="E2094" t="s">
        <v>3604</v>
      </c>
    </row>
    <row r="2095" spans="1:5" x14ac:dyDescent="0.25">
      <c r="A2095" t="s">
        <v>3579</v>
      </c>
      <c r="B2095" t="s">
        <v>3601</v>
      </c>
      <c r="C2095" t="s">
        <v>2286</v>
      </c>
      <c r="D2095" t="s">
        <v>3606</v>
      </c>
      <c r="E2095" t="s">
        <v>3605</v>
      </c>
    </row>
    <row r="2096" spans="1:5" x14ac:dyDescent="0.25">
      <c r="A2096" t="s">
        <v>3579</v>
      </c>
      <c r="B2096" t="s">
        <v>3601</v>
      </c>
      <c r="C2096" t="s">
        <v>2454</v>
      </c>
      <c r="D2096" t="s">
        <v>3607</v>
      </c>
      <c r="E2096" t="s">
        <v>3608</v>
      </c>
    </row>
    <row r="2097" spans="1:5" x14ac:dyDescent="0.25">
      <c r="A2097" t="s">
        <v>3579</v>
      </c>
      <c r="B2097" t="s">
        <v>3601</v>
      </c>
      <c r="C2097" t="s">
        <v>18</v>
      </c>
      <c r="D2097" t="s">
        <v>3602</v>
      </c>
      <c r="E2097" t="s">
        <v>3604</v>
      </c>
    </row>
    <row r="2098" spans="1:5" x14ac:dyDescent="0.25">
      <c r="A2098" t="s">
        <v>3579</v>
      </c>
      <c r="B2098" t="s">
        <v>3601</v>
      </c>
      <c r="C2098" t="s">
        <v>2694</v>
      </c>
      <c r="D2098" t="s">
        <v>3603</v>
      </c>
      <c r="E2098" t="s">
        <v>3609</v>
      </c>
    </row>
    <row r="2099" spans="1:5" x14ac:dyDescent="0.25">
      <c r="A2099" t="s">
        <v>3579</v>
      </c>
      <c r="B2099" t="s">
        <v>3601</v>
      </c>
      <c r="C2099" t="s">
        <v>1271</v>
      </c>
      <c r="D2099" t="s">
        <v>3607</v>
      </c>
      <c r="E2099" t="s">
        <v>3608</v>
      </c>
    </row>
    <row r="2100" spans="1:5" x14ac:dyDescent="0.25">
      <c r="A2100" t="s">
        <v>3579</v>
      </c>
      <c r="B2100" t="s">
        <v>3601</v>
      </c>
      <c r="C2100" t="s">
        <v>2724</v>
      </c>
      <c r="D2100" t="s">
        <v>3602</v>
      </c>
      <c r="E2100" t="s">
        <v>3605</v>
      </c>
    </row>
    <row r="2101" spans="1:5" x14ac:dyDescent="0.25">
      <c r="A2101" t="s">
        <v>3579</v>
      </c>
      <c r="B2101" t="s">
        <v>3601</v>
      </c>
      <c r="C2101" t="s">
        <v>250</v>
      </c>
      <c r="D2101" t="s">
        <v>3602</v>
      </c>
      <c r="E2101" t="s">
        <v>3604</v>
      </c>
    </row>
    <row r="2102" spans="1:5" x14ac:dyDescent="0.25">
      <c r="A2102" t="s">
        <v>3579</v>
      </c>
      <c r="B2102" t="s">
        <v>3601</v>
      </c>
      <c r="C2102" t="s">
        <v>1784</v>
      </c>
      <c r="D2102" t="s">
        <v>3602</v>
      </c>
      <c r="E2102" t="s">
        <v>3604</v>
      </c>
    </row>
    <row r="2103" spans="1:5" x14ac:dyDescent="0.25">
      <c r="A2103" t="s">
        <v>3579</v>
      </c>
      <c r="B2103" t="s">
        <v>3610</v>
      </c>
      <c r="C2103" t="s">
        <v>2954</v>
      </c>
      <c r="D2103" t="s">
        <v>3606</v>
      </c>
      <c r="E2103" t="s">
        <v>3608</v>
      </c>
    </row>
    <row r="2104" spans="1:5" x14ac:dyDescent="0.25">
      <c r="A2104" t="s">
        <v>3579</v>
      </c>
      <c r="B2104" t="s">
        <v>3610</v>
      </c>
      <c r="C2104" t="s">
        <v>2918</v>
      </c>
      <c r="D2104" t="s">
        <v>3611</v>
      </c>
      <c r="E2104" t="s">
        <v>3608</v>
      </c>
    </row>
    <row r="2105" spans="1:5" x14ac:dyDescent="0.25">
      <c r="A2105" t="s">
        <v>3579</v>
      </c>
      <c r="B2105" t="s">
        <v>3610</v>
      </c>
      <c r="C2105" t="s">
        <v>2943</v>
      </c>
      <c r="D2105" t="s">
        <v>3607</v>
      </c>
      <c r="E2105" t="s">
        <v>3608</v>
      </c>
    </row>
    <row r="2106" spans="1:5" x14ac:dyDescent="0.25">
      <c r="A2106" t="s">
        <v>3580</v>
      </c>
      <c r="B2106" t="s">
        <v>3601</v>
      </c>
      <c r="C2106" t="s">
        <v>54</v>
      </c>
      <c r="D2106" t="s">
        <v>3603</v>
      </c>
      <c r="E2106" t="s">
        <v>3609</v>
      </c>
    </row>
    <row r="2107" spans="1:5" x14ac:dyDescent="0.25">
      <c r="A2107" t="s">
        <v>3580</v>
      </c>
      <c r="B2107" t="s">
        <v>3601</v>
      </c>
      <c r="C2107" t="s">
        <v>124</v>
      </c>
      <c r="D2107" t="s">
        <v>3602</v>
      </c>
      <c r="E2107" t="s">
        <v>3605</v>
      </c>
    </row>
    <row r="2108" spans="1:5" x14ac:dyDescent="0.25">
      <c r="A2108" t="s">
        <v>3580</v>
      </c>
      <c r="B2108" t="s">
        <v>3601</v>
      </c>
      <c r="C2108" t="s">
        <v>2557</v>
      </c>
      <c r="D2108" t="s">
        <v>3602</v>
      </c>
      <c r="E2108" t="s">
        <v>3604</v>
      </c>
    </row>
    <row r="2109" spans="1:5" x14ac:dyDescent="0.25">
      <c r="A2109" t="s">
        <v>3580</v>
      </c>
      <c r="B2109" t="s">
        <v>3601</v>
      </c>
      <c r="C2109" t="s">
        <v>2042</v>
      </c>
      <c r="D2109" t="s">
        <v>3602</v>
      </c>
      <c r="E2109" t="s">
        <v>3603</v>
      </c>
    </row>
    <row r="2110" spans="1:5" x14ac:dyDescent="0.25">
      <c r="A2110" t="s">
        <v>3580</v>
      </c>
      <c r="B2110" t="s">
        <v>3601</v>
      </c>
      <c r="C2110" t="s">
        <v>2259</v>
      </c>
      <c r="D2110" t="s">
        <v>3602</v>
      </c>
      <c r="E2110" t="s">
        <v>3609</v>
      </c>
    </row>
    <row r="2111" spans="1:5" x14ac:dyDescent="0.25">
      <c r="A2111" t="s">
        <v>3580</v>
      </c>
      <c r="B2111" t="s">
        <v>3601</v>
      </c>
      <c r="C2111" t="s">
        <v>2449</v>
      </c>
      <c r="D2111" t="s">
        <v>3606</v>
      </c>
      <c r="E2111" t="s">
        <v>3603</v>
      </c>
    </row>
    <row r="2112" spans="1:5" x14ac:dyDescent="0.25">
      <c r="A2112" t="s">
        <v>3580</v>
      </c>
      <c r="B2112" t="s">
        <v>3601</v>
      </c>
      <c r="C2112" t="s">
        <v>2286</v>
      </c>
      <c r="D2112" t="s">
        <v>3607</v>
      </c>
      <c r="E2112" t="s">
        <v>3608</v>
      </c>
    </row>
    <row r="2113" spans="1:5" x14ac:dyDescent="0.25">
      <c r="A2113" t="s">
        <v>3580</v>
      </c>
      <c r="B2113" t="s">
        <v>3601</v>
      </c>
      <c r="C2113" t="s">
        <v>2423</v>
      </c>
      <c r="D2113" t="s">
        <v>3602</v>
      </c>
      <c r="E2113" t="s">
        <v>3604</v>
      </c>
    </row>
    <row r="2114" spans="1:5" x14ac:dyDescent="0.25">
      <c r="A2114" t="s">
        <v>3580</v>
      </c>
      <c r="B2114" t="s">
        <v>3601</v>
      </c>
      <c r="C2114" t="s">
        <v>2228</v>
      </c>
      <c r="D2114" t="s">
        <v>3602</v>
      </c>
      <c r="E2114" t="s">
        <v>3603</v>
      </c>
    </row>
    <row r="2115" spans="1:5" x14ac:dyDescent="0.25">
      <c r="A2115" t="s">
        <v>3580</v>
      </c>
      <c r="B2115" t="s">
        <v>3601</v>
      </c>
      <c r="C2115" t="s">
        <v>542</v>
      </c>
      <c r="D2115" t="s">
        <v>3607</v>
      </c>
      <c r="E2115" t="s">
        <v>3608</v>
      </c>
    </row>
    <row r="2116" spans="1:5" x14ac:dyDescent="0.25">
      <c r="A2116" t="s">
        <v>3580</v>
      </c>
      <c r="B2116" t="s">
        <v>3601</v>
      </c>
      <c r="C2116" t="s">
        <v>2719</v>
      </c>
      <c r="D2116" t="s">
        <v>3603</v>
      </c>
      <c r="E2116" t="s">
        <v>3609</v>
      </c>
    </row>
    <row r="2117" spans="1:5" x14ac:dyDescent="0.25">
      <c r="A2117" t="s">
        <v>3580</v>
      </c>
      <c r="B2117" t="s">
        <v>3601</v>
      </c>
      <c r="C2117" t="s">
        <v>1478</v>
      </c>
      <c r="D2117" t="s">
        <v>3603</v>
      </c>
      <c r="E2117" t="s">
        <v>3605</v>
      </c>
    </row>
    <row r="2118" spans="1:5" x14ac:dyDescent="0.25">
      <c r="A2118" t="s">
        <v>3580</v>
      </c>
      <c r="B2118" t="s">
        <v>3601</v>
      </c>
      <c r="C2118" t="s">
        <v>1135</v>
      </c>
      <c r="D2118" t="s">
        <v>3602</v>
      </c>
      <c r="E2118" t="s">
        <v>3603</v>
      </c>
    </row>
    <row r="2119" spans="1:5" x14ac:dyDescent="0.25">
      <c r="A2119" t="s">
        <v>3580</v>
      </c>
      <c r="B2119" t="s">
        <v>3601</v>
      </c>
      <c r="C2119" t="s">
        <v>1937</v>
      </c>
      <c r="D2119" t="s">
        <v>3603</v>
      </c>
      <c r="E2119" t="s">
        <v>3603</v>
      </c>
    </row>
    <row r="2120" spans="1:5" x14ac:dyDescent="0.25">
      <c r="A2120" t="s">
        <v>3580</v>
      </c>
      <c r="B2120" t="s">
        <v>3601</v>
      </c>
      <c r="C2120" t="s">
        <v>1558</v>
      </c>
      <c r="D2120" t="s">
        <v>3603</v>
      </c>
      <c r="E2120" t="s">
        <v>3603</v>
      </c>
    </row>
    <row r="2121" spans="1:5" x14ac:dyDescent="0.25">
      <c r="A2121" t="s">
        <v>3580</v>
      </c>
      <c r="B2121" t="s">
        <v>3601</v>
      </c>
      <c r="C2121" t="s">
        <v>1090</v>
      </c>
      <c r="D2121" t="s">
        <v>3602</v>
      </c>
      <c r="E2121" t="s">
        <v>3609</v>
      </c>
    </row>
    <row r="2122" spans="1:5" x14ac:dyDescent="0.25">
      <c r="A2122" t="s">
        <v>3580</v>
      </c>
      <c r="B2122" t="s">
        <v>3601</v>
      </c>
      <c r="C2122" t="s">
        <v>717</v>
      </c>
      <c r="D2122" t="s">
        <v>3607</v>
      </c>
      <c r="E2122" t="s">
        <v>3608</v>
      </c>
    </row>
    <row r="2123" spans="1:5" x14ac:dyDescent="0.25">
      <c r="A2123" t="s">
        <v>3580</v>
      </c>
      <c r="B2123" t="s">
        <v>3601</v>
      </c>
      <c r="C2123" t="s">
        <v>2207</v>
      </c>
      <c r="D2123" t="s">
        <v>3607</v>
      </c>
      <c r="E2123" t="s">
        <v>3608</v>
      </c>
    </row>
    <row r="2124" spans="1:5" x14ac:dyDescent="0.25">
      <c r="A2124" t="s">
        <v>3580</v>
      </c>
      <c r="B2124" t="s">
        <v>3601</v>
      </c>
      <c r="C2124" t="s">
        <v>2838</v>
      </c>
      <c r="D2124" t="s">
        <v>3607</v>
      </c>
      <c r="E2124" t="s">
        <v>3608</v>
      </c>
    </row>
    <row r="2125" spans="1:5" x14ac:dyDescent="0.25">
      <c r="A2125" t="s">
        <v>3580</v>
      </c>
      <c r="B2125" t="s">
        <v>3601</v>
      </c>
      <c r="C2125" t="s">
        <v>2301</v>
      </c>
      <c r="D2125" t="s">
        <v>3602</v>
      </c>
      <c r="E2125" t="s">
        <v>3609</v>
      </c>
    </row>
    <row r="2126" spans="1:5" x14ac:dyDescent="0.25">
      <c r="A2126" t="s">
        <v>3580</v>
      </c>
      <c r="B2126" t="s">
        <v>3601</v>
      </c>
      <c r="C2126" t="s">
        <v>1892</v>
      </c>
      <c r="D2126" t="s">
        <v>3602</v>
      </c>
      <c r="E2126" t="s">
        <v>3605</v>
      </c>
    </row>
    <row r="2127" spans="1:5" x14ac:dyDescent="0.25">
      <c r="A2127" t="s">
        <v>3580</v>
      </c>
      <c r="B2127" t="s">
        <v>3601</v>
      </c>
      <c r="C2127" t="s">
        <v>1388</v>
      </c>
      <c r="D2127" t="s">
        <v>3603</v>
      </c>
      <c r="E2127" t="s">
        <v>3605</v>
      </c>
    </row>
    <row r="2128" spans="1:5" x14ac:dyDescent="0.25">
      <c r="A2128" t="s">
        <v>3580</v>
      </c>
      <c r="B2128" t="s">
        <v>3601</v>
      </c>
      <c r="C2128" t="s">
        <v>535</v>
      </c>
      <c r="D2128" t="s">
        <v>3606</v>
      </c>
      <c r="E2128" t="s">
        <v>3603</v>
      </c>
    </row>
    <row r="2129" spans="1:5" x14ac:dyDescent="0.25">
      <c r="A2129" t="s">
        <v>3580</v>
      </c>
      <c r="B2129" t="s">
        <v>3601</v>
      </c>
      <c r="C2129" t="s">
        <v>2419</v>
      </c>
      <c r="D2129" t="s">
        <v>3607</v>
      </c>
      <c r="E2129" t="s">
        <v>3608</v>
      </c>
    </row>
    <row r="2130" spans="1:5" x14ac:dyDescent="0.25">
      <c r="A2130" t="s">
        <v>3580</v>
      </c>
      <c r="B2130" t="s">
        <v>3601</v>
      </c>
      <c r="C2130" t="s">
        <v>2454</v>
      </c>
      <c r="D2130" t="s">
        <v>3606</v>
      </c>
      <c r="E2130" t="s">
        <v>3605</v>
      </c>
    </row>
    <row r="2131" spans="1:5" x14ac:dyDescent="0.25">
      <c r="A2131" t="s">
        <v>3580</v>
      </c>
      <c r="B2131" t="s">
        <v>3601</v>
      </c>
      <c r="C2131" t="s">
        <v>1105</v>
      </c>
      <c r="D2131" t="s">
        <v>3602</v>
      </c>
      <c r="E2131" t="s">
        <v>3609</v>
      </c>
    </row>
    <row r="2132" spans="1:5" x14ac:dyDescent="0.25">
      <c r="A2132" t="s">
        <v>3580</v>
      </c>
      <c r="B2132" t="s">
        <v>3601</v>
      </c>
      <c r="C2132" t="s">
        <v>563</v>
      </c>
      <c r="D2132" t="s">
        <v>3602</v>
      </c>
      <c r="E2132" t="s">
        <v>3603</v>
      </c>
    </row>
    <row r="2133" spans="1:5" x14ac:dyDescent="0.25">
      <c r="A2133" t="s">
        <v>3580</v>
      </c>
      <c r="B2133" t="s">
        <v>3601</v>
      </c>
      <c r="C2133" t="s">
        <v>1545</v>
      </c>
      <c r="D2133" t="s">
        <v>3606</v>
      </c>
      <c r="E2133" t="s">
        <v>3605</v>
      </c>
    </row>
    <row r="2134" spans="1:5" x14ac:dyDescent="0.25">
      <c r="A2134" t="s">
        <v>3580</v>
      </c>
      <c r="B2134" t="s">
        <v>3601</v>
      </c>
      <c r="C2134" t="s">
        <v>2213</v>
      </c>
      <c r="D2134" t="s">
        <v>3602</v>
      </c>
      <c r="E2134" t="s">
        <v>3605</v>
      </c>
    </row>
    <row r="2135" spans="1:5" x14ac:dyDescent="0.25">
      <c r="A2135" t="s">
        <v>3580</v>
      </c>
      <c r="B2135" t="s">
        <v>3601</v>
      </c>
      <c r="C2135" t="s">
        <v>2069</v>
      </c>
      <c r="D2135" t="s">
        <v>3603</v>
      </c>
      <c r="E2135" t="s">
        <v>3604</v>
      </c>
    </row>
    <row r="2136" spans="1:5" x14ac:dyDescent="0.25">
      <c r="A2136" t="s">
        <v>3580</v>
      </c>
      <c r="B2136" t="s">
        <v>3601</v>
      </c>
      <c r="C2136" t="s">
        <v>1458</v>
      </c>
      <c r="D2136" t="s">
        <v>3607</v>
      </c>
      <c r="E2136" t="s">
        <v>3608</v>
      </c>
    </row>
    <row r="2137" spans="1:5" x14ac:dyDescent="0.25">
      <c r="A2137" t="s">
        <v>3580</v>
      </c>
      <c r="B2137" t="s">
        <v>3601</v>
      </c>
      <c r="C2137" t="s">
        <v>2527</v>
      </c>
      <c r="D2137" t="s">
        <v>3607</v>
      </c>
      <c r="E2137" t="s">
        <v>3608</v>
      </c>
    </row>
    <row r="2138" spans="1:5" x14ac:dyDescent="0.25">
      <c r="A2138" t="s">
        <v>3580</v>
      </c>
      <c r="B2138" t="s">
        <v>3601</v>
      </c>
      <c r="C2138" t="s">
        <v>594</v>
      </c>
      <c r="D2138" t="s">
        <v>3606</v>
      </c>
      <c r="E2138" t="s">
        <v>3604</v>
      </c>
    </row>
    <row r="2139" spans="1:5" x14ac:dyDescent="0.25">
      <c r="A2139" t="s">
        <v>3580</v>
      </c>
      <c r="B2139" t="s">
        <v>3601</v>
      </c>
      <c r="C2139" t="s">
        <v>2743</v>
      </c>
      <c r="D2139" t="s">
        <v>3602</v>
      </c>
      <c r="E2139" t="s">
        <v>3603</v>
      </c>
    </row>
    <row r="2140" spans="1:5" x14ac:dyDescent="0.25">
      <c r="A2140" t="s">
        <v>3580</v>
      </c>
      <c r="B2140" t="s">
        <v>3601</v>
      </c>
      <c r="C2140" t="s">
        <v>2017</v>
      </c>
      <c r="D2140" t="s">
        <v>3607</v>
      </c>
      <c r="E2140" t="s">
        <v>3608</v>
      </c>
    </row>
    <row r="2141" spans="1:5" x14ac:dyDescent="0.25">
      <c r="A2141" t="s">
        <v>3580</v>
      </c>
      <c r="B2141" t="s">
        <v>3601</v>
      </c>
      <c r="C2141" t="s">
        <v>1612</v>
      </c>
      <c r="D2141" t="s">
        <v>3602</v>
      </c>
      <c r="E2141" t="s">
        <v>3609</v>
      </c>
    </row>
    <row r="2142" spans="1:5" x14ac:dyDescent="0.25">
      <c r="A2142" t="s">
        <v>3580</v>
      </c>
      <c r="B2142" t="s">
        <v>3601</v>
      </c>
      <c r="C2142" t="s">
        <v>2404</v>
      </c>
      <c r="D2142" t="s">
        <v>3603</v>
      </c>
      <c r="E2142" t="s">
        <v>3609</v>
      </c>
    </row>
    <row r="2143" spans="1:5" x14ac:dyDescent="0.25">
      <c r="A2143" t="s">
        <v>3580</v>
      </c>
      <c r="B2143" t="s">
        <v>3601</v>
      </c>
      <c r="C2143" t="s">
        <v>1953</v>
      </c>
      <c r="D2143" t="s">
        <v>3602</v>
      </c>
      <c r="E2143" t="s">
        <v>3603</v>
      </c>
    </row>
    <row r="2144" spans="1:5" x14ac:dyDescent="0.25">
      <c r="A2144" t="s">
        <v>3580</v>
      </c>
      <c r="B2144" t="s">
        <v>3601</v>
      </c>
      <c r="C2144" t="s">
        <v>2464</v>
      </c>
      <c r="D2144" t="s">
        <v>3607</v>
      </c>
      <c r="E2144" t="s">
        <v>3608</v>
      </c>
    </row>
    <row r="2145" spans="1:5" x14ac:dyDescent="0.25">
      <c r="A2145" t="s">
        <v>3580</v>
      </c>
      <c r="B2145" t="s">
        <v>3601</v>
      </c>
      <c r="C2145" t="s">
        <v>1591</v>
      </c>
      <c r="D2145" t="s">
        <v>3607</v>
      </c>
      <c r="E2145" t="s">
        <v>3608</v>
      </c>
    </row>
    <row r="2146" spans="1:5" x14ac:dyDescent="0.25">
      <c r="A2146" t="s">
        <v>3580</v>
      </c>
      <c r="B2146" t="s">
        <v>3601</v>
      </c>
      <c r="C2146" t="s">
        <v>2709</v>
      </c>
      <c r="D2146" t="s">
        <v>3606</v>
      </c>
      <c r="E2146" t="s">
        <v>3603</v>
      </c>
    </row>
    <row r="2147" spans="1:5" x14ac:dyDescent="0.25">
      <c r="A2147" t="s">
        <v>3580</v>
      </c>
      <c r="B2147" t="s">
        <v>3601</v>
      </c>
      <c r="C2147" t="s">
        <v>960</v>
      </c>
      <c r="D2147" t="s">
        <v>3602</v>
      </c>
      <c r="E2147" t="s">
        <v>3609</v>
      </c>
    </row>
    <row r="2148" spans="1:5" x14ac:dyDescent="0.25">
      <c r="A2148" t="s">
        <v>3580</v>
      </c>
      <c r="B2148" t="s">
        <v>3601</v>
      </c>
      <c r="C2148" t="s">
        <v>423</v>
      </c>
      <c r="D2148" t="s">
        <v>3603</v>
      </c>
      <c r="E2148" t="s">
        <v>3605</v>
      </c>
    </row>
    <row r="2149" spans="1:5" x14ac:dyDescent="0.25">
      <c r="A2149" t="s">
        <v>3580</v>
      </c>
      <c r="B2149" t="s">
        <v>3601</v>
      </c>
      <c r="C2149" t="s">
        <v>1434</v>
      </c>
      <c r="D2149" t="s">
        <v>3606</v>
      </c>
      <c r="E2149" t="s">
        <v>3605</v>
      </c>
    </row>
    <row r="2150" spans="1:5" x14ac:dyDescent="0.25">
      <c r="A2150" t="s">
        <v>3580</v>
      </c>
      <c r="B2150" t="s">
        <v>3601</v>
      </c>
      <c r="C2150" t="s">
        <v>2669</v>
      </c>
      <c r="D2150" t="s">
        <v>3606</v>
      </c>
      <c r="E2150" t="s">
        <v>3605</v>
      </c>
    </row>
    <row r="2151" spans="1:5" x14ac:dyDescent="0.25">
      <c r="A2151" t="s">
        <v>3580</v>
      </c>
      <c r="B2151" t="s">
        <v>3601</v>
      </c>
      <c r="C2151" t="s">
        <v>2163</v>
      </c>
      <c r="D2151" t="s">
        <v>3606</v>
      </c>
      <c r="E2151" t="s">
        <v>3604</v>
      </c>
    </row>
    <row r="2152" spans="1:5" x14ac:dyDescent="0.25">
      <c r="A2152" t="s">
        <v>3580</v>
      </c>
      <c r="B2152" t="s">
        <v>3601</v>
      </c>
      <c r="C2152" t="s">
        <v>1866</v>
      </c>
      <c r="D2152" t="s">
        <v>3602</v>
      </c>
      <c r="E2152" t="s">
        <v>3603</v>
      </c>
    </row>
    <row r="2153" spans="1:5" x14ac:dyDescent="0.25">
      <c r="A2153" t="s">
        <v>3580</v>
      </c>
      <c r="B2153" t="s">
        <v>3601</v>
      </c>
      <c r="C2153" t="s">
        <v>2494</v>
      </c>
      <c r="D2153" t="s">
        <v>3607</v>
      </c>
      <c r="E2153" t="s">
        <v>3608</v>
      </c>
    </row>
    <row r="2154" spans="1:5" x14ac:dyDescent="0.25">
      <c r="A2154" t="s">
        <v>3580</v>
      </c>
      <c r="B2154" t="s">
        <v>3601</v>
      </c>
      <c r="C2154" t="s">
        <v>2223</v>
      </c>
      <c r="D2154" t="s">
        <v>3606</v>
      </c>
      <c r="E2154" t="s">
        <v>3605</v>
      </c>
    </row>
    <row r="2155" spans="1:5" x14ac:dyDescent="0.25">
      <c r="A2155" t="s">
        <v>3580</v>
      </c>
      <c r="B2155" t="s">
        <v>3601</v>
      </c>
      <c r="C2155" t="s">
        <v>1705</v>
      </c>
      <c r="D2155" t="s">
        <v>3606</v>
      </c>
      <c r="E2155" t="s">
        <v>3603</v>
      </c>
    </row>
    <row r="2156" spans="1:5" x14ac:dyDescent="0.25">
      <c r="A2156" t="s">
        <v>3580</v>
      </c>
      <c r="B2156" t="s">
        <v>3601</v>
      </c>
      <c r="C2156" t="s">
        <v>1831</v>
      </c>
      <c r="D2156" t="s">
        <v>3607</v>
      </c>
      <c r="E2156" t="s">
        <v>3608</v>
      </c>
    </row>
    <row r="2157" spans="1:5" x14ac:dyDescent="0.25">
      <c r="A2157" t="s">
        <v>3580</v>
      </c>
      <c r="B2157" t="s">
        <v>3601</v>
      </c>
      <c r="C2157" t="s">
        <v>1871</v>
      </c>
      <c r="D2157" t="s">
        <v>3606</v>
      </c>
      <c r="E2157" t="s">
        <v>3603</v>
      </c>
    </row>
    <row r="2158" spans="1:5" x14ac:dyDescent="0.25">
      <c r="A2158" t="s">
        <v>3580</v>
      </c>
      <c r="B2158" t="s">
        <v>3601</v>
      </c>
      <c r="C2158" t="s">
        <v>1365</v>
      </c>
      <c r="D2158" t="s">
        <v>3602</v>
      </c>
      <c r="E2158" t="s">
        <v>3603</v>
      </c>
    </row>
    <row r="2159" spans="1:5" x14ac:dyDescent="0.25">
      <c r="A2159" t="s">
        <v>3580</v>
      </c>
      <c r="B2159" t="s">
        <v>3601</v>
      </c>
      <c r="C2159" t="s">
        <v>1963</v>
      </c>
      <c r="D2159" t="s">
        <v>3602</v>
      </c>
      <c r="E2159" t="s">
        <v>3603</v>
      </c>
    </row>
    <row r="2160" spans="1:5" x14ac:dyDescent="0.25">
      <c r="A2160" t="s">
        <v>3580</v>
      </c>
      <c r="B2160" t="s">
        <v>3601</v>
      </c>
      <c r="C2160" t="s">
        <v>971</v>
      </c>
      <c r="D2160" t="s">
        <v>3606</v>
      </c>
      <c r="E2160" t="s">
        <v>3604</v>
      </c>
    </row>
    <row r="2161" spans="1:5" x14ac:dyDescent="0.25">
      <c r="A2161" t="s">
        <v>3580</v>
      </c>
      <c r="B2161" t="s">
        <v>3601</v>
      </c>
      <c r="C2161" t="s">
        <v>450</v>
      </c>
      <c r="D2161" t="s">
        <v>3607</v>
      </c>
      <c r="E2161" t="s">
        <v>3608</v>
      </c>
    </row>
    <row r="2162" spans="1:5" x14ac:dyDescent="0.25">
      <c r="A2162" t="s">
        <v>3580</v>
      </c>
      <c r="B2162" t="s">
        <v>3601</v>
      </c>
      <c r="C2162" t="s">
        <v>795</v>
      </c>
      <c r="D2162" t="s">
        <v>3606</v>
      </c>
      <c r="E2162" t="s">
        <v>3603</v>
      </c>
    </row>
    <row r="2163" spans="1:5" x14ac:dyDescent="0.25">
      <c r="A2163" t="s">
        <v>3580</v>
      </c>
      <c r="B2163" t="s">
        <v>3601</v>
      </c>
      <c r="C2163" t="s">
        <v>2644</v>
      </c>
      <c r="D2163" t="s">
        <v>3606</v>
      </c>
      <c r="E2163" t="s">
        <v>3605</v>
      </c>
    </row>
    <row r="2164" spans="1:5" x14ac:dyDescent="0.25">
      <c r="A2164" t="s">
        <v>3580</v>
      </c>
      <c r="B2164" t="s">
        <v>3601</v>
      </c>
      <c r="C2164" t="s">
        <v>1996</v>
      </c>
      <c r="D2164" t="s">
        <v>3606</v>
      </c>
      <c r="E2164" t="s">
        <v>3604</v>
      </c>
    </row>
    <row r="2165" spans="1:5" x14ac:dyDescent="0.25">
      <c r="A2165" t="s">
        <v>3580</v>
      </c>
      <c r="B2165" t="s">
        <v>3601</v>
      </c>
      <c r="C2165" t="s">
        <v>1399</v>
      </c>
      <c r="D2165" t="s">
        <v>3606</v>
      </c>
      <c r="E2165" t="s">
        <v>3609</v>
      </c>
    </row>
    <row r="2166" spans="1:5" x14ac:dyDescent="0.25">
      <c r="A2166" t="s">
        <v>3580</v>
      </c>
      <c r="B2166" t="s">
        <v>3601</v>
      </c>
      <c r="C2166" t="s">
        <v>1116</v>
      </c>
      <c r="D2166" t="s">
        <v>3602</v>
      </c>
      <c r="E2166" t="s">
        <v>3605</v>
      </c>
    </row>
    <row r="2167" spans="1:5" x14ac:dyDescent="0.25">
      <c r="A2167" t="s">
        <v>3580</v>
      </c>
      <c r="B2167" t="s">
        <v>3601</v>
      </c>
      <c r="C2167" t="s">
        <v>778</v>
      </c>
      <c r="D2167" t="s">
        <v>3606</v>
      </c>
      <c r="E2167" t="s">
        <v>3605</v>
      </c>
    </row>
    <row r="2168" spans="1:5" x14ac:dyDescent="0.25">
      <c r="A2168" t="s">
        <v>3580</v>
      </c>
      <c r="B2168" t="s">
        <v>3601</v>
      </c>
      <c r="C2168" t="s">
        <v>503</v>
      </c>
      <c r="D2168" t="s">
        <v>3607</v>
      </c>
      <c r="E2168" t="s">
        <v>3608</v>
      </c>
    </row>
    <row r="2169" spans="1:5" x14ac:dyDescent="0.25">
      <c r="A2169" t="s">
        <v>3580</v>
      </c>
      <c r="B2169" t="s">
        <v>3601</v>
      </c>
      <c r="C2169" t="s">
        <v>1746</v>
      </c>
      <c r="D2169" t="s">
        <v>3603</v>
      </c>
      <c r="E2169" t="s">
        <v>3604</v>
      </c>
    </row>
    <row r="2170" spans="1:5" x14ac:dyDescent="0.25">
      <c r="A2170" t="s">
        <v>3580</v>
      </c>
      <c r="B2170" t="s">
        <v>3601</v>
      </c>
      <c r="C2170" t="s">
        <v>235</v>
      </c>
      <c r="D2170" t="s">
        <v>3607</v>
      </c>
      <c r="E2170" t="s">
        <v>3608</v>
      </c>
    </row>
    <row r="2171" spans="1:5" x14ac:dyDescent="0.25">
      <c r="A2171" t="s">
        <v>3580</v>
      </c>
      <c r="B2171" t="s">
        <v>3601</v>
      </c>
      <c r="C2171" t="s">
        <v>888</v>
      </c>
      <c r="D2171" t="s">
        <v>3606</v>
      </c>
      <c r="E2171" t="s">
        <v>3604</v>
      </c>
    </row>
    <row r="2172" spans="1:5" x14ac:dyDescent="0.25">
      <c r="A2172" t="s">
        <v>3580</v>
      </c>
      <c r="B2172" t="s">
        <v>3601</v>
      </c>
      <c r="C2172" t="s">
        <v>1539</v>
      </c>
      <c r="D2172" t="s">
        <v>3606</v>
      </c>
      <c r="E2172" t="s">
        <v>3609</v>
      </c>
    </row>
    <row r="2173" spans="1:5" x14ac:dyDescent="0.25">
      <c r="A2173" t="s">
        <v>3580</v>
      </c>
      <c r="B2173" t="s">
        <v>3601</v>
      </c>
      <c r="C2173" t="s">
        <v>1513</v>
      </c>
      <c r="D2173" t="s">
        <v>3607</v>
      </c>
      <c r="E2173" t="s">
        <v>3608</v>
      </c>
    </row>
    <row r="2174" spans="1:5" x14ac:dyDescent="0.25">
      <c r="A2174" t="s">
        <v>3580</v>
      </c>
      <c r="B2174" t="s">
        <v>3601</v>
      </c>
      <c r="C2174" t="s">
        <v>1534</v>
      </c>
      <c r="D2174" t="s">
        <v>3603</v>
      </c>
      <c r="E2174" t="s">
        <v>3609</v>
      </c>
    </row>
    <row r="2175" spans="1:5" x14ac:dyDescent="0.25">
      <c r="A2175" t="s">
        <v>3580</v>
      </c>
      <c r="B2175" t="s">
        <v>3601</v>
      </c>
      <c r="C2175" t="s">
        <v>2267</v>
      </c>
      <c r="D2175" t="s">
        <v>3602</v>
      </c>
      <c r="E2175" t="s">
        <v>3605</v>
      </c>
    </row>
    <row r="2176" spans="1:5" x14ac:dyDescent="0.25">
      <c r="A2176" t="s">
        <v>3580</v>
      </c>
      <c r="B2176" t="s">
        <v>3601</v>
      </c>
      <c r="C2176" t="s">
        <v>2340</v>
      </c>
      <c r="D2176" t="s">
        <v>3607</v>
      </c>
      <c r="E2176" t="s">
        <v>3608</v>
      </c>
    </row>
    <row r="2177" spans="1:5" x14ac:dyDescent="0.25">
      <c r="A2177" t="s">
        <v>3580</v>
      </c>
      <c r="B2177" t="s">
        <v>3601</v>
      </c>
      <c r="C2177" t="s">
        <v>997</v>
      </c>
      <c r="D2177" t="s">
        <v>3603</v>
      </c>
      <c r="E2177" t="s">
        <v>3605</v>
      </c>
    </row>
    <row r="2178" spans="1:5" x14ac:dyDescent="0.25">
      <c r="A2178" t="s">
        <v>3580</v>
      </c>
      <c r="B2178" t="s">
        <v>3601</v>
      </c>
      <c r="C2178" t="s">
        <v>1805</v>
      </c>
      <c r="D2178" t="s">
        <v>3607</v>
      </c>
      <c r="E2178" t="s">
        <v>3608</v>
      </c>
    </row>
    <row r="2179" spans="1:5" x14ac:dyDescent="0.25">
      <c r="A2179" t="s">
        <v>3580</v>
      </c>
      <c r="B2179" t="s">
        <v>3601</v>
      </c>
      <c r="C2179" t="s">
        <v>2105</v>
      </c>
      <c r="D2179" t="s">
        <v>3602</v>
      </c>
      <c r="E2179" t="s">
        <v>3604</v>
      </c>
    </row>
    <row r="2180" spans="1:5" x14ac:dyDescent="0.25">
      <c r="A2180" t="s">
        <v>3580</v>
      </c>
      <c r="B2180" t="s">
        <v>3601</v>
      </c>
      <c r="C2180" t="s">
        <v>955</v>
      </c>
      <c r="D2180" t="s">
        <v>3606</v>
      </c>
      <c r="E2180" t="s">
        <v>3609</v>
      </c>
    </row>
    <row r="2181" spans="1:5" x14ac:dyDescent="0.25">
      <c r="A2181" t="s">
        <v>3580</v>
      </c>
      <c r="B2181" t="s">
        <v>3601</v>
      </c>
      <c r="C2181" t="s">
        <v>601</v>
      </c>
      <c r="D2181" t="s">
        <v>3603</v>
      </c>
      <c r="E2181" t="s">
        <v>3609</v>
      </c>
    </row>
    <row r="2182" spans="1:5" x14ac:dyDescent="0.25">
      <c r="A2182" t="s">
        <v>3580</v>
      </c>
      <c r="B2182" t="s">
        <v>3601</v>
      </c>
      <c r="C2182" t="s">
        <v>870</v>
      </c>
      <c r="D2182" t="s">
        <v>3606</v>
      </c>
      <c r="E2182" t="s">
        <v>3604</v>
      </c>
    </row>
    <row r="2183" spans="1:5" x14ac:dyDescent="0.25">
      <c r="A2183" t="s">
        <v>3580</v>
      </c>
      <c r="B2183" t="s">
        <v>3601</v>
      </c>
      <c r="C2183" t="s">
        <v>2281</v>
      </c>
      <c r="D2183" t="s">
        <v>3607</v>
      </c>
      <c r="E2183" t="s">
        <v>3608</v>
      </c>
    </row>
    <row r="2184" spans="1:5" x14ac:dyDescent="0.25">
      <c r="A2184" t="s">
        <v>3580</v>
      </c>
      <c r="B2184" t="s">
        <v>3601</v>
      </c>
      <c r="C2184" t="s">
        <v>2547</v>
      </c>
      <c r="D2184" t="s">
        <v>3603</v>
      </c>
      <c r="E2184" t="s">
        <v>3605</v>
      </c>
    </row>
    <row r="2185" spans="1:5" x14ac:dyDescent="0.25">
      <c r="A2185" t="s">
        <v>3580</v>
      </c>
      <c r="B2185" t="s">
        <v>3601</v>
      </c>
      <c r="C2185" t="s">
        <v>2489</v>
      </c>
      <c r="D2185" t="s">
        <v>3607</v>
      </c>
      <c r="E2185" t="s">
        <v>3608</v>
      </c>
    </row>
    <row r="2186" spans="1:5" x14ac:dyDescent="0.25">
      <c r="A2186" t="s">
        <v>3580</v>
      </c>
      <c r="B2186" t="s">
        <v>3601</v>
      </c>
      <c r="C2186" t="s">
        <v>2249</v>
      </c>
      <c r="D2186" t="s">
        <v>3602</v>
      </c>
      <c r="E2186" t="s">
        <v>3604</v>
      </c>
    </row>
    <row r="2187" spans="1:5" x14ac:dyDescent="0.25">
      <c r="A2187" t="s">
        <v>3580</v>
      </c>
      <c r="B2187" t="s">
        <v>3601</v>
      </c>
      <c r="C2187" t="s">
        <v>1332</v>
      </c>
      <c r="D2187" t="s">
        <v>3606</v>
      </c>
      <c r="E2187" t="s">
        <v>3609</v>
      </c>
    </row>
    <row r="2188" spans="1:5" x14ac:dyDescent="0.25">
      <c r="A2188" t="s">
        <v>3580</v>
      </c>
      <c r="B2188" t="s">
        <v>3601</v>
      </c>
      <c r="C2188" t="s">
        <v>18</v>
      </c>
      <c r="D2188" t="s">
        <v>3603</v>
      </c>
      <c r="E2188" t="s">
        <v>3604</v>
      </c>
    </row>
    <row r="2189" spans="1:5" x14ac:dyDescent="0.25">
      <c r="A2189" t="s">
        <v>3580</v>
      </c>
      <c r="B2189" t="s">
        <v>3610</v>
      </c>
      <c r="C2189" t="s">
        <v>2960</v>
      </c>
      <c r="D2189" t="s">
        <v>3606</v>
      </c>
      <c r="E2189" t="s">
        <v>3608</v>
      </c>
    </row>
    <row r="2190" spans="1:5" x14ac:dyDescent="0.25">
      <c r="A2190" t="s">
        <v>3580</v>
      </c>
      <c r="B2190" t="s">
        <v>3610</v>
      </c>
      <c r="C2190" t="s">
        <v>2918</v>
      </c>
      <c r="D2190" t="s">
        <v>3612</v>
      </c>
      <c r="E2190" t="s">
        <v>3608</v>
      </c>
    </row>
    <row r="2191" spans="1:5" x14ac:dyDescent="0.25">
      <c r="A2191" t="s">
        <v>3580</v>
      </c>
      <c r="B2191" t="s">
        <v>3610</v>
      </c>
      <c r="C2191" t="s">
        <v>2985</v>
      </c>
      <c r="D2191" t="s">
        <v>3606</v>
      </c>
      <c r="E2191" t="s">
        <v>3608</v>
      </c>
    </row>
    <row r="2192" spans="1:5" x14ac:dyDescent="0.25">
      <c r="A2192" t="s">
        <v>3580</v>
      </c>
      <c r="B2192" t="s">
        <v>3610</v>
      </c>
      <c r="C2192" t="s">
        <v>2948</v>
      </c>
      <c r="D2192" t="s">
        <v>3607</v>
      </c>
      <c r="E2192" t="s">
        <v>3608</v>
      </c>
    </row>
    <row r="2193" spans="1:5" x14ac:dyDescent="0.25">
      <c r="A2193" t="s">
        <v>3580</v>
      </c>
      <c r="B2193" t="s">
        <v>3610</v>
      </c>
      <c r="C2193" t="s">
        <v>2930</v>
      </c>
      <c r="D2193" t="s">
        <v>3607</v>
      </c>
      <c r="E2193" t="s">
        <v>3608</v>
      </c>
    </row>
    <row r="2194" spans="1:5" x14ac:dyDescent="0.25">
      <c r="A2194" t="s">
        <v>3581</v>
      </c>
      <c r="B2194" t="s">
        <v>3601</v>
      </c>
      <c r="C2194" t="s">
        <v>2168</v>
      </c>
      <c r="D2194" t="s">
        <v>3606</v>
      </c>
      <c r="E2194" t="s">
        <v>3603</v>
      </c>
    </row>
    <row r="2195" spans="1:5" x14ac:dyDescent="0.25">
      <c r="A2195" t="s">
        <v>3581</v>
      </c>
      <c r="B2195" t="s">
        <v>3601</v>
      </c>
      <c r="C2195" t="s">
        <v>2233</v>
      </c>
      <c r="D2195" t="s">
        <v>3603</v>
      </c>
      <c r="E2195" t="s">
        <v>3609</v>
      </c>
    </row>
    <row r="2196" spans="1:5" x14ac:dyDescent="0.25">
      <c r="A2196" t="s">
        <v>3581</v>
      </c>
      <c r="B2196" t="s">
        <v>3601</v>
      </c>
      <c r="C2196" t="s">
        <v>2537</v>
      </c>
      <c r="D2196" t="s">
        <v>3607</v>
      </c>
      <c r="E2196" t="s">
        <v>3608</v>
      </c>
    </row>
    <row r="2197" spans="1:5" x14ac:dyDescent="0.25">
      <c r="A2197" t="s">
        <v>3581</v>
      </c>
      <c r="B2197" t="s">
        <v>3601</v>
      </c>
      <c r="C2197" t="s">
        <v>1216</v>
      </c>
      <c r="D2197" t="s">
        <v>3607</v>
      </c>
      <c r="E2197" t="s">
        <v>3608</v>
      </c>
    </row>
    <row r="2198" spans="1:5" x14ac:dyDescent="0.25">
      <c r="A2198" t="s">
        <v>3581</v>
      </c>
      <c r="B2198" t="s">
        <v>3601</v>
      </c>
      <c r="C2198" t="s">
        <v>826</v>
      </c>
      <c r="D2198" t="s">
        <v>3607</v>
      </c>
      <c r="E2198" t="s">
        <v>3608</v>
      </c>
    </row>
    <row r="2199" spans="1:5" x14ac:dyDescent="0.25">
      <c r="A2199" t="s">
        <v>3581</v>
      </c>
      <c r="B2199" t="s">
        <v>3601</v>
      </c>
      <c r="C2199" t="s">
        <v>1791</v>
      </c>
      <c r="D2199" t="s">
        <v>3606</v>
      </c>
      <c r="E2199" t="s">
        <v>3609</v>
      </c>
    </row>
    <row r="2200" spans="1:5" x14ac:dyDescent="0.25">
      <c r="A2200" t="s">
        <v>3581</v>
      </c>
      <c r="B2200" t="s">
        <v>3601</v>
      </c>
      <c r="C2200" t="s">
        <v>456</v>
      </c>
      <c r="D2200" t="s">
        <v>3607</v>
      </c>
      <c r="E2200" t="s">
        <v>3608</v>
      </c>
    </row>
    <row r="2201" spans="1:5" x14ac:dyDescent="0.25">
      <c r="A2201" t="s">
        <v>3581</v>
      </c>
      <c r="B2201" t="s">
        <v>3601</v>
      </c>
      <c r="C2201" t="s">
        <v>1524</v>
      </c>
      <c r="D2201" t="s">
        <v>3607</v>
      </c>
      <c r="E2201" t="s">
        <v>3608</v>
      </c>
    </row>
    <row r="2202" spans="1:5" x14ac:dyDescent="0.25">
      <c r="A2202" t="s">
        <v>3581</v>
      </c>
      <c r="B2202" t="s">
        <v>3601</v>
      </c>
      <c r="C2202" t="s">
        <v>705</v>
      </c>
      <c r="D2202" t="s">
        <v>3607</v>
      </c>
      <c r="E2202" t="s">
        <v>3608</v>
      </c>
    </row>
    <row r="2203" spans="1:5" x14ac:dyDescent="0.25">
      <c r="A2203" t="s">
        <v>3581</v>
      </c>
      <c r="B2203" t="s">
        <v>3601</v>
      </c>
      <c r="C2203" t="s">
        <v>1121</v>
      </c>
      <c r="D2203" t="s">
        <v>3603</v>
      </c>
      <c r="E2203" t="s">
        <v>3604</v>
      </c>
    </row>
    <row r="2204" spans="1:5" x14ac:dyDescent="0.25">
      <c r="A2204" t="s">
        <v>3581</v>
      </c>
      <c r="B2204" t="s">
        <v>3601</v>
      </c>
      <c r="C2204" t="s">
        <v>2105</v>
      </c>
      <c r="D2204" t="s">
        <v>3606</v>
      </c>
      <c r="E2204" t="s">
        <v>3604</v>
      </c>
    </row>
    <row r="2205" spans="1:5" x14ac:dyDescent="0.25">
      <c r="A2205" t="s">
        <v>3581</v>
      </c>
      <c r="B2205" t="s">
        <v>3601</v>
      </c>
      <c r="C2205" t="s">
        <v>1199</v>
      </c>
      <c r="D2205" t="s">
        <v>3606</v>
      </c>
      <c r="E2205" t="s">
        <v>3609</v>
      </c>
    </row>
    <row r="2206" spans="1:5" x14ac:dyDescent="0.25">
      <c r="A2206" t="s">
        <v>3581</v>
      </c>
      <c r="B2206" t="s">
        <v>3601</v>
      </c>
      <c r="C2206" t="s">
        <v>877</v>
      </c>
      <c r="D2206" t="s">
        <v>3606</v>
      </c>
      <c r="E2206" t="s">
        <v>3604</v>
      </c>
    </row>
    <row r="2207" spans="1:5" x14ac:dyDescent="0.25">
      <c r="A2207" t="s">
        <v>3581</v>
      </c>
      <c r="B2207" t="s">
        <v>3601</v>
      </c>
      <c r="C2207" t="s">
        <v>415</v>
      </c>
      <c r="D2207" t="s">
        <v>3606</v>
      </c>
      <c r="E2207" t="s">
        <v>3605</v>
      </c>
    </row>
    <row r="2208" spans="1:5" x14ac:dyDescent="0.25">
      <c r="A2208" t="s">
        <v>3581</v>
      </c>
      <c r="B2208" t="s">
        <v>3601</v>
      </c>
      <c r="C2208" t="s">
        <v>1253</v>
      </c>
      <c r="D2208" t="s">
        <v>3607</v>
      </c>
      <c r="E2208" t="s">
        <v>3608</v>
      </c>
    </row>
    <row r="2209" spans="1:5" x14ac:dyDescent="0.25">
      <c r="A2209" t="s">
        <v>3581</v>
      </c>
      <c r="B2209" t="s">
        <v>3601</v>
      </c>
      <c r="C2209" t="s">
        <v>312</v>
      </c>
      <c r="D2209" t="s">
        <v>3603</v>
      </c>
      <c r="E2209" t="s">
        <v>3609</v>
      </c>
    </row>
    <row r="2210" spans="1:5" x14ac:dyDescent="0.25">
      <c r="A2210" t="s">
        <v>3581</v>
      </c>
      <c r="B2210" t="s">
        <v>3601</v>
      </c>
      <c r="C2210" t="s">
        <v>1418</v>
      </c>
      <c r="D2210" t="s">
        <v>3606</v>
      </c>
      <c r="E2210" t="s">
        <v>3604</v>
      </c>
    </row>
    <row r="2211" spans="1:5" x14ac:dyDescent="0.25">
      <c r="A2211" t="s">
        <v>3581</v>
      </c>
      <c r="B2211" t="s">
        <v>3601</v>
      </c>
      <c r="C2211" t="s">
        <v>1399</v>
      </c>
      <c r="D2211" t="s">
        <v>3602</v>
      </c>
      <c r="E2211" t="s">
        <v>3604</v>
      </c>
    </row>
    <row r="2212" spans="1:5" x14ac:dyDescent="0.25">
      <c r="A2212" t="s">
        <v>3581</v>
      </c>
      <c r="B2212" t="s">
        <v>3601</v>
      </c>
      <c r="C2212" t="s">
        <v>2371</v>
      </c>
      <c r="D2212" t="s">
        <v>3603</v>
      </c>
      <c r="E2212" t="s">
        <v>3603</v>
      </c>
    </row>
    <row r="2213" spans="1:5" x14ac:dyDescent="0.25">
      <c r="A2213" t="s">
        <v>3581</v>
      </c>
      <c r="B2213" t="s">
        <v>3601</v>
      </c>
      <c r="C2213" t="s">
        <v>235</v>
      </c>
      <c r="D2213" t="s">
        <v>3606</v>
      </c>
      <c r="E2213" t="s">
        <v>3609</v>
      </c>
    </row>
    <row r="2214" spans="1:5" x14ac:dyDescent="0.25">
      <c r="A2214" t="s">
        <v>3581</v>
      </c>
      <c r="B2214" t="s">
        <v>3601</v>
      </c>
      <c r="C2214" t="s">
        <v>1311</v>
      </c>
      <c r="D2214" t="s">
        <v>3603</v>
      </c>
      <c r="E2214" t="s">
        <v>3605</v>
      </c>
    </row>
    <row r="2215" spans="1:5" x14ac:dyDescent="0.25">
      <c r="A2215" t="s">
        <v>3581</v>
      </c>
      <c r="B2215" t="s">
        <v>3601</v>
      </c>
      <c r="C2215" t="s">
        <v>2773</v>
      </c>
      <c r="D2215" t="s">
        <v>3606</v>
      </c>
      <c r="E2215" t="s">
        <v>3604</v>
      </c>
    </row>
    <row r="2216" spans="1:5" x14ac:dyDescent="0.25">
      <c r="A2216" t="s">
        <v>3581</v>
      </c>
      <c r="B2216" t="s">
        <v>3601</v>
      </c>
      <c r="C2216" t="s">
        <v>1440</v>
      </c>
      <c r="D2216" t="s">
        <v>3607</v>
      </c>
      <c r="E2216" t="s">
        <v>3608</v>
      </c>
    </row>
    <row r="2217" spans="1:5" x14ac:dyDescent="0.25">
      <c r="A2217" t="s">
        <v>3581</v>
      </c>
      <c r="B2217" t="s">
        <v>3601</v>
      </c>
      <c r="C2217" t="s">
        <v>1513</v>
      </c>
      <c r="D2217" t="s">
        <v>3607</v>
      </c>
      <c r="E2217" t="s">
        <v>3608</v>
      </c>
    </row>
    <row r="2218" spans="1:5" x14ac:dyDescent="0.25">
      <c r="A2218" t="s">
        <v>3581</v>
      </c>
      <c r="B2218" t="s">
        <v>3601</v>
      </c>
      <c r="C2218" t="s">
        <v>1072</v>
      </c>
      <c r="D2218" t="s">
        <v>3607</v>
      </c>
      <c r="E2218" t="s">
        <v>3608</v>
      </c>
    </row>
    <row r="2219" spans="1:5" x14ac:dyDescent="0.25">
      <c r="A2219" t="s">
        <v>3581</v>
      </c>
      <c r="B2219" t="s">
        <v>3601</v>
      </c>
      <c r="C2219" t="s">
        <v>2163</v>
      </c>
      <c r="D2219" t="s">
        <v>3606</v>
      </c>
      <c r="E2219" t="s">
        <v>3603</v>
      </c>
    </row>
    <row r="2220" spans="1:5" x14ac:dyDescent="0.25">
      <c r="A2220" t="s">
        <v>3581</v>
      </c>
      <c r="B2220" t="s">
        <v>3601</v>
      </c>
      <c r="C2220" t="s">
        <v>2501</v>
      </c>
      <c r="D2220" t="s">
        <v>3603</v>
      </c>
      <c r="E2220" t="s">
        <v>3603</v>
      </c>
    </row>
    <row r="2221" spans="1:5" x14ac:dyDescent="0.25">
      <c r="A2221" t="s">
        <v>3581</v>
      </c>
      <c r="B2221" t="s">
        <v>3601</v>
      </c>
      <c r="C2221" t="s">
        <v>803</v>
      </c>
      <c r="D2221" t="s">
        <v>3603</v>
      </c>
      <c r="E2221" t="s">
        <v>3605</v>
      </c>
    </row>
    <row r="2222" spans="1:5" x14ac:dyDescent="0.25">
      <c r="A2222" t="s">
        <v>3581</v>
      </c>
      <c r="B2222" t="s">
        <v>3601</v>
      </c>
      <c r="C2222" t="s">
        <v>2592</v>
      </c>
      <c r="D2222" t="s">
        <v>3607</v>
      </c>
      <c r="E2222" t="s">
        <v>3608</v>
      </c>
    </row>
    <row r="2223" spans="1:5" x14ac:dyDescent="0.25">
      <c r="A2223" t="s">
        <v>3581</v>
      </c>
      <c r="B2223" t="s">
        <v>3601</v>
      </c>
      <c r="C2223" t="s">
        <v>1606</v>
      </c>
      <c r="D2223" t="s">
        <v>3606</v>
      </c>
      <c r="E2223" t="s">
        <v>3603</v>
      </c>
    </row>
    <row r="2224" spans="1:5" x14ac:dyDescent="0.25">
      <c r="A2224" t="s">
        <v>3581</v>
      </c>
      <c r="B2224" t="s">
        <v>3601</v>
      </c>
      <c r="C2224" t="s">
        <v>1090</v>
      </c>
      <c r="D2224" t="s">
        <v>3603</v>
      </c>
      <c r="E2224" t="s">
        <v>3603</v>
      </c>
    </row>
    <row r="2225" spans="1:5" x14ac:dyDescent="0.25">
      <c r="A2225" t="s">
        <v>3581</v>
      </c>
      <c r="B2225" t="s">
        <v>3601</v>
      </c>
      <c r="C2225" t="s">
        <v>2091</v>
      </c>
      <c r="D2225" t="s">
        <v>3607</v>
      </c>
      <c r="E2225" t="s">
        <v>3608</v>
      </c>
    </row>
    <row r="2226" spans="1:5" x14ac:dyDescent="0.25">
      <c r="A2226" t="s">
        <v>3581</v>
      </c>
      <c r="B2226" t="s">
        <v>3601</v>
      </c>
      <c r="C2226" t="s">
        <v>250</v>
      </c>
      <c r="D2226" t="s">
        <v>3602</v>
      </c>
      <c r="E2226" t="s">
        <v>3603</v>
      </c>
    </row>
    <row r="2227" spans="1:5" x14ac:dyDescent="0.25">
      <c r="A2227" t="s">
        <v>3581</v>
      </c>
      <c r="B2227" t="s">
        <v>3601</v>
      </c>
      <c r="C2227" t="s">
        <v>2325</v>
      </c>
      <c r="D2227" t="s">
        <v>3603</v>
      </c>
      <c r="E2227" t="s">
        <v>3605</v>
      </c>
    </row>
    <row r="2228" spans="1:5" x14ac:dyDescent="0.25">
      <c r="A2228" t="s">
        <v>3581</v>
      </c>
      <c r="B2228" t="s">
        <v>3601</v>
      </c>
      <c r="C2228" t="s">
        <v>1377</v>
      </c>
      <c r="D2228" t="s">
        <v>3603</v>
      </c>
      <c r="E2228" t="s">
        <v>3603</v>
      </c>
    </row>
    <row r="2229" spans="1:5" x14ac:dyDescent="0.25">
      <c r="A2229" t="s">
        <v>3581</v>
      </c>
      <c r="B2229" t="s">
        <v>3601</v>
      </c>
      <c r="C2229" t="s">
        <v>2547</v>
      </c>
      <c r="D2229" t="s">
        <v>3602</v>
      </c>
      <c r="E2229" t="s">
        <v>3605</v>
      </c>
    </row>
    <row r="2230" spans="1:5" x14ac:dyDescent="0.25">
      <c r="A2230" t="s">
        <v>3581</v>
      </c>
      <c r="B2230" t="s">
        <v>3601</v>
      </c>
      <c r="C2230" t="s">
        <v>1232</v>
      </c>
      <c r="D2230" t="s">
        <v>3602</v>
      </c>
      <c r="E2230" t="s">
        <v>3609</v>
      </c>
    </row>
    <row r="2231" spans="1:5" x14ac:dyDescent="0.25">
      <c r="A2231" t="s">
        <v>3581</v>
      </c>
      <c r="B2231" t="s">
        <v>3601</v>
      </c>
      <c r="C2231" t="s">
        <v>2340</v>
      </c>
      <c r="D2231" t="s">
        <v>3606</v>
      </c>
      <c r="E2231" t="s">
        <v>3609</v>
      </c>
    </row>
    <row r="2232" spans="1:5" x14ac:dyDescent="0.25">
      <c r="A2232" t="s">
        <v>3581</v>
      </c>
      <c r="B2232" t="s">
        <v>3601</v>
      </c>
      <c r="C2232" t="s">
        <v>2385</v>
      </c>
      <c r="D2232" t="s">
        <v>3606</v>
      </c>
      <c r="E2232" t="s">
        <v>3609</v>
      </c>
    </row>
    <row r="2233" spans="1:5" x14ac:dyDescent="0.25">
      <c r="A2233" t="s">
        <v>3581</v>
      </c>
      <c r="B2233" t="s">
        <v>3601</v>
      </c>
      <c r="C2233" t="s">
        <v>496</v>
      </c>
      <c r="D2233" t="s">
        <v>3602</v>
      </c>
      <c r="E2233" t="s">
        <v>3609</v>
      </c>
    </row>
    <row r="2234" spans="1:5" x14ac:dyDescent="0.25">
      <c r="A2234" t="s">
        <v>3581</v>
      </c>
      <c r="B2234" t="s">
        <v>3610</v>
      </c>
      <c r="C2234" t="s">
        <v>2965</v>
      </c>
      <c r="D2234" t="s">
        <v>3611</v>
      </c>
      <c r="E2234" t="s">
        <v>3608</v>
      </c>
    </row>
    <row r="2235" spans="1:5" x14ac:dyDescent="0.25">
      <c r="A2235" t="s">
        <v>3581</v>
      </c>
      <c r="B2235" t="s">
        <v>3610</v>
      </c>
      <c r="C2235" t="s">
        <v>2900</v>
      </c>
      <c r="D2235" t="s">
        <v>3612</v>
      </c>
      <c r="E2235" t="s">
        <v>3608</v>
      </c>
    </row>
    <row r="2236" spans="1:5" x14ac:dyDescent="0.25">
      <c r="A2236" t="s">
        <v>3583</v>
      </c>
      <c r="B2236" t="s">
        <v>3601</v>
      </c>
      <c r="C2236" t="s">
        <v>124</v>
      </c>
      <c r="D2236" t="s">
        <v>3603</v>
      </c>
      <c r="E2236" t="s">
        <v>3609</v>
      </c>
    </row>
    <row r="2237" spans="1:5" x14ac:dyDescent="0.25">
      <c r="A2237" t="s">
        <v>3583</v>
      </c>
      <c r="B2237" t="s">
        <v>3601</v>
      </c>
      <c r="C2237" t="s">
        <v>2608</v>
      </c>
      <c r="D2237" t="s">
        <v>3602</v>
      </c>
      <c r="E2237" t="s">
        <v>3605</v>
      </c>
    </row>
    <row r="2238" spans="1:5" x14ac:dyDescent="0.25">
      <c r="A2238" t="s">
        <v>3583</v>
      </c>
      <c r="B2238" t="s">
        <v>3601</v>
      </c>
      <c r="C2238" t="s">
        <v>2699</v>
      </c>
      <c r="D2238" t="s">
        <v>3603</v>
      </c>
      <c r="E2238" t="s">
        <v>3604</v>
      </c>
    </row>
    <row r="2239" spans="1:5" x14ac:dyDescent="0.25">
      <c r="A2239" t="s">
        <v>3583</v>
      </c>
      <c r="B2239" t="s">
        <v>3601</v>
      </c>
      <c r="C2239" t="s">
        <v>1478</v>
      </c>
      <c r="D2239" t="s">
        <v>3606</v>
      </c>
      <c r="E2239" t="s">
        <v>3603</v>
      </c>
    </row>
    <row r="2240" spans="1:5" x14ac:dyDescent="0.25">
      <c r="A2240" t="s">
        <v>3583</v>
      </c>
      <c r="B2240" t="s">
        <v>3601</v>
      </c>
      <c r="C2240" t="s">
        <v>1492</v>
      </c>
      <c r="D2240" t="s">
        <v>3606</v>
      </c>
      <c r="E2240" t="s">
        <v>3603</v>
      </c>
    </row>
    <row r="2241" spans="1:5" x14ac:dyDescent="0.25">
      <c r="A2241" t="s">
        <v>3583</v>
      </c>
      <c r="B2241" t="s">
        <v>3601</v>
      </c>
      <c r="C2241" t="s">
        <v>1110</v>
      </c>
      <c r="D2241" t="s">
        <v>3607</v>
      </c>
      <c r="E2241" t="s">
        <v>3608</v>
      </c>
    </row>
    <row r="2242" spans="1:5" x14ac:dyDescent="0.25">
      <c r="A2242" t="s">
        <v>3583</v>
      </c>
      <c r="B2242" t="s">
        <v>3601</v>
      </c>
      <c r="C2242" t="s">
        <v>65</v>
      </c>
      <c r="D2242" t="s">
        <v>3606</v>
      </c>
      <c r="E2242" t="s">
        <v>3604</v>
      </c>
    </row>
    <row r="2243" spans="1:5" x14ac:dyDescent="0.25">
      <c r="A2243" t="s">
        <v>3583</v>
      </c>
      <c r="B2243" t="s">
        <v>3601</v>
      </c>
      <c r="C2243" t="s">
        <v>563</v>
      </c>
      <c r="D2243" t="s">
        <v>3603</v>
      </c>
      <c r="E2243" t="s">
        <v>3609</v>
      </c>
    </row>
    <row r="2244" spans="1:5" x14ac:dyDescent="0.25">
      <c r="A2244" t="s">
        <v>3583</v>
      </c>
      <c r="B2244" t="s">
        <v>3601</v>
      </c>
      <c r="C2244" t="s">
        <v>1145</v>
      </c>
      <c r="D2244" t="s">
        <v>3606</v>
      </c>
      <c r="E2244" t="s">
        <v>3604</v>
      </c>
    </row>
    <row r="2245" spans="1:5" x14ac:dyDescent="0.25">
      <c r="A2245" t="s">
        <v>3583</v>
      </c>
      <c r="B2245" t="s">
        <v>3601</v>
      </c>
      <c r="C2245" t="s">
        <v>2371</v>
      </c>
      <c r="D2245" t="s">
        <v>3607</v>
      </c>
      <c r="E2245" t="s">
        <v>3608</v>
      </c>
    </row>
    <row r="2246" spans="1:5" x14ac:dyDescent="0.25">
      <c r="A2246" t="s">
        <v>3583</v>
      </c>
      <c r="B2246" t="s">
        <v>3601</v>
      </c>
      <c r="C2246" t="s">
        <v>629</v>
      </c>
      <c r="D2246" t="s">
        <v>3606</v>
      </c>
      <c r="E2246" t="s">
        <v>3609</v>
      </c>
    </row>
    <row r="2247" spans="1:5" x14ac:dyDescent="0.25">
      <c r="A2247" t="s">
        <v>3583</v>
      </c>
      <c r="B2247" t="s">
        <v>3601</v>
      </c>
      <c r="C2247" t="s">
        <v>1880</v>
      </c>
      <c r="D2247" t="s">
        <v>3607</v>
      </c>
      <c r="E2247" t="s">
        <v>3608</v>
      </c>
    </row>
    <row r="2248" spans="1:5" x14ac:dyDescent="0.25">
      <c r="A2248" t="s">
        <v>3583</v>
      </c>
      <c r="B2248" t="s">
        <v>3601</v>
      </c>
      <c r="C2248" t="s">
        <v>2105</v>
      </c>
      <c r="D2248" t="s">
        <v>3603</v>
      </c>
      <c r="E2248" t="s">
        <v>3605</v>
      </c>
    </row>
    <row r="2249" spans="1:5" x14ac:dyDescent="0.25">
      <c r="A2249" t="s">
        <v>3583</v>
      </c>
      <c r="B2249" t="s">
        <v>3601</v>
      </c>
      <c r="C2249" t="s">
        <v>751</v>
      </c>
      <c r="D2249" t="s">
        <v>3606</v>
      </c>
      <c r="E2249" t="s">
        <v>3603</v>
      </c>
    </row>
    <row r="2250" spans="1:5" x14ac:dyDescent="0.25">
      <c r="A2250" t="s">
        <v>3583</v>
      </c>
      <c r="B2250" t="s">
        <v>3601</v>
      </c>
      <c r="C2250" t="s">
        <v>1672</v>
      </c>
      <c r="D2250" t="s">
        <v>3603</v>
      </c>
      <c r="E2250" t="s">
        <v>3605</v>
      </c>
    </row>
    <row r="2251" spans="1:5" x14ac:dyDescent="0.25">
      <c r="A2251" t="s">
        <v>3583</v>
      </c>
      <c r="B2251" t="s">
        <v>3601</v>
      </c>
      <c r="C2251" t="s">
        <v>2838</v>
      </c>
      <c r="D2251" t="s">
        <v>3607</v>
      </c>
      <c r="E2251" t="s">
        <v>3608</v>
      </c>
    </row>
    <row r="2252" spans="1:5" x14ac:dyDescent="0.25">
      <c r="A2252" t="s">
        <v>3583</v>
      </c>
      <c r="B2252" t="s">
        <v>3601</v>
      </c>
      <c r="C2252" t="s">
        <v>2350</v>
      </c>
      <c r="D2252" t="s">
        <v>3606</v>
      </c>
      <c r="E2252" t="s">
        <v>3609</v>
      </c>
    </row>
    <row r="2253" spans="1:5" x14ac:dyDescent="0.25">
      <c r="A2253" t="s">
        <v>3583</v>
      </c>
      <c r="B2253" t="s">
        <v>3601</v>
      </c>
      <c r="C2253" t="s">
        <v>1418</v>
      </c>
      <c r="D2253" t="s">
        <v>3607</v>
      </c>
      <c r="E2253" t="s">
        <v>3608</v>
      </c>
    </row>
    <row r="2254" spans="1:5" x14ac:dyDescent="0.25">
      <c r="A2254" t="s">
        <v>3583</v>
      </c>
      <c r="B2254" t="s">
        <v>3601</v>
      </c>
      <c r="C2254" t="s">
        <v>1635</v>
      </c>
      <c r="D2254" t="s">
        <v>3602</v>
      </c>
      <c r="E2254" t="s">
        <v>3605</v>
      </c>
    </row>
    <row r="2255" spans="1:5" x14ac:dyDescent="0.25">
      <c r="A2255" t="s">
        <v>3583</v>
      </c>
      <c r="B2255" t="s">
        <v>3601</v>
      </c>
      <c r="C2255" t="s">
        <v>2813</v>
      </c>
      <c r="D2255" t="s">
        <v>3603</v>
      </c>
      <c r="E2255" t="s">
        <v>3609</v>
      </c>
    </row>
    <row r="2256" spans="1:5" x14ac:dyDescent="0.25">
      <c r="A2256" t="s">
        <v>3583</v>
      </c>
      <c r="B2256" t="s">
        <v>3601</v>
      </c>
      <c r="C2256" t="s">
        <v>1752</v>
      </c>
      <c r="D2256" t="s">
        <v>3607</v>
      </c>
      <c r="E2256" t="s">
        <v>3608</v>
      </c>
    </row>
    <row r="2257" spans="1:5" x14ac:dyDescent="0.25">
      <c r="A2257" t="s">
        <v>3583</v>
      </c>
      <c r="B2257" t="s">
        <v>3601</v>
      </c>
      <c r="C2257" t="s">
        <v>2597</v>
      </c>
      <c r="D2257" t="s">
        <v>3602</v>
      </c>
      <c r="E2257" t="s">
        <v>3609</v>
      </c>
    </row>
    <row r="2258" spans="1:5" x14ac:dyDescent="0.25">
      <c r="A2258" t="s">
        <v>3583</v>
      </c>
      <c r="B2258" t="s">
        <v>3601</v>
      </c>
      <c r="C2258" t="s">
        <v>898</v>
      </c>
      <c r="D2258" t="s">
        <v>3603</v>
      </c>
      <c r="E2258" t="s">
        <v>3603</v>
      </c>
    </row>
    <row r="2259" spans="1:5" x14ac:dyDescent="0.25">
      <c r="A2259" t="s">
        <v>3583</v>
      </c>
      <c r="B2259" t="s">
        <v>3601</v>
      </c>
      <c r="C2259" t="s">
        <v>2390</v>
      </c>
      <c r="D2259" t="s">
        <v>3603</v>
      </c>
      <c r="E2259" t="s">
        <v>3605</v>
      </c>
    </row>
    <row r="2260" spans="1:5" x14ac:dyDescent="0.25">
      <c r="A2260" t="s">
        <v>3583</v>
      </c>
      <c r="B2260" t="s">
        <v>3601</v>
      </c>
      <c r="C2260" t="s">
        <v>2588</v>
      </c>
      <c r="D2260" t="s">
        <v>3606</v>
      </c>
      <c r="E2260" t="s">
        <v>3604</v>
      </c>
    </row>
    <row r="2261" spans="1:5" x14ac:dyDescent="0.25">
      <c r="A2261" t="s">
        <v>3583</v>
      </c>
      <c r="B2261" t="s">
        <v>3601</v>
      </c>
      <c r="C2261" t="s">
        <v>778</v>
      </c>
      <c r="D2261" t="s">
        <v>3606</v>
      </c>
      <c r="E2261" t="s">
        <v>3603</v>
      </c>
    </row>
    <row r="2262" spans="1:5" x14ac:dyDescent="0.25">
      <c r="A2262" t="s">
        <v>3583</v>
      </c>
      <c r="B2262" t="s">
        <v>3601</v>
      </c>
      <c r="C2262" t="s">
        <v>2449</v>
      </c>
      <c r="D2262" t="s">
        <v>3602</v>
      </c>
      <c r="E2262" t="s">
        <v>3603</v>
      </c>
    </row>
    <row r="2263" spans="1:5" x14ac:dyDescent="0.25">
      <c r="A2263" t="s">
        <v>3583</v>
      </c>
      <c r="B2263" t="s">
        <v>3601</v>
      </c>
      <c r="C2263" t="s">
        <v>2042</v>
      </c>
      <c r="D2263" t="s">
        <v>3603</v>
      </c>
      <c r="E2263" t="s">
        <v>3603</v>
      </c>
    </row>
    <row r="2264" spans="1:5" x14ac:dyDescent="0.25">
      <c r="A2264" t="s">
        <v>3583</v>
      </c>
      <c r="B2264" t="s">
        <v>3601</v>
      </c>
      <c r="C2264" t="s">
        <v>243</v>
      </c>
      <c r="D2264" t="s">
        <v>3606</v>
      </c>
      <c r="E2264" t="s">
        <v>3604</v>
      </c>
    </row>
    <row r="2265" spans="1:5" x14ac:dyDescent="0.25">
      <c r="A2265" t="s">
        <v>3583</v>
      </c>
      <c r="B2265" t="s">
        <v>3601</v>
      </c>
      <c r="C2265" t="s">
        <v>2602</v>
      </c>
      <c r="D2265" t="s">
        <v>3602</v>
      </c>
      <c r="E2265" t="s">
        <v>3603</v>
      </c>
    </row>
    <row r="2266" spans="1:5" x14ac:dyDescent="0.25">
      <c r="A2266" t="s">
        <v>3583</v>
      </c>
      <c r="B2266" t="s">
        <v>3601</v>
      </c>
      <c r="C2266" t="s">
        <v>1178</v>
      </c>
      <c r="D2266" t="s">
        <v>3603</v>
      </c>
      <c r="E2266" t="s">
        <v>3605</v>
      </c>
    </row>
    <row r="2267" spans="1:5" x14ac:dyDescent="0.25">
      <c r="A2267" t="s">
        <v>3583</v>
      </c>
      <c r="B2267" t="s">
        <v>3601</v>
      </c>
      <c r="C2267" t="s">
        <v>2798</v>
      </c>
      <c r="D2267" t="s">
        <v>3607</v>
      </c>
      <c r="E2267" t="s">
        <v>3608</v>
      </c>
    </row>
    <row r="2268" spans="1:5" x14ac:dyDescent="0.25">
      <c r="A2268" t="s">
        <v>3583</v>
      </c>
      <c r="B2268" t="s">
        <v>3610</v>
      </c>
      <c r="C2268" t="s">
        <v>2913</v>
      </c>
      <c r="D2268" t="s">
        <v>3612</v>
      </c>
      <c r="E2268" t="s">
        <v>3608</v>
      </c>
    </row>
    <row r="2269" spans="1:5" x14ac:dyDescent="0.25">
      <c r="A2269" t="s">
        <v>3583</v>
      </c>
      <c r="B2269" t="s">
        <v>3610</v>
      </c>
      <c r="C2269" t="s">
        <v>2975</v>
      </c>
      <c r="D2269" t="s">
        <v>3611</v>
      </c>
      <c r="E2269" t="s">
        <v>3608</v>
      </c>
    </row>
    <row r="2270" spans="1:5" x14ac:dyDescent="0.25">
      <c r="A2270" t="s">
        <v>3584</v>
      </c>
      <c r="B2270" t="s">
        <v>3601</v>
      </c>
      <c r="C2270" t="s">
        <v>1694</v>
      </c>
      <c r="D2270" t="s">
        <v>3607</v>
      </c>
      <c r="E2270" t="s">
        <v>3608</v>
      </c>
    </row>
    <row r="2271" spans="1:5" x14ac:dyDescent="0.25">
      <c r="A2271" t="s">
        <v>3584</v>
      </c>
      <c r="B2271" t="s">
        <v>3601</v>
      </c>
      <c r="C2271" t="s">
        <v>1007</v>
      </c>
      <c r="D2271" t="s">
        <v>3606</v>
      </c>
      <c r="E2271" t="s">
        <v>3609</v>
      </c>
    </row>
    <row r="2272" spans="1:5" x14ac:dyDescent="0.25">
      <c r="A2272" t="s">
        <v>3584</v>
      </c>
      <c r="B2272" t="s">
        <v>3601</v>
      </c>
      <c r="C2272" t="s">
        <v>363</v>
      </c>
      <c r="D2272" t="s">
        <v>3603</v>
      </c>
      <c r="E2272" t="s">
        <v>3609</v>
      </c>
    </row>
    <row r="2273" spans="1:5" x14ac:dyDescent="0.25">
      <c r="A2273" t="s">
        <v>3584</v>
      </c>
      <c r="B2273" t="s">
        <v>3601</v>
      </c>
      <c r="C2273" t="s">
        <v>1478</v>
      </c>
      <c r="D2273" t="s">
        <v>3606</v>
      </c>
      <c r="E2273" t="s">
        <v>3604</v>
      </c>
    </row>
    <row r="2274" spans="1:5" x14ac:dyDescent="0.25">
      <c r="A2274" t="s">
        <v>3584</v>
      </c>
      <c r="B2274" t="s">
        <v>3601</v>
      </c>
      <c r="C2274" t="s">
        <v>2501</v>
      </c>
      <c r="D2274" t="s">
        <v>3602</v>
      </c>
      <c r="E2274" t="s">
        <v>3604</v>
      </c>
    </row>
    <row r="2275" spans="1:5" x14ac:dyDescent="0.25">
      <c r="A2275" t="s">
        <v>3584</v>
      </c>
      <c r="B2275" t="s">
        <v>3601</v>
      </c>
      <c r="C2275" t="s">
        <v>2714</v>
      </c>
      <c r="D2275" t="s">
        <v>3602</v>
      </c>
      <c r="E2275" t="s">
        <v>3604</v>
      </c>
    </row>
    <row r="2276" spans="1:5" x14ac:dyDescent="0.25">
      <c r="A2276" t="s">
        <v>3584</v>
      </c>
      <c r="B2276" t="s">
        <v>3601</v>
      </c>
      <c r="C2276" t="s">
        <v>2042</v>
      </c>
      <c r="D2276" t="s">
        <v>3602</v>
      </c>
      <c r="E2276" t="s">
        <v>3603</v>
      </c>
    </row>
    <row r="2277" spans="1:5" x14ac:dyDescent="0.25">
      <c r="A2277" t="s">
        <v>3584</v>
      </c>
      <c r="B2277" t="s">
        <v>3601</v>
      </c>
      <c r="C2277" t="s">
        <v>86</v>
      </c>
      <c r="D2277" t="s">
        <v>3602</v>
      </c>
      <c r="E2277" t="s">
        <v>3609</v>
      </c>
    </row>
    <row r="2278" spans="1:5" x14ac:dyDescent="0.25">
      <c r="A2278" t="s">
        <v>3584</v>
      </c>
      <c r="B2278" t="s">
        <v>3601</v>
      </c>
      <c r="C2278" t="s">
        <v>893</v>
      </c>
      <c r="D2278" t="s">
        <v>3603</v>
      </c>
      <c r="E2278" t="s">
        <v>3605</v>
      </c>
    </row>
    <row r="2279" spans="1:5" x14ac:dyDescent="0.25">
      <c r="A2279" t="s">
        <v>3584</v>
      </c>
      <c r="B2279" t="s">
        <v>3601</v>
      </c>
      <c r="C2279" t="s">
        <v>2148</v>
      </c>
      <c r="D2279" t="s">
        <v>3602</v>
      </c>
      <c r="E2279" t="s">
        <v>3603</v>
      </c>
    </row>
    <row r="2280" spans="1:5" x14ac:dyDescent="0.25">
      <c r="A2280" t="s">
        <v>3584</v>
      </c>
      <c r="B2280" t="s">
        <v>3601</v>
      </c>
      <c r="C2280" t="s">
        <v>65</v>
      </c>
      <c r="D2280" t="s">
        <v>3607</v>
      </c>
      <c r="E2280" t="s">
        <v>3608</v>
      </c>
    </row>
    <row r="2281" spans="1:5" x14ac:dyDescent="0.25">
      <c r="A2281" t="s">
        <v>3584</v>
      </c>
      <c r="B2281" t="s">
        <v>3601</v>
      </c>
      <c r="C2281" t="s">
        <v>1227</v>
      </c>
      <c r="D2281" t="s">
        <v>3602</v>
      </c>
      <c r="E2281" t="s">
        <v>3609</v>
      </c>
    </row>
    <row r="2282" spans="1:5" x14ac:dyDescent="0.25">
      <c r="A2282" t="s">
        <v>3584</v>
      </c>
      <c r="B2282" t="s">
        <v>3601</v>
      </c>
      <c r="C2282" t="s">
        <v>1942</v>
      </c>
      <c r="D2282" t="s">
        <v>3602</v>
      </c>
      <c r="E2282" t="s">
        <v>3604</v>
      </c>
    </row>
    <row r="2283" spans="1:5" x14ac:dyDescent="0.25">
      <c r="A2283" t="s">
        <v>3584</v>
      </c>
      <c r="B2283" t="s">
        <v>3601</v>
      </c>
      <c r="C2283" t="s">
        <v>527</v>
      </c>
      <c r="D2283" t="s">
        <v>3602</v>
      </c>
      <c r="E2283" t="s">
        <v>3603</v>
      </c>
    </row>
    <row r="2284" spans="1:5" x14ac:dyDescent="0.25">
      <c r="A2284" t="s">
        <v>3584</v>
      </c>
      <c r="B2284" t="s">
        <v>3601</v>
      </c>
      <c r="C2284" t="s">
        <v>2272</v>
      </c>
      <c r="D2284" t="s">
        <v>3602</v>
      </c>
      <c r="E2284" t="s">
        <v>3604</v>
      </c>
    </row>
    <row r="2285" spans="1:5" x14ac:dyDescent="0.25">
      <c r="A2285" t="s">
        <v>3584</v>
      </c>
      <c r="B2285" t="s">
        <v>3601</v>
      </c>
      <c r="C2285" t="s">
        <v>377</v>
      </c>
      <c r="D2285" t="s">
        <v>3606</v>
      </c>
      <c r="E2285" t="s">
        <v>3603</v>
      </c>
    </row>
    <row r="2286" spans="1:5" x14ac:dyDescent="0.25">
      <c r="A2286" t="s">
        <v>3584</v>
      </c>
      <c r="B2286" t="s">
        <v>3601</v>
      </c>
      <c r="C2286" t="s">
        <v>2286</v>
      </c>
      <c r="D2286" t="s">
        <v>3606</v>
      </c>
      <c r="E2286" t="s">
        <v>3609</v>
      </c>
    </row>
    <row r="2287" spans="1:5" x14ac:dyDescent="0.25">
      <c r="A2287" t="s">
        <v>3584</v>
      </c>
      <c r="B2287" t="s">
        <v>3601</v>
      </c>
      <c r="C2287" t="s">
        <v>503</v>
      </c>
      <c r="D2287" t="s">
        <v>3603</v>
      </c>
      <c r="E2287" t="s">
        <v>3603</v>
      </c>
    </row>
    <row r="2288" spans="1:5" x14ac:dyDescent="0.25">
      <c r="A2288" t="s">
        <v>3584</v>
      </c>
      <c r="B2288" t="s">
        <v>3601</v>
      </c>
      <c r="C2288" t="s">
        <v>2254</v>
      </c>
      <c r="D2288" t="s">
        <v>3603</v>
      </c>
      <c r="E2288" t="s">
        <v>3603</v>
      </c>
    </row>
    <row r="2289" spans="1:5" x14ac:dyDescent="0.25">
      <c r="A2289" t="s">
        <v>3584</v>
      </c>
      <c r="B2289" t="s">
        <v>3601</v>
      </c>
      <c r="C2289" t="s">
        <v>1002</v>
      </c>
      <c r="D2289" t="s">
        <v>3602</v>
      </c>
      <c r="E2289" t="s">
        <v>3603</v>
      </c>
    </row>
    <row r="2290" spans="1:5" x14ac:dyDescent="0.25">
      <c r="A2290" t="s">
        <v>3584</v>
      </c>
      <c r="B2290" t="s">
        <v>3601</v>
      </c>
      <c r="C2290" t="s">
        <v>643</v>
      </c>
      <c r="D2290" t="s">
        <v>3606</v>
      </c>
      <c r="E2290" t="s">
        <v>3604</v>
      </c>
    </row>
    <row r="2291" spans="1:5" x14ac:dyDescent="0.25">
      <c r="A2291" t="s">
        <v>3584</v>
      </c>
      <c r="B2291" t="s">
        <v>3601</v>
      </c>
      <c r="C2291" t="s">
        <v>2267</v>
      </c>
      <c r="D2291" t="s">
        <v>3606</v>
      </c>
      <c r="E2291" t="s">
        <v>3603</v>
      </c>
    </row>
    <row r="2292" spans="1:5" x14ac:dyDescent="0.25">
      <c r="A2292" t="s">
        <v>3584</v>
      </c>
      <c r="B2292" t="s">
        <v>3601</v>
      </c>
      <c r="C2292" t="s">
        <v>2371</v>
      </c>
      <c r="D2292" t="s">
        <v>3606</v>
      </c>
      <c r="E2292" t="s">
        <v>3604</v>
      </c>
    </row>
    <row r="2293" spans="1:5" x14ac:dyDescent="0.25">
      <c r="A2293" t="s">
        <v>3584</v>
      </c>
      <c r="B2293" t="s">
        <v>3601</v>
      </c>
      <c r="C2293" t="s">
        <v>2788</v>
      </c>
      <c r="D2293" t="s">
        <v>3607</v>
      </c>
      <c r="E2293" t="s">
        <v>3608</v>
      </c>
    </row>
    <row r="2294" spans="1:5" x14ac:dyDescent="0.25">
      <c r="A2294" t="s">
        <v>3584</v>
      </c>
      <c r="B2294" t="s">
        <v>3601</v>
      </c>
      <c r="C2294" t="s">
        <v>1700</v>
      </c>
      <c r="D2294" t="s">
        <v>3607</v>
      </c>
      <c r="E2294" t="s">
        <v>3608</v>
      </c>
    </row>
    <row r="2295" spans="1:5" x14ac:dyDescent="0.25">
      <c r="A2295" t="s">
        <v>3584</v>
      </c>
      <c r="B2295" t="s">
        <v>3601</v>
      </c>
      <c r="C2295" t="s">
        <v>1524</v>
      </c>
      <c r="D2295" t="s">
        <v>3602</v>
      </c>
      <c r="E2295" t="s">
        <v>3605</v>
      </c>
    </row>
    <row r="2296" spans="1:5" x14ac:dyDescent="0.25">
      <c r="A2296" t="s">
        <v>3584</v>
      </c>
      <c r="B2296" t="s">
        <v>3601</v>
      </c>
      <c r="C2296" t="s">
        <v>2828</v>
      </c>
      <c r="D2296" t="s">
        <v>3607</v>
      </c>
      <c r="E2296" t="s">
        <v>3608</v>
      </c>
    </row>
    <row r="2297" spans="1:5" x14ac:dyDescent="0.25">
      <c r="A2297" t="s">
        <v>3584</v>
      </c>
      <c r="B2297" t="s">
        <v>3601</v>
      </c>
      <c r="C2297" t="s">
        <v>1672</v>
      </c>
      <c r="D2297" t="s">
        <v>3602</v>
      </c>
      <c r="E2297" t="s">
        <v>3609</v>
      </c>
    </row>
    <row r="2298" spans="1:5" x14ac:dyDescent="0.25">
      <c r="A2298" t="s">
        <v>3584</v>
      </c>
      <c r="B2298" t="s">
        <v>3601</v>
      </c>
      <c r="C2298" t="s">
        <v>1846</v>
      </c>
      <c r="D2298" t="s">
        <v>3602</v>
      </c>
      <c r="E2298" t="s">
        <v>3609</v>
      </c>
    </row>
    <row r="2299" spans="1:5" x14ac:dyDescent="0.25">
      <c r="A2299" t="s">
        <v>3584</v>
      </c>
      <c r="B2299" t="s">
        <v>3601</v>
      </c>
      <c r="C2299" t="s">
        <v>1347</v>
      </c>
      <c r="D2299" t="s">
        <v>3602</v>
      </c>
      <c r="E2299" t="s">
        <v>3609</v>
      </c>
    </row>
    <row r="2300" spans="1:5" x14ac:dyDescent="0.25">
      <c r="A2300" t="s">
        <v>3584</v>
      </c>
      <c r="B2300" t="s">
        <v>3601</v>
      </c>
      <c r="C2300" t="s">
        <v>1271</v>
      </c>
      <c r="D2300" t="s">
        <v>3602</v>
      </c>
      <c r="E2300" t="s">
        <v>3605</v>
      </c>
    </row>
    <row r="2301" spans="1:5" x14ac:dyDescent="0.25">
      <c r="A2301" t="s">
        <v>3584</v>
      </c>
      <c r="B2301" t="s">
        <v>3601</v>
      </c>
      <c r="C2301" t="s">
        <v>1404</v>
      </c>
      <c r="D2301" t="s">
        <v>3603</v>
      </c>
      <c r="E2301" t="s">
        <v>3603</v>
      </c>
    </row>
    <row r="2302" spans="1:5" x14ac:dyDescent="0.25">
      <c r="A2302" t="s">
        <v>3584</v>
      </c>
      <c r="B2302" t="s">
        <v>3601</v>
      </c>
      <c r="C2302" t="s">
        <v>2738</v>
      </c>
      <c r="D2302" t="s">
        <v>3602</v>
      </c>
      <c r="E2302" t="s">
        <v>3604</v>
      </c>
    </row>
    <row r="2303" spans="1:5" x14ac:dyDescent="0.25">
      <c r="A2303" t="s">
        <v>3584</v>
      </c>
      <c r="B2303" t="s">
        <v>3601</v>
      </c>
      <c r="C2303" t="s">
        <v>2127</v>
      </c>
      <c r="D2303" t="s">
        <v>3603</v>
      </c>
      <c r="E2303" t="s">
        <v>3603</v>
      </c>
    </row>
    <row r="2304" spans="1:5" x14ac:dyDescent="0.25">
      <c r="A2304" t="s">
        <v>3584</v>
      </c>
      <c r="B2304" t="s">
        <v>3601</v>
      </c>
      <c r="C2304" t="s">
        <v>1719</v>
      </c>
      <c r="D2304" t="s">
        <v>3602</v>
      </c>
      <c r="E2304" t="s">
        <v>3609</v>
      </c>
    </row>
    <row r="2305" spans="1:5" x14ac:dyDescent="0.25">
      <c r="A2305" t="s">
        <v>3584</v>
      </c>
      <c r="B2305" t="s">
        <v>3601</v>
      </c>
      <c r="C2305" t="s">
        <v>852</v>
      </c>
      <c r="D2305" t="s">
        <v>3602</v>
      </c>
      <c r="E2305" t="s">
        <v>3605</v>
      </c>
    </row>
    <row r="2306" spans="1:5" x14ac:dyDescent="0.25">
      <c r="A2306" t="s">
        <v>3584</v>
      </c>
      <c r="B2306" t="s">
        <v>3601</v>
      </c>
      <c r="C2306" t="s">
        <v>2330</v>
      </c>
      <c r="D2306" t="s">
        <v>3606</v>
      </c>
      <c r="E2306" t="s">
        <v>3603</v>
      </c>
    </row>
    <row r="2307" spans="1:5" x14ac:dyDescent="0.25">
      <c r="A2307" t="s">
        <v>3584</v>
      </c>
      <c r="B2307" t="s">
        <v>3601</v>
      </c>
      <c r="C2307" t="s">
        <v>1077</v>
      </c>
      <c r="D2307" t="s">
        <v>3607</v>
      </c>
      <c r="E2307" t="s">
        <v>3608</v>
      </c>
    </row>
    <row r="2308" spans="1:5" x14ac:dyDescent="0.25">
      <c r="A2308" t="s">
        <v>3584</v>
      </c>
      <c r="B2308" t="s">
        <v>3601</v>
      </c>
      <c r="C2308" t="s">
        <v>2758</v>
      </c>
      <c r="D2308" t="s">
        <v>3606</v>
      </c>
      <c r="E2308" t="s">
        <v>3604</v>
      </c>
    </row>
    <row r="2309" spans="1:5" x14ac:dyDescent="0.25">
      <c r="A2309" t="s">
        <v>3584</v>
      </c>
      <c r="B2309" t="s">
        <v>3601</v>
      </c>
      <c r="C2309" t="s">
        <v>1498</v>
      </c>
      <c r="D2309" t="s">
        <v>3603</v>
      </c>
      <c r="E2309" t="s">
        <v>3603</v>
      </c>
    </row>
    <row r="2310" spans="1:5" x14ac:dyDescent="0.25">
      <c r="A2310" t="s">
        <v>3584</v>
      </c>
      <c r="B2310" t="s">
        <v>3601</v>
      </c>
      <c r="C2310" t="s">
        <v>1805</v>
      </c>
      <c r="D2310" t="s">
        <v>3606</v>
      </c>
      <c r="E2310" t="s">
        <v>3603</v>
      </c>
    </row>
    <row r="2311" spans="1:5" x14ac:dyDescent="0.25">
      <c r="A2311" t="s">
        <v>3584</v>
      </c>
      <c r="B2311" t="s">
        <v>3601</v>
      </c>
      <c r="C2311" t="s">
        <v>2376</v>
      </c>
      <c r="D2311" t="s">
        <v>3607</v>
      </c>
      <c r="E2311" t="s">
        <v>3608</v>
      </c>
    </row>
    <row r="2312" spans="1:5" x14ac:dyDescent="0.25">
      <c r="A2312" t="s">
        <v>3584</v>
      </c>
      <c r="B2312" t="s">
        <v>3601</v>
      </c>
      <c r="C2312" t="s">
        <v>795</v>
      </c>
      <c r="D2312" t="s">
        <v>3602</v>
      </c>
      <c r="E2312" t="s">
        <v>3605</v>
      </c>
    </row>
    <row r="2313" spans="1:5" x14ac:dyDescent="0.25">
      <c r="A2313" t="s">
        <v>3584</v>
      </c>
      <c r="B2313" t="s">
        <v>3601</v>
      </c>
      <c r="C2313" t="s">
        <v>1646</v>
      </c>
      <c r="D2313" t="s">
        <v>3603</v>
      </c>
      <c r="E2313" t="s">
        <v>3604</v>
      </c>
    </row>
    <row r="2314" spans="1:5" x14ac:dyDescent="0.25">
      <c r="A2314" t="s">
        <v>3584</v>
      </c>
      <c r="B2314" t="s">
        <v>3601</v>
      </c>
      <c r="C2314" t="s">
        <v>1377</v>
      </c>
      <c r="D2314" t="s">
        <v>3607</v>
      </c>
      <c r="E2314" t="s">
        <v>3608</v>
      </c>
    </row>
    <row r="2315" spans="1:5" x14ac:dyDescent="0.25">
      <c r="A2315" t="s">
        <v>3584</v>
      </c>
      <c r="B2315" t="s">
        <v>3601</v>
      </c>
      <c r="C2315" t="s">
        <v>1866</v>
      </c>
      <c r="D2315" t="s">
        <v>3603</v>
      </c>
      <c r="E2315" t="s">
        <v>3603</v>
      </c>
    </row>
    <row r="2316" spans="1:5" x14ac:dyDescent="0.25">
      <c r="A2316" t="s">
        <v>3584</v>
      </c>
      <c r="B2316" t="s">
        <v>3601</v>
      </c>
      <c r="C2316" t="s">
        <v>2659</v>
      </c>
      <c r="D2316" t="s">
        <v>3606</v>
      </c>
      <c r="E2316" t="s">
        <v>3609</v>
      </c>
    </row>
    <row r="2317" spans="1:5" x14ac:dyDescent="0.25">
      <c r="A2317" t="s">
        <v>3584</v>
      </c>
      <c r="B2317" t="s">
        <v>3601</v>
      </c>
      <c r="C2317" t="s">
        <v>733</v>
      </c>
      <c r="D2317" t="s">
        <v>3603</v>
      </c>
      <c r="E2317" t="s">
        <v>3604</v>
      </c>
    </row>
    <row r="2318" spans="1:5" x14ac:dyDescent="0.25">
      <c r="A2318" t="s">
        <v>3584</v>
      </c>
      <c r="B2318" t="s">
        <v>3610</v>
      </c>
      <c r="C2318" t="s">
        <v>2948</v>
      </c>
      <c r="D2318" t="s">
        <v>3607</v>
      </c>
      <c r="E2318" t="s">
        <v>3608</v>
      </c>
    </row>
    <row r="2319" spans="1:5" x14ac:dyDescent="0.25">
      <c r="A2319" t="s">
        <v>3586</v>
      </c>
      <c r="B2319" t="s">
        <v>3601</v>
      </c>
      <c r="C2319" t="s">
        <v>407</v>
      </c>
      <c r="D2319" t="s">
        <v>3603</v>
      </c>
      <c r="E2319" t="s">
        <v>3605</v>
      </c>
    </row>
    <row r="2320" spans="1:5" x14ac:dyDescent="0.25">
      <c r="A2320" t="s">
        <v>3586</v>
      </c>
      <c r="B2320" t="s">
        <v>3601</v>
      </c>
      <c r="C2320" t="s">
        <v>1449</v>
      </c>
      <c r="D2320" t="s">
        <v>3602</v>
      </c>
      <c r="E2320" t="s">
        <v>3605</v>
      </c>
    </row>
    <row r="2321" spans="1:5" x14ac:dyDescent="0.25">
      <c r="A2321" t="s">
        <v>3586</v>
      </c>
      <c r="B2321" t="s">
        <v>3601</v>
      </c>
      <c r="C2321" t="s">
        <v>1188</v>
      </c>
      <c r="D2321" t="s">
        <v>3602</v>
      </c>
      <c r="E2321" t="s">
        <v>3603</v>
      </c>
    </row>
    <row r="2322" spans="1:5" x14ac:dyDescent="0.25">
      <c r="A2322" t="s">
        <v>3586</v>
      </c>
      <c r="B2322" t="s">
        <v>3601</v>
      </c>
      <c r="C2322" t="s">
        <v>527</v>
      </c>
      <c r="D2322" t="s">
        <v>3603</v>
      </c>
      <c r="E2322" t="s">
        <v>3604</v>
      </c>
    </row>
    <row r="2323" spans="1:5" x14ac:dyDescent="0.25">
      <c r="A2323" t="s">
        <v>3586</v>
      </c>
      <c r="B2323" t="s">
        <v>3601</v>
      </c>
      <c r="C2323" t="s">
        <v>429</v>
      </c>
      <c r="D2323" t="s">
        <v>3602</v>
      </c>
      <c r="E2323" t="s">
        <v>3609</v>
      </c>
    </row>
    <row r="2324" spans="1:5" x14ac:dyDescent="0.25">
      <c r="A2324" t="s">
        <v>3586</v>
      </c>
      <c r="B2324" t="s">
        <v>3601</v>
      </c>
      <c r="C2324" t="s">
        <v>1342</v>
      </c>
      <c r="D2324" t="s">
        <v>3602</v>
      </c>
      <c r="E2324" t="s">
        <v>3604</v>
      </c>
    </row>
    <row r="2325" spans="1:5" x14ac:dyDescent="0.25">
      <c r="A2325" t="s">
        <v>3586</v>
      </c>
      <c r="B2325" t="s">
        <v>3601</v>
      </c>
      <c r="C2325" t="s">
        <v>1852</v>
      </c>
      <c r="D2325" t="s">
        <v>3606</v>
      </c>
      <c r="E2325" t="s">
        <v>3605</v>
      </c>
    </row>
    <row r="2326" spans="1:5" x14ac:dyDescent="0.25">
      <c r="A2326" t="s">
        <v>3586</v>
      </c>
      <c r="B2326" t="s">
        <v>3601</v>
      </c>
      <c r="C2326" t="s">
        <v>2254</v>
      </c>
      <c r="D2326" t="s">
        <v>3606</v>
      </c>
      <c r="E2326" t="s">
        <v>3603</v>
      </c>
    </row>
    <row r="2327" spans="1:5" x14ac:dyDescent="0.25">
      <c r="A2327" t="s">
        <v>3586</v>
      </c>
      <c r="B2327" t="s">
        <v>3601</v>
      </c>
      <c r="C2327" t="s">
        <v>2361</v>
      </c>
      <c r="D2327" t="s">
        <v>3607</v>
      </c>
      <c r="E2327" t="s">
        <v>3608</v>
      </c>
    </row>
    <row r="2328" spans="1:5" x14ac:dyDescent="0.25">
      <c r="A2328" t="s">
        <v>3586</v>
      </c>
      <c r="B2328" t="s">
        <v>3601</v>
      </c>
      <c r="C2328" t="s">
        <v>477</v>
      </c>
      <c r="D2328" t="s">
        <v>3602</v>
      </c>
      <c r="E2328" t="s">
        <v>3603</v>
      </c>
    </row>
    <row r="2329" spans="1:5" x14ac:dyDescent="0.25">
      <c r="A2329" t="s">
        <v>3586</v>
      </c>
      <c r="B2329" t="s">
        <v>3601</v>
      </c>
      <c r="C2329" t="s">
        <v>2602</v>
      </c>
      <c r="D2329" t="s">
        <v>3606</v>
      </c>
      <c r="E2329" t="s">
        <v>3603</v>
      </c>
    </row>
    <row r="2330" spans="1:5" x14ac:dyDescent="0.25">
      <c r="A2330" t="s">
        <v>3586</v>
      </c>
      <c r="B2330" t="s">
        <v>3601</v>
      </c>
      <c r="C2330" t="s">
        <v>2277</v>
      </c>
      <c r="D2330" t="s">
        <v>3607</v>
      </c>
      <c r="E2330" t="s">
        <v>3608</v>
      </c>
    </row>
    <row r="2331" spans="1:5" x14ac:dyDescent="0.25">
      <c r="A2331" t="s">
        <v>3586</v>
      </c>
      <c r="B2331" t="s">
        <v>3601</v>
      </c>
      <c r="C2331" t="s">
        <v>2091</v>
      </c>
      <c r="D2331" t="s">
        <v>3607</v>
      </c>
      <c r="E2331" t="s">
        <v>3608</v>
      </c>
    </row>
    <row r="2332" spans="1:5" x14ac:dyDescent="0.25">
      <c r="A2332" t="s">
        <v>3586</v>
      </c>
      <c r="B2332" t="s">
        <v>3601</v>
      </c>
      <c r="C2332" t="s">
        <v>1842</v>
      </c>
      <c r="D2332" t="s">
        <v>3603</v>
      </c>
      <c r="E2332" t="s">
        <v>3609</v>
      </c>
    </row>
    <row r="2333" spans="1:5" x14ac:dyDescent="0.25">
      <c r="A2333" t="s">
        <v>3586</v>
      </c>
      <c r="B2333" t="s">
        <v>3601</v>
      </c>
      <c r="C2333" t="s">
        <v>2567</v>
      </c>
      <c r="D2333" t="s">
        <v>3606</v>
      </c>
      <c r="E2333" t="s">
        <v>3609</v>
      </c>
    </row>
    <row r="2334" spans="1:5" x14ac:dyDescent="0.25">
      <c r="A2334" t="s">
        <v>3586</v>
      </c>
      <c r="B2334" t="s">
        <v>3601</v>
      </c>
      <c r="C2334" t="s">
        <v>1337</v>
      </c>
      <c r="D2334" t="s">
        <v>3602</v>
      </c>
      <c r="E2334" t="s">
        <v>3609</v>
      </c>
    </row>
    <row r="2335" spans="1:5" x14ac:dyDescent="0.25">
      <c r="A2335" t="s">
        <v>3586</v>
      </c>
      <c r="B2335" t="s">
        <v>3601</v>
      </c>
      <c r="C2335" t="s">
        <v>2768</v>
      </c>
      <c r="D2335" t="s">
        <v>3607</v>
      </c>
      <c r="E2335" t="s">
        <v>3608</v>
      </c>
    </row>
    <row r="2336" spans="1:5" x14ac:dyDescent="0.25">
      <c r="A2336" t="s">
        <v>3586</v>
      </c>
      <c r="B2336" t="s">
        <v>3601</v>
      </c>
      <c r="C2336" t="s">
        <v>1299</v>
      </c>
      <c r="D2336" t="s">
        <v>3607</v>
      </c>
      <c r="E2336" t="s">
        <v>3608</v>
      </c>
    </row>
    <row r="2337" spans="1:5" x14ac:dyDescent="0.25">
      <c r="A2337" t="s">
        <v>3586</v>
      </c>
      <c r="B2337" t="s">
        <v>3601</v>
      </c>
      <c r="C2337" t="s">
        <v>1684</v>
      </c>
      <c r="D2337" t="s">
        <v>3607</v>
      </c>
      <c r="E2337" t="s">
        <v>3608</v>
      </c>
    </row>
    <row r="2338" spans="1:5" x14ac:dyDescent="0.25">
      <c r="A2338" t="s">
        <v>3586</v>
      </c>
      <c r="B2338" t="s">
        <v>3601</v>
      </c>
      <c r="C2338" t="s">
        <v>2489</v>
      </c>
      <c r="D2338" t="s">
        <v>3603</v>
      </c>
      <c r="E2338" t="s">
        <v>3604</v>
      </c>
    </row>
    <row r="2339" spans="1:5" x14ac:dyDescent="0.25">
      <c r="A2339" t="s">
        <v>3586</v>
      </c>
      <c r="B2339" t="s">
        <v>3601</v>
      </c>
      <c r="C2339" t="s">
        <v>740</v>
      </c>
      <c r="D2339" t="s">
        <v>3602</v>
      </c>
      <c r="E2339" t="s">
        <v>3603</v>
      </c>
    </row>
    <row r="2340" spans="1:5" x14ac:dyDescent="0.25">
      <c r="A2340" t="s">
        <v>3586</v>
      </c>
      <c r="B2340" t="s">
        <v>3601</v>
      </c>
      <c r="C2340" t="s">
        <v>1305</v>
      </c>
      <c r="D2340" t="s">
        <v>3606</v>
      </c>
      <c r="E2340" t="s">
        <v>3604</v>
      </c>
    </row>
    <row r="2341" spans="1:5" x14ac:dyDescent="0.25">
      <c r="A2341" t="s">
        <v>3586</v>
      </c>
      <c r="B2341" t="s">
        <v>3601</v>
      </c>
      <c r="C2341" t="s">
        <v>1601</v>
      </c>
      <c r="D2341" t="s">
        <v>3607</v>
      </c>
      <c r="E2341" t="s">
        <v>3608</v>
      </c>
    </row>
    <row r="2342" spans="1:5" x14ac:dyDescent="0.25">
      <c r="A2342" t="s">
        <v>3586</v>
      </c>
      <c r="B2342" t="s">
        <v>3601</v>
      </c>
      <c r="C2342" t="s">
        <v>456</v>
      </c>
      <c r="D2342" t="s">
        <v>3602</v>
      </c>
      <c r="E2342" t="s">
        <v>3609</v>
      </c>
    </row>
    <row r="2343" spans="1:5" x14ac:dyDescent="0.25">
      <c r="A2343" t="s">
        <v>3586</v>
      </c>
      <c r="B2343" t="s">
        <v>3601</v>
      </c>
      <c r="C2343" t="s">
        <v>2862</v>
      </c>
      <c r="D2343" t="s">
        <v>3607</v>
      </c>
      <c r="E2343" t="s">
        <v>3608</v>
      </c>
    </row>
    <row r="2344" spans="1:5" x14ac:dyDescent="0.25">
      <c r="A2344" t="s">
        <v>3586</v>
      </c>
      <c r="B2344" t="s">
        <v>3601</v>
      </c>
      <c r="C2344" t="s">
        <v>1606</v>
      </c>
      <c r="D2344" t="s">
        <v>3603</v>
      </c>
      <c r="E2344" t="s">
        <v>3609</v>
      </c>
    </row>
    <row r="2345" spans="1:5" x14ac:dyDescent="0.25">
      <c r="A2345" t="s">
        <v>3586</v>
      </c>
      <c r="B2345" t="s">
        <v>3601</v>
      </c>
      <c r="C2345" t="s">
        <v>898</v>
      </c>
      <c r="D2345" t="s">
        <v>3607</v>
      </c>
      <c r="E2345" t="s">
        <v>3608</v>
      </c>
    </row>
    <row r="2346" spans="1:5" x14ac:dyDescent="0.25">
      <c r="A2346" t="s">
        <v>3586</v>
      </c>
      <c r="B2346" t="s">
        <v>3601</v>
      </c>
      <c r="C2346" t="s">
        <v>979</v>
      </c>
      <c r="D2346" t="s">
        <v>3602</v>
      </c>
      <c r="E2346" t="s">
        <v>3603</v>
      </c>
    </row>
    <row r="2347" spans="1:5" x14ac:dyDescent="0.25">
      <c r="A2347" t="s">
        <v>3586</v>
      </c>
      <c r="B2347" t="s">
        <v>3601</v>
      </c>
      <c r="C2347" t="s">
        <v>621</v>
      </c>
      <c r="D2347" t="s">
        <v>3607</v>
      </c>
      <c r="E2347" t="s">
        <v>3608</v>
      </c>
    </row>
    <row r="2348" spans="1:5" x14ac:dyDescent="0.25">
      <c r="A2348" t="s">
        <v>3586</v>
      </c>
      <c r="B2348" t="s">
        <v>3601</v>
      </c>
      <c r="C2348" t="s">
        <v>852</v>
      </c>
      <c r="D2348" t="s">
        <v>3607</v>
      </c>
      <c r="E2348" t="s">
        <v>3608</v>
      </c>
    </row>
    <row r="2349" spans="1:5" x14ac:dyDescent="0.25">
      <c r="A2349" t="s">
        <v>3586</v>
      </c>
      <c r="B2349" t="s">
        <v>3601</v>
      </c>
      <c r="C2349" t="s">
        <v>214</v>
      </c>
      <c r="D2349" t="s">
        <v>3603</v>
      </c>
      <c r="E2349" t="s">
        <v>3604</v>
      </c>
    </row>
    <row r="2350" spans="1:5" x14ac:dyDescent="0.25">
      <c r="A2350" t="s">
        <v>3586</v>
      </c>
      <c r="B2350" t="s">
        <v>3601</v>
      </c>
      <c r="C2350" t="s">
        <v>2433</v>
      </c>
      <c r="D2350" t="s">
        <v>3603</v>
      </c>
      <c r="E2350" t="s">
        <v>3605</v>
      </c>
    </row>
    <row r="2351" spans="1:5" x14ac:dyDescent="0.25">
      <c r="A2351" t="s">
        <v>3586</v>
      </c>
      <c r="B2351" t="s">
        <v>3601</v>
      </c>
      <c r="C2351" t="s">
        <v>194</v>
      </c>
      <c r="D2351" t="s">
        <v>3607</v>
      </c>
      <c r="E2351" t="s">
        <v>3608</v>
      </c>
    </row>
    <row r="2352" spans="1:5" x14ac:dyDescent="0.25">
      <c r="A2352" t="s">
        <v>3586</v>
      </c>
      <c r="B2352" t="s">
        <v>3601</v>
      </c>
      <c r="C2352" t="s">
        <v>267</v>
      </c>
      <c r="D2352" t="s">
        <v>3607</v>
      </c>
      <c r="E2352" t="s">
        <v>3608</v>
      </c>
    </row>
    <row r="2353" spans="1:5" x14ac:dyDescent="0.25">
      <c r="A2353" t="s">
        <v>3586</v>
      </c>
      <c r="B2353" t="s">
        <v>3601</v>
      </c>
      <c r="C2353" t="s">
        <v>1041</v>
      </c>
      <c r="D2353" t="s">
        <v>3606</v>
      </c>
      <c r="E2353" t="s">
        <v>3609</v>
      </c>
    </row>
    <row r="2354" spans="1:5" x14ac:dyDescent="0.25">
      <c r="A2354" t="s">
        <v>3586</v>
      </c>
      <c r="B2354" t="s">
        <v>3601</v>
      </c>
      <c r="C2354" t="s">
        <v>32</v>
      </c>
      <c r="D2354" t="s">
        <v>3602</v>
      </c>
      <c r="E2354" t="s">
        <v>3609</v>
      </c>
    </row>
    <row r="2355" spans="1:5" x14ac:dyDescent="0.25">
      <c r="A2355" t="s">
        <v>3586</v>
      </c>
      <c r="B2355" t="s">
        <v>3601</v>
      </c>
      <c r="C2355" t="s">
        <v>2704</v>
      </c>
      <c r="D2355" t="s">
        <v>3606</v>
      </c>
      <c r="E2355" t="s">
        <v>3609</v>
      </c>
    </row>
    <row r="2356" spans="1:5" x14ac:dyDescent="0.25">
      <c r="A2356" t="s">
        <v>3586</v>
      </c>
      <c r="B2356" t="s">
        <v>3601</v>
      </c>
      <c r="C2356" t="s">
        <v>363</v>
      </c>
      <c r="D2356" t="s">
        <v>3603</v>
      </c>
      <c r="E2356" t="s">
        <v>3605</v>
      </c>
    </row>
    <row r="2357" spans="1:5" x14ac:dyDescent="0.25">
      <c r="A2357" t="s">
        <v>3586</v>
      </c>
      <c r="B2357" t="s">
        <v>3601</v>
      </c>
      <c r="C2357" t="s">
        <v>1746</v>
      </c>
      <c r="D2357" t="s">
        <v>3607</v>
      </c>
      <c r="E2357" t="s">
        <v>3608</v>
      </c>
    </row>
    <row r="2358" spans="1:5" x14ac:dyDescent="0.25">
      <c r="A2358" t="s">
        <v>3586</v>
      </c>
      <c r="B2358" t="s">
        <v>3601</v>
      </c>
      <c r="C2358" t="s">
        <v>179</v>
      </c>
      <c r="D2358" t="s">
        <v>3607</v>
      </c>
      <c r="E2358" t="s">
        <v>3608</v>
      </c>
    </row>
    <row r="2359" spans="1:5" x14ac:dyDescent="0.25">
      <c r="A2359" t="s">
        <v>3586</v>
      </c>
      <c r="B2359" t="s">
        <v>3601</v>
      </c>
      <c r="C2359" t="s">
        <v>826</v>
      </c>
      <c r="D2359" t="s">
        <v>3607</v>
      </c>
      <c r="E2359" t="s">
        <v>3608</v>
      </c>
    </row>
    <row r="2360" spans="1:5" x14ac:dyDescent="0.25">
      <c r="A2360" t="s">
        <v>3586</v>
      </c>
      <c r="B2360" t="s">
        <v>3601</v>
      </c>
      <c r="C2360" t="s">
        <v>1434</v>
      </c>
      <c r="D2360" t="s">
        <v>3602</v>
      </c>
      <c r="E2360" t="s">
        <v>3609</v>
      </c>
    </row>
    <row r="2361" spans="1:5" x14ac:dyDescent="0.25">
      <c r="A2361" t="s">
        <v>3586</v>
      </c>
      <c r="B2361" t="s">
        <v>3601</v>
      </c>
      <c r="C2361" t="s">
        <v>1253</v>
      </c>
      <c r="D2361" t="s">
        <v>3602</v>
      </c>
      <c r="E2361" t="s">
        <v>3603</v>
      </c>
    </row>
    <row r="2362" spans="1:5" x14ac:dyDescent="0.25">
      <c r="A2362" t="s">
        <v>3586</v>
      </c>
      <c r="B2362" t="s">
        <v>3601</v>
      </c>
      <c r="C2362" t="s">
        <v>650</v>
      </c>
      <c r="D2362" t="s">
        <v>3602</v>
      </c>
      <c r="E2362" t="s">
        <v>3604</v>
      </c>
    </row>
    <row r="2363" spans="1:5" x14ac:dyDescent="0.25">
      <c r="A2363" t="s">
        <v>3586</v>
      </c>
      <c r="B2363" t="s">
        <v>3601</v>
      </c>
      <c r="C2363" t="s">
        <v>1831</v>
      </c>
      <c r="D2363" t="s">
        <v>3607</v>
      </c>
      <c r="E2363" t="s">
        <v>3608</v>
      </c>
    </row>
    <row r="2364" spans="1:5" x14ac:dyDescent="0.25">
      <c r="A2364" t="s">
        <v>3586</v>
      </c>
      <c r="B2364" t="s">
        <v>3601</v>
      </c>
      <c r="C2364" t="s">
        <v>1458</v>
      </c>
      <c r="D2364" t="s">
        <v>3606</v>
      </c>
      <c r="E2364" t="s">
        <v>3603</v>
      </c>
    </row>
    <row r="2365" spans="1:5" x14ac:dyDescent="0.25">
      <c r="A2365" t="s">
        <v>3586</v>
      </c>
      <c r="B2365" t="s">
        <v>3601</v>
      </c>
      <c r="C2365" t="s">
        <v>2733</v>
      </c>
      <c r="D2365" t="s">
        <v>3603</v>
      </c>
      <c r="E2365" t="s">
        <v>3609</v>
      </c>
    </row>
    <row r="2366" spans="1:5" x14ac:dyDescent="0.25">
      <c r="A2366" t="s">
        <v>3586</v>
      </c>
      <c r="B2366" t="s">
        <v>3601</v>
      </c>
      <c r="C2366" t="s">
        <v>1617</v>
      </c>
      <c r="D2366" t="s">
        <v>3606</v>
      </c>
      <c r="E2366" t="s">
        <v>3604</v>
      </c>
    </row>
    <row r="2367" spans="1:5" x14ac:dyDescent="0.25">
      <c r="A2367" t="s">
        <v>3586</v>
      </c>
      <c r="B2367" t="s">
        <v>3601</v>
      </c>
      <c r="C2367" t="s">
        <v>1917</v>
      </c>
      <c r="D2367" t="s">
        <v>3602</v>
      </c>
      <c r="E2367" t="s">
        <v>3609</v>
      </c>
    </row>
    <row r="2368" spans="1:5" x14ac:dyDescent="0.25">
      <c r="A2368" t="s">
        <v>3586</v>
      </c>
      <c r="B2368" t="s">
        <v>3601</v>
      </c>
      <c r="C2368" t="s">
        <v>883</v>
      </c>
      <c r="D2368" t="s">
        <v>3602</v>
      </c>
      <c r="E2368" t="s">
        <v>3603</v>
      </c>
    </row>
    <row r="2369" spans="1:5" x14ac:dyDescent="0.25">
      <c r="A2369" t="s">
        <v>3586</v>
      </c>
      <c r="B2369" t="s">
        <v>3601</v>
      </c>
      <c r="C2369" t="s">
        <v>1036</v>
      </c>
      <c r="D2369" t="s">
        <v>3602</v>
      </c>
      <c r="E2369" t="s">
        <v>3609</v>
      </c>
    </row>
    <row r="2370" spans="1:5" x14ac:dyDescent="0.25">
      <c r="A2370" t="s">
        <v>3586</v>
      </c>
      <c r="B2370" t="s">
        <v>3601</v>
      </c>
      <c r="C2370" t="s">
        <v>392</v>
      </c>
      <c r="D2370" t="s">
        <v>3603</v>
      </c>
      <c r="E2370" t="s">
        <v>3603</v>
      </c>
    </row>
    <row r="2371" spans="1:5" x14ac:dyDescent="0.25">
      <c r="A2371" t="s">
        <v>3586</v>
      </c>
      <c r="B2371" t="s">
        <v>3601</v>
      </c>
      <c r="C2371" t="s">
        <v>490</v>
      </c>
      <c r="D2371" t="s">
        <v>3607</v>
      </c>
      <c r="E2371" t="s">
        <v>3608</v>
      </c>
    </row>
    <row r="2372" spans="1:5" x14ac:dyDescent="0.25">
      <c r="A2372" t="s">
        <v>3586</v>
      </c>
      <c r="B2372" t="s">
        <v>3601</v>
      </c>
      <c r="C2372" t="s">
        <v>1140</v>
      </c>
      <c r="D2372" t="s">
        <v>3603</v>
      </c>
      <c r="E2372" t="s">
        <v>3605</v>
      </c>
    </row>
    <row r="2373" spans="1:5" x14ac:dyDescent="0.25">
      <c r="A2373" t="s">
        <v>3586</v>
      </c>
      <c r="B2373" t="s">
        <v>3601</v>
      </c>
      <c r="C2373" t="s">
        <v>858</v>
      </c>
      <c r="D2373" t="s">
        <v>3606</v>
      </c>
      <c r="E2373" t="s">
        <v>3603</v>
      </c>
    </row>
    <row r="2374" spans="1:5" x14ac:dyDescent="0.25">
      <c r="A2374" t="s">
        <v>3586</v>
      </c>
      <c r="B2374" t="s">
        <v>3601</v>
      </c>
      <c r="C2374" t="s">
        <v>2638</v>
      </c>
      <c r="D2374" t="s">
        <v>3603</v>
      </c>
      <c r="E2374" t="s">
        <v>3609</v>
      </c>
    </row>
    <row r="2375" spans="1:5" x14ac:dyDescent="0.25">
      <c r="A2375" t="s">
        <v>3586</v>
      </c>
      <c r="B2375" t="s">
        <v>3601</v>
      </c>
      <c r="C2375" t="s">
        <v>2100</v>
      </c>
      <c r="D2375" t="s">
        <v>3606</v>
      </c>
      <c r="E2375" t="s">
        <v>3605</v>
      </c>
    </row>
    <row r="2376" spans="1:5" x14ac:dyDescent="0.25">
      <c r="A2376" t="s">
        <v>3586</v>
      </c>
      <c r="B2376" t="s">
        <v>3601</v>
      </c>
      <c r="C2376" t="s">
        <v>469</v>
      </c>
      <c r="D2376" t="s">
        <v>3602</v>
      </c>
      <c r="E2376" t="s">
        <v>3603</v>
      </c>
    </row>
    <row r="2377" spans="1:5" x14ac:dyDescent="0.25">
      <c r="A2377" t="s">
        <v>3586</v>
      </c>
      <c r="B2377" t="s">
        <v>3601</v>
      </c>
      <c r="C2377" t="s">
        <v>2042</v>
      </c>
      <c r="D2377" t="s">
        <v>3607</v>
      </c>
      <c r="E2377" t="s">
        <v>3608</v>
      </c>
    </row>
    <row r="2378" spans="1:5" x14ac:dyDescent="0.25">
      <c r="A2378" t="s">
        <v>3586</v>
      </c>
      <c r="B2378" t="s">
        <v>3601</v>
      </c>
      <c r="C2378" t="s">
        <v>2267</v>
      </c>
      <c r="D2378" t="s">
        <v>3606</v>
      </c>
      <c r="E2378" t="s">
        <v>3605</v>
      </c>
    </row>
    <row r="2379" spans="1:5" x14ac:dyDescent="0.25">
      <c r="A2379" t="s">
        <v>3586</v>
      </c>
      <c r="B2379" t="s">
        <v>3601</v>
      </c>
      <c r="C2379" t="s">
        <v>2399</v>
      </c>
      <c r="D2379" t="s">
        <v>3606</v>
      </c>
      <c r="E2379" t="s">
        <v>3605</v>
      </c>
    </row>
    <row r="2380" spans="1:5" x14ac:dyDescent="0.25">
      <c r="A2380" t="s">
        <v>3586</v>
      </c>
      <c r="B2380" t="s">
        <v>3601</v>
      </c>
      <c r="C2380" t="s">
        <v>1282</v>
      </c>
      <c r="D2380" t="s">
        <v>3606</v>
      </c>
      <c r="E2380" t="s">
        <v>3605</v>
      </c>
    </row>
    <row r="2381" spans="1:5" x14ac:dyDescent="0.25">
      <c r="A2381" t="s">
        <v>3586</v>
      </c>
      <c r="B2381" t="s">
        <v>3601</v>
      </c>
      <c r="C2381" t="s">
        <v>2381</v>
      </c>
      <c r="D2381" t="s">
        <v>3606</v>
      </c>
      <c r="E2381" t="s">
        <v>3604</v>
      </c>
    </row>
    <row r="2382" spans="1:5" x14ac:dyDescent="0.25">
      <c r="A2382" t="s">
        <v>3586</v>
      </c>
      <c r="B2382" t="s">
        <v>3601</v>
      </c>
      <c r="C2382" t="s">
        <v>1288</v>
      </c>
      <c r="D2382" t="s">
        <v>3602</v>
      </c>
      <c r="E2382" t="s">
        <v>3604</v>
      </c>
    </row>
    <row r="2383" spans="1:5" x14ac:dyDescent="0.25">
      <c r="A2383" t="s">
        <v>3586</v>
      </c>
      <c r="B2383" t="s">
        <v>3601</v>
      </c>
      <c r="C2383" t="s">
        <v>436</v>
      </c>
      <c r="D2383" t="s">
        <v>3603</v>
      </c>
      <c r="E2383" t="s">
        <v>3604</v>
      </c>
    </row>
    <row r="2384" spans="1:5" x14ac:dyDescent="0.25">
      <c r="A2384" t="s">
        <v>3586</v>
      </c>
      <c r="B2384" t="s">
        <v>3601</v>
      </c>
      <c r="C2384" t="s">
        <v>751</v>
      </c>
      <c r="D2384" t="s">
        <v>3606</v>
      </c>
      <c r="E2384" t="s">
        <v>3605</v>
      </c>
    </row>
    <row r="2385" spans="1:5" x14ac:dyDescent="0.25">
      <c r="A2385" t="s">
        <v>3586</v>
      </c>
      <c r="B2385" t="s">
        <v>3601</v>
      </c>
      <c r="C2385" t="s">
        <v>1666</v>
      </c>
      <c r="D2385" t="s">
        <v>3607</v>
      </c>
      <c r="E2385" t="s">
        <v>3608</v>
      </c>
    </row>
    <row r="2386" spans="1:5" x14ac:dyDescent="0.25">
      <c r="A2386" t="s">
        <v>3586</v>
      </c>
      <c r="B2386" t="s">
        <v>3601</v>
      </c>
      <c r="C2386" t="s">
        <v>2828</v>
      </c>
      <c r="D2386" t="s">
        <v>3602</v>
      </c>
      <c r="E2386" t="s">
        <v>3603</v>
      </c>
    </row>
    <row r="2387" spans="1:5" x14ac:dyDescent="0.25">
      <c r="A2387" t="s">
        <v>3586</v>
      </c>
      <c r="B2387" t="s">
        <v>3610</v>
      </c>
      <c r="C2387" t="s">
        <v>2975</v>
      </c>
      <c r="D2387" t="s">
        <v>3606</v>
      </c>
      <c r="E2387" t="s">
        <v>3608</v>
      </c>
    </row>
    <row r="2388" spans="1:5" x14ac:dyDescent="0.25">
      <c r="A2388" t="s">
        <v>3586</v>
      </c>
      <c r="B2388" t="s">
        <v>3610</v>
      </c>
      <c r="C2388" t="s">
        <v>2948</v>
      </c>
      <c r="D2388" t="s">
        <v>3612</v>
      </c>
      <c r="E2388" t="s">
        <v>3608</v>
      </c>
    </row>
    <row r="2389" spans="1:5" x14ac:dyDescent="0.25">
      <c r="A2389" t="s">
        <v>3587</v>
      </c>
      <c r="B2389" t="s">
        <v>3601</v>
      </c>
      <c r="C2389" t="s">
        <v>1815</v>
      </c>
      <c r="D2389" t="s">
        <v>3607</v>
      </c>
      <c r="E2389" t="s">
        <v>3608</v>
      </c>
    </row>
    <row r="2390" spans="1:5" x14ac:dyDescent="0.25">
      <c r="A2390" t="s">
        <v>3587</v>
      </c>
      <c r="B2390" t="s">
        <v>3601</v>
      </c>
      <c r="C2390" t="s">
        <v>1028</v>
      </c>
      <c r="D2390" t="s">
        <v>3602</v>
      </c>
      <c r="E2390" t="s">
        <v>3605</v>
      </c>
    </row>
    <row r="2391" spans="1:5" x14ac:dyDescent="0.25">
      <c r="A2391" t="s">
        <v>3587</v>
      </c>
      <c r="B2391" t="s">
        <v>3601</v>
      </c>
      <c r="C2391" t="s">
        <v>2588</v>
      </c>
      <c r="D2391" t="s">
        <v>3607</v>
      </c>
      <c r="E2391" t="s">
        <v>3608</v>
      </c>
    </row>
    <row r="2392" spans="1:5" x14ac:dyDescent="0.25">
      <c r="A2392" t="s">
        <v>3587</v>
      </c>
      <c r="B2392" t="s">
        <v>3601</v>
      </c>
      <c r="C2392" t="s">
        <v>1167</v>
      </c>
      <c r="D2392" t="s">
        <v>3602</v>
      </c>
      <c r="E2392" t="s">
        <v>3605</v>
      </c>
    </row>
    <row r="2393" spans="1:5" x14ac:dyDescent="0.25">
      <c r="A2393" t="s">
        <v>3587</v>
      </c>
      <c r="B2393" t="s">
        <v>3601</v>
      </c>
      <c r="C2393" t="s">
        <v>1332</v>
      </c>
      <c r="D2393" t="s">
        <v>3607</v>
      </c>
      <c r="E2393" t="s">
        <v>3608</v>
      </c>
    </row>
    <row r="2394" spans="1:5" x14ac:dyDescent="0.25">
      <c r="A2394" t="s">
        <v>3587</v>
      </c>
      <c r="B2394" t="s">
        <v>3601</v>
      </c>
      <c r="C2394" t="s">
        <v>870</v>
      </c>
      <c r="D2394" t="s">
        <v>3607</v>
      </c>
      <c r="E2394" t="s">
        <v>3608</v>
      </c>
    </row>
    <row r="2395" spans="1:5" x14ac:dyDescent="0.25">
      <c r="A2395" t="s">
        <v>3587</v>
      </c>
      <c r="B2395" t="s">
        <v>3601</v>
      </c>
      <c r="C2395" t="s">
        <v>816</v>
      </c>
      <c r="D2395" t="s">
        <v>3607</v>
      </c>
      <c r="E2395" t="s">
        <v>3608</v>
      </c>
    </row>
    <row r="2396" spans="1:5" x14ac:dyDescent="0.25">
      <c r="A2396" t="s">
        <v>3587</v>
      </c>
      <c r="B2396" t="s">
        <v>3601</v>
      </c>
      <c r="C2396" t="s">
        <v>2356</v>
      </c>
      <c r="D2396" t="s">
        <v>3606</v>
      </c>
      <c r="E2396" t="s">
        <v>3605</v>
      </c>
    </row>
    <row r="2397" spans="1:5" x14ac:dyDescent="0.25">
      <c r="A2397" t="s">
        <v>3587</v>
      </c>
      <c r="B2397" t="s">
        <v>3601</v>
      </c>
      <c r="C2397" t="s">
        <v>2628</v>
      </c>
      <c r="D2397" t="s">
        <v>3606</v>
      </c>
      <c r="E2397" t="s">
        <v>3603</v>
      </c>
    </row>
    <row r="2398" spans="1:5" x14ac:dyDescent="0.25">
      <c r="A2398" t="s">
        <v>3587</v>
      </c>
      <c r="B2398" t="s">
        <v>3601</v>
      </c>
      <c r="C2398" t="s">
        <v>1271</v>
      </c>
      <c r="D2398" t="s">
        <v>3603</v>
      </c>
      <c r="E2398" t="s">
        <v>3604</v>
      </c>
    </row>
    <row r="2399" spans="1:5" x14ac:dyDescent="0.25">
      <c r="A2399" t="s">
        <v>3587</v>
      </c>
      <c r="B2399" t="s">
        <v>3601</v>
      </c>
      <c r="C2399" t="s">
        <v>509</v>
      </c>
      <c r="D2399" t="s">
        <v>3602</v>
      </c>
      <c r="E2399" t="s">
        <v>3604</v>
      </c>
    </row>
    <row r="2400" spans="1:5" x14ac:dyDescent="0.25">
      <c r="A2400" t="s">
        <v>3587</v>
      </c>
      <c r="B2400" t="s">
        <v>3601</v>
      </c>
      <c r="C2400" t="s">
        <v>1327</v>
      </c>
      <c r="D2400" t="s">
        <v>3603</v>
      </c>
      <c r="E2400" t="s">
        <v>3603</v>
      </c>
    </row>
    <row r="2401" spans="1:5" x14ac:dyDescent="0.25">
      <c r="A2401" t="s">
        <v>3587</v>
      </c>
      <c r="B2401" t="s">
        <v>3601</v>
      </c>
      <c r="C2401" t="s">
        <v>1316</v>
      </c>
      <c r="D2401" t="s">
        <v>3603</v>
      </c>
      <c r="E2401" t="s">
        <v>3605</v>
      </c>
    </row>
    <row r="2402" spans="1:5" x14ac:dyDescent="0.25">
      <c r="A2402" t="s">
        <v>3587</v>
      </c>
      <c r="B2402" t="s">
        <v>3601</v>
      </c>
      <c r="C2402" t="s">
        <v>456</v>
      </c>
      <c r="D2402" t="s">
        <v>3602</v>
      </c>
      <c r="E2402" t="s">
        <v>3605</v>
      </c>
    </row>
    <row r="2403" spans="1:5" x14ac:dyDescent="0.25">
      <c r="A2403" t="s">
        <v>3587</v>
      </c>
      <c r="B2403" t="s">
        <v>3601</v>
      </c>
      <c r="C2403" t="s">
        <v>614</v>
      </c>
      <c r="D2403" t="s">
        <v>3602</v>
      </c>
      <c r="E2403" t="s">
        <v>3603</v>
      </c>
    </row>
    <row r="2404" spans="1:5" x14ac:dyDescent="0.25">
      <c r="A2404" t="s">
        <v>3587</v>
      </c>
      <c r="B2404" t="s">
        <v>3601</v>
      </c>
      <c r="C2404" t="s">
        <v>1705</v>
      </c>
      <c r="D2404" t="s">
        <v>3602</v>
      </c>
      <c r="E2404" t="s">
        <v>3604</v>
      </c>
    </row>
    <row r="2405" spans="1:5" x14ac:dyDescent="0.25">
      <c r="A2405" t="s">
        <v>3587</v>
      </c>
      <c r="B2405" t="s">
        <v>3601</v>
      </c>
      <c r="C2405" t="s">
        <v>1409</v>
      </c>
      <c r="D2405" t="s">
        <v>3602</v>
      </c>
      <c r="E2405" t="s">
        <v>3604</v>
      </c>
    </row>
    <row r="2406" spans="1:5" x14ac:dyDescent="0.25">
      <c r="A2406" t="s">
        <v>3587</v>
      </c>
      <c r="B2406" t="s">
        <v>3601</v>
      </c>
      <c r="C2406" t="s">
        <v>832</v>
      </c>
      <c r="D2406" t="s">
        <v>3607</v>
      </c>
      <c r="E2406" t="s">
        <v>3608</v>
      </c>
    </row>
    <row r="2407" spans="1:5" x14ac:dyDescent="0.25">
      <c r="A2407" t="s">
        <v>3587</v>
      </c>
      <c r="B2407" t="s">
        <v>3601</v>
      </c>
      <c r="C2407" t="s">
        <v>258</v>
      </c>
      <c r="D2407" t="s">
        <v>3607</v>
      </c>
      <c r="E2407" t="s">
        <v>3608</v>
      </c>
    </row>
    <row r="2408" spans="1:5" x14ac:dyDescent="0.25">
      <c r="A2408" t="s">
        <v>3587</v>
      </c>
      <c r="B2408" t="s">
        <v>3601</v>
      </c>
      <c r="C2408" t="s">
        <v>2277</v>
      </c>
      <c r="D2408" t="s">
        <v>3607</v>
      </c>
      <c r="E2408" t="s">
        <v>3608</v>
      </c>
    </row>
    <row r="2409" spans="1:5" x14ac:dyDescent="0.25">
      <c r="A2409" t="s">
        <v>3587</v>
      </c>
      <c r="B2409" t="s">
        <v>3601</v>
      </c>
      <c r="C2409" t="s">
        <v>1820</v>
      </c>
      <c r="D2409" t="s">
        <v>3602</v>
      </c>
      <c r="E2409" t="s">
        <v>3604</v>
      </c>
    </row>
    <row r="2410" spans="1:5" x14ac:dyDescent="0.25">
      <c r="A2410" t="s">
        <v>3587</v>
      </c>
      <c r="B2410" t="s">
        <v>3601</v>
      </c>
      <c r="C2410" t="s">
        <v>1534</v>
      </c>
      <c r="D2410" t="s">
        <v>3607</v>
      </c>
      <c r="E2410" t="s">
        <v>3608</v>
      </c>
    </row>
    <row r="2411" spans="1:5" x14ac:dyDescent="0.25">
      <c r="A2411" t="s">
        <v>3587</v>
      </c>
      <c r="B2411" t="s">
        <v>3601</v>
      </c>
      <c r="C2411" t="s">
        <v>1473</v>
      </c>
      <c r="D2411" t="s">
        <v>3603</v>
      </c>
      <c r="E2411" t="s">
        <v>3609</v>
      </c>
    </row>
    <row r="2412" spans="1:5" x14ac:dyDescent="0.25">
      <c r="A2412" t="s">
        <v>3587</v>
      </c>
      <c r="B2412" t="s">
        <v>3601</v>
      </c>
      <c r="C2412" t="s">
        <v>2203</v>
      </c>
      <c r="D2412" t="s">
        <v>3607</v>
      </c>
      <c r="E2412" t="s">
        <v>3608</v>
      </c>
    </row>
    <row r="2413" spans="1:5" x14ac:dyDescent="0.25">
      <c r="A2413" t="s">
        <v>3587</v>
      </c>
      <c r="B2413" t="s">
        <v>3610</v>
      </c>
      <c r="C2413" t="s">
        <v>2943</v>
      </c>
      <c r="D2413" t="s">
        <v>3612</v>
      </c>
      <c r="E2413" t="s">
        <v>3608</v>
      </c>
    </row>
    <row r="2414" spans="1:5" x14ac:dyDescent="0.25">
      <c r="A2414" t="s">
        <v>3587</v>
      </c>
      <c r="B2414" t="s">
        <v>3610</v>
      </c>
      <c r="C2414" t="s">
        <v>2948</v>
      </c>
      <c r="D2414" t="s">
        <v>3611</v>
      </c>
      <c r="E2414" t="s">
        <v>3608</v>
      </c>
    </row>
    <row r="2415" spans="1:5" x14ac:dyDescent="0.25">
      <c r="A2415" t="s">
        <v>3587</v>
      </c>
      <c r="B2415" t="s">
        <v>3610</v>
      </c>
      <c r="C2415" t="s">
        <v>2913</v>
      </c>
      <c r="D2415" t="s">
        <v>3612</v>
      </c>
      <c r="E2415" t="s">
        <v>3608</v>
      </c>
    </row>
    <row r="2416" spans="1:5" x14ac:dyDescent="0.25">
      <c r="A2416" t="s">
        <v>3587</v>
      </c>
      <c r="B2416" t="s">
        <v>3610</v>
      </c>
      <c r="C2416" t="s">
        <v>2930</v>
      </c>
      <c r="D2416" t="s">
        <v>3611</v>
      </c>
      <c r="E2416" t="s">
        <v>3608</v>
      </c>
    </row>
    <row r="2417" spans="1:5" x14ac:dyDescent="0.25">
      <c r="A2417" t="s">
        <v>3587</v>
      </c>
      <c r="B2417" t="s">
        <v>3610</v>
      </c>
      <c r="C2417" t="s">
        <v>2960</v>
      </c>
      <c r="D2417" t="s">
        <v>3612</v>
      </c>
      <c r="E2417" t="s">
        <v>3608</v>
      </c>
    </row>
    <row r="2418" spans="1:5" x14ac:dyDescent="0.25">
      <c r="A2418" t="s">
        <v>3588</v>
      </c>
      <c r="B2418" t="s">
        <v>3601</v>
      </c>
      <c r="C2418" t="s">
        <v>2007</v>
      </c>
      <c r="D2418" t="s">
        <v>3607</v>
      </c>
      <c r="E2418" t="s">
        <v>3608</v>
      </c>
    </row>
    <row r="2419" spans="1:5" x14ac:dyDescent="0.25">
      <c r="A2419" t="s">
        <v>3588</v>
      </c>
      <c r="B2419" t="s">
        <v>3601</v>
      </c>
      <c r="C2419" t="s">
        <v>542</v>
      </c>
      <c r="D2419" t="s">
        <v>3602</v>
      </c>
      <c r="E2419" t="s">
        <v>3605</v>
      </c>
    </row>
    <row r="2420" spans="1:5" x14ac:dyDescent="0.25">
      <c r="A2420" t="s">
        <v>3588</v>
      </c>
      <c r="B2420" t="s">
        <v>3601</v>
      </c>
      <c r="C2420" t="s">
        <v>2674</v>
      </c>
      <c r="D2420" t="s">
        <v>3603</v>
      </c>
      <c r="E2420" t="s">
        <v>3603</v>
      </c>
    </row>
    <row r="2421" spans="1:5" x14ac:dyDescent="0.25">
      <c r="A2421" t="s">
        <v>3588</v>
      </c>
      <c r="B2421" t="s">
        <v>3601</v>
      </c>
      <c r="C2421" t="s">
        <v>1672</v>
      </c>
      <c r="D2421" t="s">
        <v>3606</v>
      </c>
      <c r="E2421" t="s">
        <v>3603</v>
      </c>
    </row>
    <row r="2422" spans="1:5" x14ac:dyDescent="0.25">
      <c r="A2422" t="s">
        <v>3588</v>
      </c>
      <c r="B2422" t="s">
        <v>3601</v>
      </c>
      <c r="C2422" t="s">
        <v>2527</v>
      </c>
      <c r="D2422" t="s">
        <v>3606</v>
      </c>
      <c r="E2422" t="s">
        <v>3609</v>
      </c>
    </row>
    <row r="2423" spans="1:5" x14ac:dyDescent="0.25">
      <c r="A2423" t="s">
        <v>3588</v>
      </c>
      <c r="B2423" t="s">
        <v>3601</v>
      </c>
      <c r="C2423" t="s">
        <v>1612</v>
      </c>
      <c r="D2423" t="s">
        <v>3607</v>
      </c>
      <c r="E2423" t="s">
        <v>3608</v>
      </c>
    </row>
    <row r="2424" spans="1:5" x14ac:dyDescent="0.25">
      <c r="A2424" t="s">
        <v>3588</v>
      </c>
      <c r="B2424" t="s">
        <v>3601</v>
      </c>
      <c r="C2424" t="s">
        <v>2433</v>
      </c>
      <c r="D2424" t="s">
        <v>3603</v>
      </c>
      <c r="E2424" t="s">
        <v>3603</v>
      </c>
    </row>
    <row r="2425" spans="1:5" x14ac:dyDescent="0.25">
      <c r="A2425" t="s">
        <v>3588</v>
      </c>
      <c r="B2425" t="s">
        <v>3601</v>
      </c>
      <c r="C2425" t="s">
        <v>1990</v>
      </c>
      <c r="D2425" t="s">
        <v>3607</v>
      </c>
      <c r="E2425" t="s">
        <v>3608</v>
      </c>
    </row>
    <row r="2426" spans="1:5" x14ac:dyDescent="0.25">
      <c r="A2426" t="s">
        <v>3588</v>
      </c>
      <c r="B2426" t="s">
        <v>3601</v>
      </c>
      <c r="C2426" t="s">
        <v>2588</v>
      </c>
      <c r="D2426" t="s">
        <v>3607</v>
      </c>
      <c r="E2426" t="s">
        <v>3608</v>
      </c>
    </row>
    <row r="2427" spans="1:5" x14ac:dyDescent="0.25">
      <c r="A2427" t="s">
        <v>3588</v>
      </c>
      <c r="B2427" t="s">
        <v>3601</v>
      </c>
      <c r="C2427" t="s">
        <v>1365</v>
      </c>
      <c r="D2427" t="s">
        <v>3603</v>
      </c>
      <c r="E2427" t="s">
        <v>3604</v>
      </c>
    </row>
    <row r="2428" spans="1:5" x14ac:dyDescent="0.25">
      <c r="A2428" t="s">
        <v>3588</v>
      </c>
      <c r="B2428" t="s">
        <v>3601</v>
      </c>
      <c r="C2428" t="s">
        <v>1305</v>
      </c>
      <c r="D2428" t="s">
        <v>3607</v>
      </c>
      <c r="E2428" t="s">
        <v>3608</v>
      </c>
    </row>
    <row r="2429" spans="1:5" x14ac:dyDescent="0.25">
      <c r="A2429" t="s">
        <v>3588</v>
      </c>
      <c r="B2429" t="s">
        <v>3601</v>
      </c>
      <c r="C2429" t="s">
        <v>516</v>
      </c>
      <c r="D2429" t="s">
        <v>3607</v>
      </c>
      <c r="E2429" t="s">
        <v>3608</v>
      </c>
    </row>
    <row r="2430" spans="1:5" x14ac:dyDescent="0.25">
      <c r="A2430" t="s">
        <v>3588</v>
      </c>
      <c r="B2430" t="s">
        <v>3601</v>
      </c>
      <c r="C2430" t="s">
        <v>32</v>
      </c>
      <c r="D2430" t="s">
        <v>3602</v>
      </c>
      <c r="E2430" t="s">
        <v>3609</v>
      </c>
    </row>
    <row r="2431" spans="1:5" x14ac:dyDescent="0.25">
      <c r="A2431" t="s">
        <v>3588</v>
      </c>
      <c r="B2431" t="s">
        <v>3601</v>
      </c>
      <c r="C2431" t="s">
        <v>2649</v>
      </c>
      <c r="D2431" t="s">
        <v>3603</v>
      </c>
      <c r="E2431" t="s">
        <v>3603</v>
      </c>
    </row>
    <row r="2432" spans="1:5" x14ac:dyDescent="0.25">
      <c r="A2432" t="s">
        <v>3588</v>
      </c>
      <c r="B2432" t="s">
        <v>3601</v>
      </c>
      <c r="C2432" t="s">
        <v>2474</v>
      </c>
      <c r="D2432" t="s">
        <v>3607</v>
      </c>
      <c r="E2432" t="s">
        <v>3608</v>
      </c>
    </row>
    <row r="2433" spans="1:5" x14ac:dyDescent="0.25">
      <c r="A2433" t="s">
        <v>3588</v>
      </c>
      <c r="B2433" t="s">
        <v>3601</v>
      </c>
      <c r="C2433" t="s">
        <v>2684</v>
      </c>
      <c r="D2433" t="s">
        <v>3606</v>
      </c>
      <c r="E2433" t="s">
        <v>3609</v>
      </c>
    </row>
    <row r="2434" spans="1:5" x14ac:dyDescent="0.25">
      <c r="A2434" t="s">
        <v>3588</v>
      </c>
      <c r="B2434" t="s">
        <v>3601</v>
      </c>
      <c r="C2434" t="s">
        <v>1769</v>
      </c>
      <c r="D2434" t="s">
        <v>3602</v>
      </c>
      <c r="E2434" t="s">
        <v>3609</v>
      </c>
    </row>
    <row r="2435" spans="1:5" x14ac:dyDescent="0.25">
      <c r="A2435" t="s">
        <v>3588</v>
      </c>
      <c r="B2435" t="s">
        <v>3601</v>
      </c>
      <c r="C2435" t="s">
        <v>2228</v>
      </c>
      <c r="D2435" t="s">
        <v>3602</v>
      </c>
      <c r="E2435" t="s">
        <v>3603</v>
      </c>
    </row>
    <row r="2436" spans="1:5" x14ac:dyDescent="0.25">
      <c r="A2436" t="s">
        <v>3588</v>
      </c>
      <c r="B2436" t="s">
        <v>3601</v>
      </c>
      <c r="C2436" t="s">
        <v>2743</v>
      </c>
      <c r="D2436" t="s">
        <v>3603</v>
      </c>
      <c r="E2436" t="s">
        <v>3604</v>
      </c>
    </row>
    <row r="2437" spans="1:5" x14ac:dyDescent="0.25">
      <c r="A2437" t="s">
        <v>3588</v>
      </c>
      <c r="B2437" t="s">
        <v>3601</v>
      </c>
      <c r="C2437" t="s">
        <v>778</v>
      </c>
      <c r="D2437" t="s">
        <v>3603</v>
      </c>
      <c r="E2437" t="s">
        <v>3609</v>
      </c>
    </row>
    <row r="2438" spans="1:5" x14ac:dyDescent="0.25">
      <c r="A2438" t="s">
        <v>3588</v>
      </c>
      <c r="B2438" t="s">
        <v>3601</v>
      </c>
      <c r="C2438" t="s">
        <v>1266</v>
      </c>
      <c r="D2438" t="s">
        <v>3606</v>
      </c>
      <c r="E2438" t="s">
        <v>3605</v>
      </c>
    </row>
    <row r="2439" spans="1:5" x14ac:dyDescent="0.25">
      <c r="A2439" t="s">
        <v>3588</v>
      </c>
      <c r="B2439" t="s">
        <v>3601</v>
      </c>
      <c r="C2439" t="s">
        <v>2153</v>
      </c>
      <c r="D2439" t="s">
        <v>3603</v>
      </c>
      <c r="E2439" t="s">
        <v>3604</v>
      </c>
    </row>
    <row r="2440" spans="1:5" x14ac:dyDescent="0.25">
      <c r="A2440" t="s">
        <v>3588</v>
      </c>
      <c r="B2440" t="s">
        <v>3601</v>
      </c>
      <c r="C2440" t="s">
        <v>2163</v>
      </c>
      <c r="D2440" t="s">
        <v>3607</v>
      </c>
      <c r="E2440" t="s">
        <v>3608</v>
      </c>
    </row>
    <row r="2441" spans="1:5" x14ac:dyDescent="0.25">
      <c r="A2441" t="s">
        <v>3588</v>
      </c>
      <c r="B2441" t="s">
        <v>3601</v>
      </c>
      <c r="C2441" t="s">
        <v>2381</v>
      </c>
      <c r="D2441" t="s">
        <v>3602</v>
      </c>
      <c r="E2441" t="s">
        <v>3603</v>
      </c>
    </row>
    <row r="2442" spans="1:5" x14ac:dyDescent="0.25">
      <c r="A2442" t="s">
        <v>3588</v>
      </c>
      <c r="B2442" t="s">
        <v>3601</v>
      </c>
      <c r="C2442" t="s">
        <v>1529</v>
      </c>
      <c r="D2442" t="s">
        <v>3603</v>
      </c>
      <c r="E2442" t="s">
        <v>3604</v>
      </c>
    </row>
    <row r="2443" spans="1:5" x14ac:dyDescent="0.25">
      <c r="A2443" t="s">
        <v>3588</v>
      </c>
      <c r="B2443" t="s">
        <v>3601</v>
      </c>
      <c r="C2443" t="s">
        <v>1902</v>
      </c>
      <c r="D2443" t="s">
        <v>3606</v>
      </c>
      <c r="E2443" t="s">
        <v>3609</v>
      </c>
    </row>
    <row r="2444" spans="1:5" x14ac:dyDescent="0.25">
      <c r="A2444" t="s">
        <v>3588</v>
      </c>
      <c r="B2444" t="s">
        <v>3601</v>
      </c>
      <c r="C2444" t="s">
        <v>1694</v>
      </c>
      <c r="D2444" t="s">
        <v>3603</v>
      </c>
      <c r="E2444" t="s">
        <v>3603</v>
      </c>
    </row>
    <row r="2445" spans="1:5" x14ac:dyDescent="0.25">
      <c r="A2445" t="s">
        <v>3588</v>
      </c>
      <c r="B2445" t="s">
        <v>3601</v>
      </c>
      <c r="C2445" t="s">
        <v>2638</v>
      </c>
      <c r="D2445" t="s">
        <v>3606</v>
      </c>
      <c r="E2445" t="s">
        <v>3609</v>
      </c>
    </row>
    <row r="2446" spans="1:5" x14ac:dyDescent="0.25">
      <c r="A2446" t="s">
        <v>3588</v>
      </c>
      <c r="B2446" t="s">
        <v>3601</v>
      </c>
      <c r="C2446" t="s">
        <v>1710</v>
      </c>
      <c r="D2446" t="s">
        <v>3602</v>
      </c>
      <c r="E2446" t="s">
        <v>3604</v>
      </c>
    </row>
    <row r="2447" spans="1:5" x14ac:dyDescent="0.25">
      <c r="A2447" t="s">
        <v>3588</v>
      </c>
      <c r="B2447" t="s">
        <v>3601</v>
      </c>
      <c r="C2447" t="s">
        <v>870</v>
      </c>
      <c r="D2447" t="s">
        <v>3602</v>
      </c>
      <c r="E2447" t="s">
        <v>3605</v>
      </c>
    </row>
    <row r="2448" spans="1:5" x14ac:dyDescent="0.25">
      <c r="A2448" t="s">
        <v>3588</v>
      </c>
      <c r="B2448" t="s">
        <v>3601</v>
      </c>
      <c r="C2448" t="s">
        <v>2193</v>
      </c>
      <c r="D2448" t="s">
        <v>3607</v>
      </c>
      <c r="E2448" t="s">
        <v>3608</v>
      </c>
    </row>
    <row r="2449" spans="1:5" x14ac:dyDescent="0.25">
      <c r="A2449" t="s">
        <v>3588</v>
      </c>
      <c r="B2449" t="s">
        <v>3601</v>
      </c>
      <c r="C2449" t="s">
        <v>1066</v>
      </c>
      <c r="D2449" t="s">
        <v>3602</v>
      </c>
      <c r="E2449" t="s">
        <v>3604</v>
      </c>
    </row>
    <row r="2450" spans="1:5" x14ac:dyDescent="0.25">
      <c r="A2450" t="s">
        <v>3588</v>
      </c>
      <c r="B2450" t="s">
        <v>3601</v>
      </c>
      <c r="C2450" t="s">
        <v>1194</v>
      </c>
      <c r="D2450" t="s">
        <v>3606</v>
      </c>
      <c r="E2450" t="s">
        <v>3609</v>
      </c>
    </row>
    <row r="2451" spans="1:5" x14ac:dyDescent="0.25">
      <c r="A2451" t="s">
        <v>3588</v>
      </c>
      <c r="B2451" t="s">
        <v>3601</v>
      </c>
      <c r="C2451" t="s">
        <v>143</v>
      </c>
      <c r="D2451" t="s">
        <v>3603</v>
      </c>
      <c r="E2451" t="s">
        <v>3605</v>
      </c>
    </row>
    <row r="2452" spans="1:5" x14ac:dyDescent="0.25">
      <c r="A2452" t="s">
        <v>3588</v>
      </c>
      <c r="B2452" t="s">
        <v>3601</v>
      </c>
      <c r="C2452" t="s">
        <v>1041</v>
      </c>
      <c r="D2452" t="s">
        <v>3603</v>
      </c>
      <c r="E2452" t="s">
        <v>3604</v>
      </c>
    </row>
    <row r="2453" spans="1:5" x14ac:dyDescent="0.25">
      <c r="A2453" t="s">
        <v>3588</v>
      </c>
      <c r="B2453" t="s">
        <v>3601</v>
      </c>
      <c r="C2453" t="s">
        <v>1161</v>
      </c>
      <c r="D2453" t="s">
        <v>3607</v>
      </c>
      <c r="E2453" t="s">
        <v>3608</v>
      </c>
    </row>
    <row r="2454" spans="1:5" x14ac:dyDescent="0.25">
      <c r="A2454" t="s">
        <v>3588</v>
      </c>
      <c r="B2454" t="s">
        <v>3601</v>
      </c>
      <c r="C2454" t="s">
        <v>1912</v>
      </c>
      <c r="D2454" t="s">
        <v>3603</v>
      </c>
      <c r="E2454" t="s">
        <v>3609</v>
      </c>
    </row>
    <row r="2455" spans="1:5" x14ac:dyDescent="0.25">
      <c r="A2455" t="s">
        <v>3588</v>
      </c>
      <c r="B2455" t="s">
        <v>3601</v>
      </c>
      <c r="C2455" t="s">
        <v>349</v>
      </c>
      <c r="D2455" t="s">
        <v>3606</v>
      </c>
      <c r="E2455" t="s">
        <v>3604</v>
      </c>
    </row>
    <row r="2456" spans="1:5" x14ac:dyDescent="0.25">
      <c r="A2456" t="s">
        <v>3588</v>
      </c>
      <c r="B2456" t="s">
        <v>3601</v>
      </c>
      <c r="C2456" t="s">
        <v>914</v>
      </c>
      <c r="D2456" t="s">
        <v>3602</v>
      </c>
      <c r="E2456" t="s">
        <v>3604</v>
      </c>
    </row>
    <row r="2457" spans="1:5" x14ac:dyDescent="0.25">
      <c r="A2457" t="s">
        <v>3588</v>
      </c>
      <c r="B2457" t="s">
        <v>3601</v>
      </c>
      <c r="C2457" t="s">
        <v>1428</v>
      </c>
      <c r="D2457" t="s">
        <v>3606</v>
      </c>
      <c r="E2457" t="s">
        <v>3605</v>
      </c>
    </row>
    <row r="2458" spans="1:5" x14ac:dyDescent="0.25">
      <c r="A2458" t="s">
        <v>3588</v>
      </c>
      <c r="B2458" t="s">
        <v>3601</v>
      </c>
      <c r="C2458" t="s">
        <v>935</v>
      </c>
      <c r="D2458" t="s">
        <v>3606</v>
      </c>
      <c r="E2458" t="s">
        <v>3604</v>
      </c>
    </row>
    <row r="2459" spans="1:5" x14ac:dyDescent="0.25">
      <c r="A2459" t="s">
        <v>3588</v>
      </c>
      <c r="B2459" t="s">
        <v>3601</v>
      </c>
      <c r="C2459" t="s">
        <v>745</v>
      </c>
      <c r="D2459" t="s">
        <v>3606</v>
      </c>
      <c r="E2459" t="s">
        <v>3605</v>
      </c>
    </row>
    <row r="2460" spans="1:5" x14ac:dyDescent="0.25">
      <c r="A2460" t="s">
        <v>3588</v>
      </c>
      <c r="B2460" t="s">
        <v>3601</v>
      </c>
      <c r="C2460" t="s">
        <v>1558</v>
      </c>
      <c r="D2460" t="s">
        <v>3607</v>
      </c>
      <c r="E2460" t="s">
        <v>3608</v>
      </c>
    </row>
    <row r="2461" spans="1:5" x14ac:dyDescent="0.25">
      <c r="A2461" t="s">
        <v>3588</v>
      </c>
      <c r="B2461" t="s">
        <v>3601</v>
      </c>
      <c r="C2461" t="s">
        <v>1724</v>
      </c>
      <c r="D2461" t="s">
        <v>3602</v>
      </c>
      <c r="E2461" t="s">
        <v>3604</v>
      </c>
    </row>
    <row r="2462" spans="1:5" x14ac:dyDescent="0.25">
      <c r="A2462" t="s">
        <v>3588</v>
      </c>
      <c r="B2462" t="s">
        <v>3601</v>
      </c>
      <c r="C2462" t="s">
        <v>601</v>
      </c>
      <c r="D2462" t="s">
        <v>3602</v>
      </c>
      <c r="E2462" t="s">
        <v>3609</v>
      </c>
    </row>
    <row r="2463" spans="1:5" x14ac:dyDescent="0.25">
      <c r="A2463" t="s">
        <v>3588</v>
      </c>
      <c r="B2463" t="s">
        <v>3601</v>
      </c>
      <c r="C2463" t="s">
        <v>2017</v>
      </c>
      <c r="D2463" t="s">
        <v>3606</v>
      </c>
      <c r="E2463" t="s">
        <v>3604</v>
      </c>
    </row>
    <row r="2464" spans="1:5" x14ac:dyDescent="0.25">
      <c r="A2464" t="s">
        <v>3588</v>
      </c>
      <c r="B2464" t="s">
        <v>3601</v>
      </c>
      <c r="C2464" t="s">
        <v>2335</v>
      </c>
      <c r="D2464" t="s">
        <v>3602</v>
      </c>
      <c r="E2464" t="s">
        <v>3604</v>
      </c>
    </row>
    <row r="2465" spans="1:5" x14ac:dyDescent="0.25">
      <c r="A2465" t="s">
        <v>3588</v>
      </c>
      <c r="B2465" t="s">
        <v>3601</v>
      </c>
      <c r="C2465" t="s">
        <v>1518</v>
      </c>
      <c r="D2465" t="s">
        <v>3607</v>
      </c>
      <c r="E2465" t="s">
        <v>3608</v>
      </c>
    </row>
    <row r="2466" spans="1:5" x14ac:dyDescent="0.25">
      <c r="A2466" t="s">
        <v>3588</v>
      </c>
      <c r="B2466" t="s">
        <v>3601</v>
      </c>
      <c r="C2466" t="s">
        <v>2714</v>
      </c>
      <c r="D2466" t="s">
        <v>3603</v>
      </c>
      <c r="E2466" t="s">
        <v>3603</v>
      </c>
    </row>
    <row r="2467" spans="1:5" x14ac:dyDescent="0.25">
      <c r="A2467" t="s">
        <v>3588</v>
      </c>
      <c r="B2467" t="s">
        <v>3601</v>
      </c>
      <c r="C2467" t="s">
        <v>2238</v>
      </c>
      <c r="D2467" t="s">
        <v>3607</v>
      </c>
      <c r="E2467" t="s">
        <v>3608</v>
      </c>
    </row>
    <row r="2468" spans="1:5" x14ac:dyDescent="0.25">
      <c r="A2468" t="s">
        <v>3588</v>
      </c>
      <c r="B2468" t="s">
        <v>3601</v>
      </c>
      <c r="C2468" t="s">
        <v>922</v>
      </c>
      <c r="D2468" t="s">
        <v>3607</v>
      </c>
      <c r="E2468" t="s">
        <v>3608</v>
      </c>
    </row>
    <row r="2469" spans="1:5" x14ac:dyDescent="0.25">
      <c r="A2469" t="s">
        <v>3588</v>
      </c>
      <c r="B2469" t="s">
        <v>3601</v>
      </c>
      <c r="C2469" t="s">
        <v>1757</v>
      </c>
      <c r="D2469" t="s">
        <v>3607</v>
      </c>
      <c r="E2469" t="s">
        <v>3608</v>
      </c>
    </row>
    <row r="2470" spans="1:5" x14ac:dyDescent="0.25">
      <c r="A2470" t="s">
        <v>3588</v>
      </c>
      <c r="B2470" t="s">
        <v>3601</v>
      </c>
      <c r="C2470" t="s">
        <v>2207</v>
      </c>
      <c r="D2470" t="s">
        <v>3603</v>
      </c>
      <c r="E2470" t="s">
        <v>3605</v>
      </c>
    </row>
    <row r="2471" spans="1:5" x14ac:dyDescent="0.25">
      <c r="A2471" t="s">
        <v>3588</v>
      </c>
      <c r="B2471" t="s">
        <v>3601</v>
      </c>
      <c r="C2471" t="s">
        <v>1624</v>
      </c>
      <c r="D2471" t="s">
        <v>3603</v>
      </c>
      <c r="E2471" t="s">
        <v>3609</v>
      </c>
    </row>
    <row r="2472" spans="1:5" x14ac:dyDescent="0.25">
      <c r="A2472" t="s">
        <v>3588</v>
      </c>
      <c r="B2472" t="s">
        <v>3601</v>
      </c>
      <c r="C2472" t="s">
        <v>2404</v>
      </c>
      <c r="D2472" t="s">
        <v>3602</v>
      </c>
      <c r="E2472" t="s">
        <v>3605</v>
      </c>
    </row>
    <row r="2473" spans="1:5" x14ac:dyDescent="0.25">
      <c r="A2473" t="s">
        <v>3588</v>
      </c>
      <c r="B2473" t="s">
        <v>3601</v>
      </c>
      <c r="C2473" t="s">
        <v>228</v>
      </c>
      <c r="D2473" t="s">
        <v>3607</v>
      </c>
      <c r="E2473" t="s">
        <v>3608</v>
      </c>
    </row>
    <row r="2474" spans="1:5" x14ac:dyDescent="0.25">
      <c r="A2474" t="s">
        <v>3588</v>
      </c>
      <c r="B2474" t="s">
        <v>3601</v>
      </c>
      <c r="C2474" t="s">
        <v>2522</v>
      </c>
      <c r="D2474" t="s">
        <v>3607</v>
      </c>
      <c r="E2474" t="s">
        <v>3608</v>
      </c>
    </row>
    <row r="2475" spans="1:5" x14ac:dyDescent="0.25">
      <c r="A2475" t="s">
        <v>3588</v>
      </c>
      <c r="B2475" t="s">
        <v>3601</v>
      </c>
      <c r="C2475" t="s">
        <v>717</v>
      </c>
      <c r="D2475" t="s">
        <v>3602</v>
      </c>
      <c r="E2475" t="s">
        <v>3605</v>
      </c>
    </row>
    <row r="2476" spans="1:5" x14ac:dyDescent="0.25">
      <c r="A2476" t="s">
        <v>3588</v>
      </c>
      <c r="B2476" t="s">
        <v>3601</v>
      </c>
      <c r="C2476" t="s">
        <v>816</v>
      </c>
      <c r="D2476" t="s">
        <v>3606</v>
      </c>
      <c r="E2476" t="s">
        <v>3605</v>
      </c>
    </row>
    <row r="2477" spans="1:5" x14ac:dyDescent="0.25">
      <c r="A2477" t="s">
        <v>3588</v>
      </c>
      <c r="B2477" t="s">
        <v>3601</v>
      </c>
      <c r="C2477" t="s">
        <v>527</v>
      </c>
      <c r="D2477" t="s">
        <v>3606</v>
      </c>
      <c r="E2477" t="s">
        <v>3604</v>
      </c>
    </row>
    <row r="2478" spans="1:5" x14ac:dyDescent="0.25">
      <c r="A2478" t="s">
        <v>3588</v>
      </c>
      <c r="B2478" t="s">
        <v>3601</v>
      </c>
      <c r="C2478" t="s">
        <v>509</v>
      </c>
      <c r="D2478" t="s">
        <v>3607</v>
      </c>
      <c r="E2478" t="s">
        <v>3608</v>
      </c>
    </row>
    <row r="2479" spans="1:5" x14ac:dyDescent="0.25">
      <c r="A2479" t="s">
        <v>3588</v>
      </c>
      <c r="B2479" t="s">
        <v>3601</v>
      </c>
      <c r="C2479" t="s">
        <v>1145</v>
      </c>
      <c r="D2479" t="s">
        <v>3606</v>
      </c>
      <c r="E2479" t="s">
        <v>3605</v>
      </c>
    </row>
    <row r="2480" spans="1:5" x14ac:dyDescent="0.25">
      <c r="A2480" t="s">
        <v>3588</v>
      </c>
      <c r="B2480" t="s">
        <v>3601</v>
      </c>
      <c r="C2480" t="s">
        <v>771</v>
      </c>
      <c r="D2480" t="s">
        <v>3602</v>
      </c>
      <c r="E2480" t="s">
        <v>3604</v>
      </c>
    </row>
    <row r="2481" spans="1:5" x14ac:dyDescent="0.25">
      <c r="A2481" t="s">
        <v>3588</v>
      </c>
      <c r="B2481" t="s">
        <v>3601</v>
      </c>
      <c r="C2481" t="s">
        <v>1204</v>
      </c>
      <c r="D2481" t="s">
        <v>3606</v>
      </c>
      <c r="E2481" t="s">
        <v>3609</v>
      </c>
    </row>
    <row r="2482" spans="1:5" x14ac:dyDescent="0.25">
      <c r="A2482" t="s">
        <v>3588</v>
      </c>
      <c r="B2482" t="s">
        <v>3601</v>
      </c>
      <c r="C2482" t="s">
        <v>2203</v>
      </c>
      <c r="D2482" t="s">
        <v>3606</v>
      </c>
      <c r="E2482" t="s">
        <v>3603</v>
      </c>
    </row>
    <row r="2483" spans="1:5" x14ac:dyDescent="0.25">
      <c r="A2483" t="s">
        <v>3588</v>
      </c>
      <c r="B2483" t="s">
        <v>3601</v>
      </c>
      <c r="C2483" t="s">
        <v>2858</v>
      </c>
      <c r="D2483" t="s">
        <v>3607</v>
      </c>
      <c r="E2483" t="s">
        <v>3608</v>
      </c>
    </row>
    <row r="2484" spans="1:5" x14ac:dyDescent="0.25">
      <c r="A2484" t="s">
        <v>3588</v>
      </c>
      <c r="B2484" t="s">
        <v>3601</v>
      </c>
      <c r="C2484" t="s">
        <v>2853</v>
      </c>
      <c r="D2484" t="s">
        <v>3606</v>
      </c>
      <c r="E2484" t="s">
        <v>3609</v>
      </c>
    </row>
    <row r="2485" spans="1:5" x14ac:dyDescent="0.25">
      <c r="A2485" t="s">
        <v>3588</v>
      </c>
      <c r="B2485" t="s">
        <v>3601</v>
      </c>
      <c r="C2485" t="s">
        <v>893</v>
      </c>
      <c r="D2485" t="s">
        <v>3603</v>
      </c>
      <c r="E2485" t="s">
        <v>3605</v>
      </c>
    </row>
    <row r="2486" spans="1:5" x14ac:dyDescent="0.25">
      <c r="A2486" t="s">
        <v>3588</v>
      </c>
      <c r="B2486" t="s">
        <v>3601</v>
      </c>
      <c r="C2486" t="s">
        <v>2340</v>
      </c>
      <c r="D2486" t="s">
        <v>3602</v>
      </c>
      <c r="E2486" t="s">
        <v>3609</v>
      </c>
    </row>
    <row r="2487" spans="1:5" x14ac:dyDescent="0.25">
      <c r="A2487" t="s">
        <v>3588</v>
      </c>
      <c r="B2487" t="s">
        <v>3610</v>
      </c>
      <c r="C2487" t="s">
        <v>2913</v>
      </c>
      <c r="D2487" t="s">
        <v>3611</v>
      </c>
      <c r="E2487" t="s">
        <v>3608</v>
      </c>
    </row>
    <row r="2488" spans="1:5" x14ac:dyDescent="0.25">
      <c r="A2488" t="s">
        <v>3590</v>
      </c>
      <c r="B2488" t="s">
        <v>3601</v>
      </c>
      <c r="C2488" t="s">
        <v>124</v>
      </c>
      <c r="D2488" t="s">
        <v>3607</v>
      </c>
      <c r="E2488" t="s">
        <v>3608</v>
      </c>
    </row>
    <row r="2489" spans="1:5" x14ac:dyDescent="0.25">
      <c r="A2489" t="s">
        <v>3590</v>
      </c>
      <c r="B2489" t="s">
        <v>3601</v>
      </c>
      <c r="C2489" t="s">
        <v>1183</v>
      </c>
      <c r="D2489" t="s">
        <v>3606</v>
      </c>
      <c r="E2489" t="s">
        <v>3605</v>
      </c>
    </row>
    <row r="2490" spans="1:5" x14ac:dyDescent="0.25">
      <c r="A2490" t="s">
        <v>3590</v>
      </c>
      <c r="B2490" t="s">
        <v>3601</v>
      </c>
      <c r="C2490" t="s">
        <v>1454</v>
      </c>
      <c r="D2490" t="s">
        <v>3602</v>
      </c>
      <c r="E2490" t="s">
        <v>3604</v>
      </c>
    </row>
    <row r="2491" spans="1:5" x14ac:dyDescent="0.25">
      <c r="A2491" t="s">
        <v>3590</v>
      </c>
      <c r="B2491" t="s">
        <v>3601</v>
      </c>
      <c r="C2491" t="s">
        <v>1388</v>
      </c>
      <c r="D2491" t="s">
        <v>3602</v>
      </c>
      <c r="E2491" t="s">
        <v>3609</v>
      </c>
    </row>
    <row r="2492" spans="1:5" x14ac:dyDescent="0.25">
      <c r="A2492" t="s">
        <v>3590</v>
      </c>
      <c r="B2492" t="s">
        <v>3601</v>
      </c>
      <c r="C2492" t="s">
        <v>1413</v>
      </c>
      <c r="D2492" t="s">
        <v>3603</v>
      </c>
      <c r="E2492" t="s">
        <v>3605</v>
      </c>
    </row>
    <row r="2493" spans="1:5" x14ac:dyDescent="0.25">
      <c r="A2493" t="s">
        <v>3590</v>
      </c>
      <c r="B2493" t="s">
        <v>3601</v>
      </c>
      <c r="C2493" t="s">
        <v>2532</v>
      </c>
      <c r="D2493" t="s">
        <v>3602</v>
      </c>
      <c r="E2493" t="s">
        <v>3604</v>
      </c>
    </row>
    <row r="2494" spans="1:5" x14ac:dyDescent="0.25">
      <c r="A2494" t="s">
        <v>3590</v>
      </c>
      <c r="B2494" t="s">
        <v>3601</v>
      </c>
      <c r="C2494" t="s">
        <v>2419</v>
      </c>
      <c r="D2494" t="s">
        <v>3606</v>
      </c>
      <c r="E2494" t="s">
        <v>3605</v>
      </c>
    </row>
    <row r="2495" spans="1:5" x14ac:dyDescent="0.25">
      <c r="A2495" t="s">
        <v>3590</v>
      </c>
      <c r="B2495" t="s">
        <v>3601</v>
      </c>
      <c r="C2495" t="s">
        <v>1237</v>
      </c>
      <c r="D2495" t="s">
        <v>3603</v>
      </c>
      <c r="E2495" t="s">
        <v>3609</v>
      </c>
    </row>
    <row r="2496" spans="1:5" x14ac:dyDescent="0.25">
      <c r="A2496" t="s">
        <v>3590</v>
      </c>
      <c r="B2496" t="s">
        <v>3601</v>
      </c>
      <c r="C2496" t="s">
        <v>1023</v>
      </c>
      <c r="D2496" t="s">
        <v>3606</v>
      </c>
      <c r="E2496" t="s">
        <v>3609</v>
      </c>
    </row>
    <row r="2497" spans="1:5" x14ac:dyDescent="0.25">
      <c r="A2497" t="s">
        <v>3590</v>
      </c>
      <c r="B2497" t="s">
        <v>3601</v>
      </c>
      <c r="C2497" t="s">
        <v>1199</v>
      </c>
      <c r="D2497" t="s">
        <v>3602</v>
      </c>
      <c r="E2497" t="s">
        <v>3609</v>
      </c>
    </row>
    <row r="2498" spans="1:5" x14ac:dyDescent="0.25">
      <c r="A2498" t="s">
        <v>3590</v>
      </c>
      <c r="B2498" t="s">
        <v>3601</v>
      </c>
      <c r="C2498" t="s">
        <v>2644</v>
      </c>
      <c r="D2498" t="s">
        <v>3606</v>
      </c>
      <c r="E2498" t="s">
        <v>3605</v>
      </c>
    </row>
    <row r="2499" spans="1:5" x14ac:dyDescent="0.25">
      <c r="A2499" t="s">
        <v>3590</v>
      </c>
      <c r="B2499" t="s">
        <v>3601</v>
      </c>
      <c r="C2499" t="s">
        <v>1007</v>
      </c>
      <c r="D2499" t="s">
        <v>3607</v>
      </c>
      <c r="E2499" t="s">
        <v>3608</v>
      </c>
    </row>
    <row r="2500" spans="1:5" x14ac:dyDescent="0.25">
      <c r="A2500" t="s">
        <v>3590</v>
      </c>
      <c r="B2500" t="s">
        <v>3601</v>
      </c>
      <c r="C2500" t="s">
        <v>2163</v>
      </c>
      <c r="D2500" t="s">
        <v>3606</v>
      </c>
      <c r="E2500" t="s">
        <v>3603</v>
      </c>
    </row>
    <row r="2501" spans="1:5" x14ac:dyDescent="0.25">
      <c r="A2501" t="s">
        <v>3590</v>
      </c>
      <c r="B2501" t="s">
        <v>3601</v>
      </c>
      <c r="C2501" t="s">
        <v>2188</v>
      </c>
      <c r="D2501" t="s">
        <v>3606</v>
      </c>
      <c r="E2501" t="s">
        <v>3605</v>
      </c>
    </row>
    <row r="2502" spans="1:5" x14ac:dyDescent="0.25">
      <c r="A2502" t="s">
        <v>3590</v>
      </c>
      <c r="B2502" t="s">
        <v>3601</v>
      </c>
      <c r="C2502" t="s">
        <v>1358</v>
      </c>
      <c r="D2502" t="s">
        <v>3602</v>
      </c>
      <c r="E2502" t="s">
        <v>3604</v>
      </c>
    </row>
    <row r="2503" spans="1:5" x14ac:dyDescent="0.25">
      <c r="A2503" t="s">
        <v>3590</v>
      </c>
      <c r="B2503" t="s">
        <v>3601</v>
      </c>
      <c r="C2503" t="s">
        <v>2758</v>
      </c>
      <c r="D2503" t="s">
        <v>3607</v>
      </c>
      <c r="E2503" t="s">
        <v>3608</v>
      </c>
    </row>
    <row r="2504" spans="1:5" x14ac:dyDescent="0.25">
      <c r="A2504" t="s">
        <v>3590</v>
      </c>
      <c r="B2504" t="s">
        <v>3601</v>
      </c>
      <c r="C2504" t="s">
        <v>2148</v>
      </c>
      <c r="D2504" t="s">
        <v>3606</v>
      </c>
      <c r="E2504" t="s">
        <v>3605</v>
      </c>
    </row>
    <row r="2505" spans="1:5" x14ac:dyDescent="0.25">
      <c r="A2505" t="s">
        <v>3590</v>
      </c>
      <c r="B2505" t="s">
        <v>3601</v>
      </c>
      <c r="C2505" t="s">
        <v>1242</v>
      </c>
      <c r="D2505" t="s">
        <v>3602</v>
      </c>
      <c r="E2505" t="s">
        <v>3609</v>
      </c>
    </row>
    <row r="2506" spans="1:5" x14ac:dyDescent="0.25">
      <c r="A2506" t="s">
        <v>3590</v>
      </c>
      <c r="B2506" t="s">
        <v>3601</v>
      </c>
      <c r="C2506" t="s">
        <v>1902</v>
      </c>
      <c r="D2506" t="s">
        <v>3602</v>
      </c>
      <c r="E2506" t="s">
        <v>3603</v>
      </c>
    </row>
    <row r="2507" spans="1:5" x14ac:dyDescent="0.25">
      <c r="A2507" t="s">
        <v>3590</v>
      </c>
      <c r="B2507" t="s">
        <v>3601</v>
      </c>
      <c r="C2507" t="s">
        <v>1612</v>
      </c>
      <c r="D2507" t="s">
        <v>3602</v>
      </c>
      <c r="E2507" t="s">
        <v>3605</v>
      </c>
    </row>
    <row r="2508" spans="1:5" x14ac:dyDescent="0.25">
      <c r="A2508" t="s">
        <v>3590</v>
      </c>
      <c r="B2508" t="s">
        <v>3601</v>
      </c>
      <c r="C2508" t="s">
        <v>477</v>
      </c>
      <c r="D2508" t="s">
        <v>3606</v>
      </c>
      <c r="E2508" t="s">
        <v>3605</v>
      </c>
    </row>
    <row r="2509" spans="1:5" x14ac:dyDescent="0.25">
      <c r="A2509" t="s">
        <v>3590</v>
      </c>
      <c r="B2509" t="s">
        <v>3601</v>
      </c>
      <c r="C2509" t="s">
        <v>2267</v>
      </c>
      <c r="D2509" t="s">
        <v>3607</v>
      </c>
      <c r="E2509" t="s">
        <v>3608</v>
      </c>
    </row>
    <row r="2510" spans="1:5" x14ac:dyDescent="0.25">
      <c r="A2510" t="s">
        <v>3590</v>
      </c>
      <c r="B2510" t="s">
        <v>3601</v>
      </c>
      <c r="C2510" t="s">
        <v>1932</v>
      </c>
      <c r="D2510" t="s">
        <v>3603</v>
      </c>
      <c r="E2510" t="s">
        <v>3609</v>
      </c>
    </row>
    <row r="2511" spans="1:5" x14ac:dyDescent="0.25">
      <c r="A2511" t="s">
        <v>3590</v>
      </c>
      <c r="B2511" t="s">
        <v>3601</v>
      </c>
      <c r="C2511" t="s">
        <v>1539</v>
      </c>
      <c r="D2511" t="s">
        <v>3602</v>
      </c>
      <c r="E2511" t="s">
        <v>3603</v>
      </c>
    </row>
    <row r="2512" spans="1:5" x14ac:dyDescent="0.25">
      <c r="A2512" t="s">
        <v>3590</v>
      </c>
      <c r="B2512" t="s">
        <v>3601</v>
      </c>
      <c r="C2512" t="s">
        <v>2788</v>
      </c>
      <c r="D2512" t="s">
        <v>3602</v>
      </c>
      <c r="E2512" t="s">
        <v>3603</v>
      </c>
    </row>
    <row r="2513" spans="1:5" x14ac:dyDescent="0.25">
      <c r="A2513" t="s">
        <v>3590</v>
      </c>
      <c r="B2513" t="s">
        <v>3601</v>
      </c>
      <c r="C2513" t="s">
        <v>556</v>
      </c>
      <c r="D2513" t="s">
        <v>3602</v>
      </c>
      <c r="E2513" t="s">
        <v>3605</v>
      </c>
    </row>
    <row r="2514" spans="1:5" x14ac:dyDescent="0.25">
      <c r="A2514" t="s">
        <v>3590</v>
      </c>
      <c r="B2514" t="s">
        <v>3601</v>
      </c>
      <c r="C2514" t="s">
        <v>179</v>
      </c>
      <c r="D2514" t="s">
        <v>3607</v>
      </c>
      <c r="E2514" t="s">
        <v>3608</v>
      </c>
    </row>
    <row r="2515" spans="1:5" x14ac:dyDescent="0.25">
      <c r="A2515" t="s">
        <v>3590</v>
      </c>
      <c r="B2515" t="s">
        <v>3601</v>
      </c>
      <c r="C2515" t="s">
        <v>766</v>
      </c>
      <c r="D2515" t="s">
        <v>3602</v>
      </c>
      <c r="E2515" t="s">
        <v>3609</v>
      </c>
    </row>
    <row r="2516" spans="1:5" x14ac:dyDescent="0.25">
      <c r="A2516" t="s">
        <v>3590</v>
      </c>
      <c r="B2516" t="s">
        <v>3601</v>
      </c>
      <c r="C2516" t="s">
        <v>1769</v>
      </c>
      <c r="D2516" t="s">
        <v>3606</v>
      </c>
      <c r="E2516" t="s">
        <v>3605</v>
      </c>
    </row>
    <row r="2517" spans="1:5" x14ac:dyDescent="0.25">
      <c r="A2517" t="s">
        <v>3590</v>
      </c>
      <c r="B2517" t="s">
        <v>3601</v>
      </c>
      <c r="C2517" t="s">
        <v>1820</v>
      </c>
      <c r="D2517" t="s">
        <v>3607</v>
      </c>
      <c r="E2517" t="s">
        <v>3608</v>
      </c>
    </row>
    <row r="2518" spans="1:5" x14ac:dyDescent="0.25">
      <c r="A2518" t="s">
        <v>3590</v>
      </c>
      <c r="B2518" t="s">
        <v>3601</v>
      </c>
      <c r="C2518" t="s">
        <v>1353</v>
      </c>
      <c r="D2518" t="s">
        <v>3607</v>
      </c>
      <c r="E2518" t="s">
        <v>3608</v>
      </c>
    </row>
    <row r="2519" spans="1:5" x14ac:dyDescent="0.25">
      <c r="A2519" t="s">
        <v>3590</v>
      </c>
      <c r="B2519" t="s">
        <v>3601</v>
      </c>
      <c r="C2519" t="s">
        <v>1066</v>
      </c>
      <c r="D2519" t="s">
        <v>3602</v>
      </c>
      <c r="E2519" t="s">
        <v>3604</v>
      </c>
    </row>
    <row r="2520" spans="1:5" x14ac:dyDescent="0.25">
      <c r="A2520" t="s">
        <v>3590</v>
      </c>
      <c r="B2520" t="s">
        <v>3610</v>
      </c>
      <c r="C2520" t="s">
        <v>2887</v>
      </c>
      <c r="D2520" t="s">
        <v>3606</v>
      </c>
      <c r="E2520" t="s">
        <v>3608</v>
      </c>
    </row>
    <row r="2521" spans="1:5" x14ac:dyDescent="0.25">
      <c r="A2521" t="s">
        <v>3590</v>
      </c>
      <c r="B2521" t="s">
        <v>3610</v>
      </c>
      <c r="C2521" t="s">
        <v>2924</v>
      </c>
      <c r="D2521" t="s">
        <v>3606</v>
      </c>
      <c r="E2521" t="s">
        <v>3608</v>
      </c>
    </row>
    <row r="2522" spans="1:5" x14ac:dyDescent="0.25">
      <c r="A2522" t="s">
        <v>3590</v>
      </c>
      <c r="B2522" t="s">
        <v>3610</v>
      </c>
      <c r="C2522" t="s">
        <v>2894</v>
      </c>
      <c r="D2522" t="s">
        <v>3612</v>
      </c>
      <c r="E2522" t="s">
        <v>3608</v>
      </c>
    </row>
    <row r="2523" spans="1:5" x14ac:dyDescent="0.25">
      <c r="A2523" t="s">
        <v>3591</v>
      </c>
      <c r="B2523" t="s">
        <v>3601</v>
      </c>
      <c r="C2523" t="s">
        <v>1237</v>
      </c>
      <c r="D2523" t="s">
        <v>3606</v>
      </c>
      <c r="E2523" t="s">
        <v>3605</v>
      </c>
    </row>
    <row r="2524" spans="1:5" x14ac:dyDescent="0.25">
      <c r="A2524" t="s">
        <v>3591</v>
      </c>
      <c r="B2524" t="s">
        <v>3601</v>
      </c>
      <c r="C2524" t="s">
        <v>1221</v>
      </c>
      <c r="D2524" t="s">
        <v>3602</v>
      </c>
      <c r="E2524" t="s">
        <v>3604</v>
      </c>
    </row>
    <row r="2525" spans="1:5" x14ac:dyDescent="0.25">
      <c r="A2525" t="s">
        <v>3591</v>
      </c>
      <c r="B2525" t="s">
        <v>3601</v>
      </c>
      <c r="C2525" t="s">
        <v>852</v>
      </c>
      <c r="D2525" t="s">
        <v>3607</v>
      </c>
      <c r="E2525" t="s">
        <v>3608</v>
      </c>
    </row>
    <row r="2526" spans="1:5" x14ac:dyDescent="0.25">
      <c r="A2526" t="s">
        <v>3591</v>
      </c>
      <c r="B2526" t="s">
        <v>3601</v>
      </c>
      <c r="C2526" t="s">
        <v>1805</v>
      </c>
      <c r="D2526" t="s">
        <v>3606</v>
      </c>
      <c r="E2526" t="s">
        <v>3605</v>
      </c>
    </row>
    <row r="2527" spans="1:5" x14ac:dyDescent="0.25">
      <c r="A2527" t="s">
        <v>3591</v>
      </c>
      <c r="B2527" t="s">
        <v>3601</v>
      </c>
      <c r="C2527" t="s">
        <v>2464</v>
      </c>
      <c r="D2527" t="s">
        <v>3602</v>
      </c>
      <c r="E2527" t="s">
        <v>3609</v>
      </c>
    </row>
    <row r="2528" spans="1:5" x14ac:dyDescent="0.25">
      <c r="A2528" t="s">
        <v>3591</v>
      </c>
      <c r="B2528" t="s">
        <v>3601</v>
      </c>
      <c r="C2528" t="s">
        <v>2263</v>
      </c>
      <c r="D2528" t="s">
        <v>3603</v>
      </c>
      <c r="E2528" t="s">
        <v>3609</v>
      </c>
    </row>
    <row r="2529" spans="1:5" x14ac:dyDescent="0.25">
      <c r="A2529" t="s">
        <v>3591</v>
      </c>
      <c r="B2529" t="s">
        <v>3601</v>
      </c>
      <c r="C2529" t="s">
        <v>2100</v>
      </c>
      <c r="D2529" t="s">
        <v>3602</v>
      </c>
      <c r="E2529" t="s">
        <v>3604</v>
      </c>
    </row>
    <row r="2530" spans="1:5" x14ac:dyDescent="0.25">
      <c r="A2530" t="s">
        <v>3591</v>
      </c>
      <c r="B2530" t="s">
        <v>3601</v>
      </c>
      <c r="C2530" t="s">
        <v>1927</v>
      </c>
      <c r="D2530" t="s">
        <v>3607</v>
      </c>
      <c r="E2530" t="s">
        <v>3608</v>
      </c>
    </row>
    <row r="2531" spans="1:5" x14ac:dyDescent="0.25">
      <c r="A2531" t="s">
        <v>3591</v>
      </c>
      <c r="B2531" t="s">
        <v>3601</v>
      </c>
      <c r="C2531" t="s">
        <v>650</v>
      </c>
      <c r="D2531" t="s">
        <v>3607</v>
      </c>
      <c r="E2531" t="s">
        <v>3608</v>
      </c>
    </row>
    <row r="2532" spans="1:5" x14ac:dyDescent="0.25">
      <c r="A2532" t="s">
        <v>3591</v>
      </c>
      <c r="B2532" t="s">
        <v>3601</v>
      </c>
      <c r="C2532" t="s">
        <v>2091</v>
      </c>
      <c r="D2532" t="s">
        <v>3607</v>
      </c>
      <c r="E2532" t="s">
        <v>3608</v>
      </c>
    </row>
    <row r="2533" spans="1:5" x14ac:dyDescent="0.25">
      <c r="A2533" t="s">
        <v>3591</v>
      </c>
      <c r="B2533" t="s">
        <v>3601</v>
      </c>
      <c r="C2533" t="s">
        <v>304</v>
      </c>
      <c r="D2533" t="s">
        <v>3603</v>
      </c>
      <c r="E2533" t="s">
        <v>3603</v>
      </c>
    </row>
    <row r="2534" spans="1:5" x14ac:dyDescent="0.25">
      <c r="A2534" t="s">
        <v>3591</v>
      </c>
      <c r="B2534" t="s">
        <v>3601</v>
      </c>
      <c r="C2534" t="s">
        <v>2243</v>
      </c>
      <c r="D2534" t="s">
        <v>3602</v>
      </c>
      <c r="E2534" t="s">
        <v>3604</v>
      </c>
    </row>
    <row r="2535" spans="1:5" x14ac:dyDescent="0.25">
      <c r="A2535" t="s">
        <v>3591</v>
      </c>
      <c r="B2535" t="s">
        <v>3601</v>
      </c>
      <c r="C2535" t="s">
        <v>1672</v>
      </c>
      <c r="D2535" t="s">
        <v>3607</v>
      </c>
      <c r="E2535" t="s">
        <v>3608</v>
      </c>
    </row>
    <row r="2536" spans="1:5" x14ac:dyDescent="0.25">
      <c r="A2536" t="s">
        <v>3591</v>
      </c>
      <c r="B2536" t="s">
        <v>3601</v>
      </c>
      <c r="C2536" t="s">
        <v>1513</v>
      </c>
      <c r="D2536" t="s">
        <v>3602</v>
      </c>
      <c r="E2536" t="s">
        <v>3603</v>
      </c>
    </row>
    <row r="2537" spans="1:5" x14ac:dyDescent="0.25">
      <c r="A2537" t="s">
        <v>3591</v>
      </c>
      <c r="B2537" t="s">
        <v>3601</v>
      </c>
      <c r="C2537" t="s">
        <v>2433</v>
      </c>
      <c r="D2537" t="s">
        <v>3603</v>
      </c>
      <c r="E2537" t="s">
        <v>3609</v>
      </c>
    </row>
    <row r="2538" spans="1:5" x14ac:dyDescent="0.25">
      <c r="A2538" t="s">
        <v>3591</v>
      </c>
      <c r="B2538" t="s">
        <v>3601</v>
      </c>
      <c r="C2538" t="s">
        <v>858</v>
      </c>
      <c r="D2538" t="s">
        <v>3603</v>
      </c>
      <c r="E2538" t="s">
        <v>3609</v>
      </c>
    </row>
    <row r="2539" spans="1:5" x14ac:dyDescent="0.25">
      <c r="A2539" t="s">
        <v>3591</v>
      </c>
      <c r="B2539" t="s">
        <v>3601</v>
      </c>
      <c r="C2539" t="s">
        <v>783</v>
      </c>
      <c r="D2539" t="s">
        <v>3603</v>
      </c>
      <c r="E2539" t="s">
        <v>3604</v>
      </c>
    </row>
    <row r="2540" spans="1:5" x14ac:dyDescent="0.25">
      <c r="A2540" t="s">
        <v>3591</v>
      </c>
      <c r="B2540" t="s">
        <v>3601</v>
      </c>
      <c r="C2540" t="s">
        <v>816</v>
      </c>
      <c r="D2540" t="s">
        <v>3602</v>
      </c>
      <c r="E2540" t="s">
        <v>3604</v>
      </c>
    </row>
    <row r="2541" spans="1:5" x14ac:dyDescent="0.25">
      <c r="A2541" t="s">
        <v>3591</v>
      </c>
      <c r="B2541" t="s">
        <v>3601</v>
      </c>
      <c r="C2541" t="s">
        <v>577</v>
      </c>
      <c r="D2541" t="s">
        <v>3606</v>
      </c>
      <c r="E2541" t="s">
        <v>3609</v>
      </c>
    </row>
    <row r="2542" spans="1:5" x14ac:dyDescent="0.25">
      <c r="A2542" t="s">
        <v>3591</v>
      </c>
      <c r="B2542" t="s">
        <v>3601</v>
      </c>
      <c r="C2542" t="s">
        <v>2709</v>
      </c>
      <c r="D2542" t="s">
        <v>3603</v>
      </c>
      <c r="E2542" t="s">
        <v>3603</v>
      </c>
    </row>
    <row r="2543" spans="1:5" x14ac:dyDescent="0.25">
      <c r="A2543" t="s">
        <v>3591</v>
      </c>
      <c r="B2543" t="s">
        <v>3601</v>
      </c>
      <c r="C2543" t="s">
        <v>2597</v>
      </c>
      <c r="D2543" t="s">
        <v>3606</v>
      </c>
      <c r="E2543" t="s">
        <v>3603</v>
      </c>
    </row>
    <row r="2544" spans="1:5" x14ac:dyDescent="0.25">
      <c r="A2544" t="s">
        <v>3591</v>
      </c>
      <c r="B2544" t="s">
        <v>3601</v>
      </c>
      <c r="C2544" t="s">
        <v>377</v>
      </c>
      <c r="D2544" t="s">
        <v>3606</v>
      </c>
      <c r="E2544" t="s">
        <v>3603</v>
      </c>
    </row>
    <row r="2545" spans="1:5" x14ac:dyDescent="0.25">
      <c r="A2545" t="s">
        <v>3591</v>
      </c>
      <c r="B2545" t="s">
        <v>3601</v>
      </c>
      <c r="C2545" t="s">
        <v>914</v>
      </c>
      <c r="D2545" t="s">
        <v>3607</v>
      </c>
      <c r="E2545" t="s">
        <v>3608</v>
      </c>
    </row>
    <row r="2546" spans="1:5" x14ac:dyDescent="0.25">
      <c r="A2546" t="s">
        <v>3591</v>
      </c>
      <c r="B2546" t="s">
        <v>3601</v>
      </c>
      <c r="C2546" t="s">
        <v>2798</v>
      </c>
      <c r="D2546" t="s">
        <v>3602</v>
      </c>
      <c r="E2546" t="s">
        <v>3609</v>
      </c>
    </row>
    <row r="2547" spans="1:5" x14ac:dyDescent="0.25">
      <c r="A2547" t="s">
        <v>3591</v>
      </c>
      <c r="B2547" t="s">
        <v>3601</v>
      </c>
      <c r="C2547" t="s">
        <v>484</v>
      </c>
      <c r="D2547" t="s">
        <v>3602</v>
      </c>
      <c r="E2547" t="s">
        <v>3603</v>
      </c>
    </row>
    <row r="2548" spans="1:5" x14ac:dyDescent="0.25">
      <c r="A2548" t="s">
        <v>3591</v>
      </c>
      <c r="B2548" t="s">
        <v>3601</v>
      </c>
      <c r="C2548" t="s">
        <v>1731</v>
      </c>
      <c r="D2548" t="s">
        <v>3606</v>
      </c>
      <c r="E2548" t="s">
        <v>3605</v>
      </c>
    </row>
    <row r="2549" spans="1:5" x14ac:dyDescent="0.25">
      <c r="A2549" t="s">
        <v>3591</v>
      </c>
      <c r="B2549" t="s">
        <v>3601</v>
      </c>
      <c r="C2549" t="s">
        <v>1591</v>
      </c>
      <c r="D2549" t="s">
        <v>3606</v>
      </c>
      <c r="E2549" t="s">
        <v>3603</v>
      </c>
    </row>
    <row r="2550" spans="1:5" x14ac:dyDescent="0.25">
      <c r="A2550" t="s">
        <v>3591</v>
      </c>
      <c r="B2550" t="s">
        <v>3601</v>
      </c>
      <c r="C2550" t="s">
        <v>2613</v>
      </c>
      <c r="D2550" t="s">
        <v>3602</v>
      </c>
      <c r="E2550" t="s">
        <v>3609</v>
      </c>
    </row>
    <row r="2551" spans="1:5" x14ac:dyDescent="0.25">
      <c r="A2551" t="s">
        <v>3591</v>
      </c>
      <c r="B2551" t="s">
        <v>3601</v>
      </c>
      <c r="C2551" t="s">
        <v>2037</v>
      </c>
      <c r="D2551" t="s">
        <v>3603</v>
      </c>
      <c r="E2551" t="s">
        <v>3609</v>
      </c>
    </row>
    <row r="2552" spans="1:5" x14ac:dyDescent="0.25">
      <c r="A2552" t="s">
        <v>3591</v>
      </c>
      <c r="B2552" t="s">
        <v>3601</v>
      </c>
      <c r="C2552" t="s">
        <v>1969</v>
      </c>
      <c r="D2552" t="s">
        <v>3602</v>
      </c>
      <c r="E2552" t="s">
        <v>3609</v>
      </c>
    </row>
    <row r="2553" spans="1:5" x14ac:dyDescent="0.25">
      <c r="A2553" t="s">
        <v>3591</v>
      </c>
      <c r="B2553" t="s">
        <v>3601</v>
      </c>
      <c r="C2553" t="s">
        <v>1023</v>
      </c>
      <c r="D2553" t="s">
        <v>3603</v>
      </c>
      <c r="E2553" t="s">
        <v>3609</v>
      </c>
    </row>
    <row r="2554" spans="1:5" x14ac:dyDescent="0.25">
      <c r="A2554" t="s">
        <v>3591</v>
      </c>
      <c r="B2554" t="s">
        <v>3601</v>
      </c>
      <c r="C2554" t="s">
        <v>723</v>
      </c>
      <c r="D2554" t="s">
        <v>3606</v>
      </c>
      <c r="E2554" t="s">
        <v>3604</v>
      </c>
    </row>
    <row r="2555" spans="1:5" x14ac:dyDescent="0.25">
      <c r="A2555" t="s">
        <v>3591</v>
      </c>
      <c r="B2555" t="s">
        <v>3601</v>
      </c>
      <c r="C2555" t="s">
        <v>1072</v>
      </c>
      <c r="D2555" t="s">
        <v>3606</v>
      </c>
      <c r="E2555" t="s">
        <v>3605</v>
      </c>
    </row>
    <row r="2556" spans="1:5" x14ac:dyDescent="0.25">
      <c r="A2556" t="s">
        <v>3591</v>
      </c>
      <c r="B2556" t="s">
        <v>3601</v>
      </c>
      <c r="C2556" t="s">
        <v>2052</v>
      </c>
      <c r="D2556" t="s">
        <v>3606</v>
      </c>
      <c r="E2556" t="s">
        <v>3605</v>
      </c>
    </row>
    <row r="2557" spans="1:5" x14ac:dyDescent="0.25">
      <c r="A2557" t="s">
        <v>3591</v>
      </c>
      <c r="B2557" t="s">
        <v>3601</v>
      </c>
      <c r="C2557" t="s">
        <v>1413</v>
      </c>
      <c r="D2557" t="s">
        <v>3603</v>
      </c>
      <c r="E2557" t="s">
        <v>3603</v>
      </c>
    </row>
    <row r="2558" spans="1:5" x14ac:dyDescent="0.25">
      <c r="A2558" t="s">
        <v>3591</v>
      </c>
      <c r="B2558" t="s">
        <v>3601</v>
      </c>
      <c r="C2558" t="s">
        <v>275</v>
      </c>
      <c r="D2558" t="s">
        <v>3607</v>
      </c>
      <c r="E2558" t="s">
        <v>3608</v>
      </c>
    </row>
    <row r="2559" spans="1:5" x14ac:dyDescent="0.25">
      <c r="A2559" t="s">
        <v>3591</v>
      </c>
      <c r="B2559" t="s">
        <v>3601</v>
      </c>
      <c r="C2559" t="s">
        <v>2127</v>
      </c>
      <c r="D2559" t="s">
        <v>3602</v>
      </c>
      <c r="E2559" t="s">
        <v>3605</v>
      </c>
    </row>
    <row r="2560" spans="1:5" x14ac:dyDescent="0.25">
      <c r="A2560" t="s">
        <v>3591</v>
      </c>
      <c r="B2560" t="s">
        <v>3601</v>
      </c>
      <c r="C2560" t="s">
        <v>711</v>
      </c>
      <c r="D2560" t="s">
        <v>3603</v>
      </c>
      <c r="E2560" t="s">
        <v>3604</v>
      </c>
    </row>
    <row r="2561" spans="1:5" x14ac:dyDescent="0.25">
      <c r="A2561" t="s">
        <v>3591</v>
      </c>
      <c r="B2561" t="s">
        <v>3601</v>
      </c>
      <c r="C2561" t="s">
        <v>2659</v>
      </c>
      <c r="D2561" t="s">
        <v>3607</v>
      </c>
      <c r="E2561" t="s">
        <v>3608</v>
      </c>
    </row>
    <row r="2562" spans="1:5" x14ac:dyDescent="0.25">
      <c r="A2562" t="s">
        <v>3591</v>
      </c>
      <c r="B2562" t="s">
        <v>3601</v>
      </c>
      <c r="C2562" t="s">
        <v>2454</v>
      </c>
      <c r="D2562" t="s">
        <v>3606</v>
      </c>
      <c r="E2562" t="s">
        <v>3609</v>
      </c>
    </row>
    <row r="2563" spans="1:5" x14ac:dyDescent="0.25">
      <c r="A2563" t="s">
        <v>3591</v>
      </c>
      <c r="B2563" t="s">
        <v>3601</v>
      </c>
      <c r="C2563" t="s">
        <v>44</v>
      </c>
      <c r="D2563" t="s">
        <v>3602</v>
      </c>
      <c r="E2563" t="s">
        <v>3603</v>
      </c>
    </row>
    <row r="2564" spans="1:5" x14ac:dyDescent="0.25">
      <c r="A2564" t="s">
        <v>3591</v>
      </c>
      <c r="B2564" t="s">
        <v>3601</v>
      </c>
      <c r="C2564" t="s">
        <v>1740</v>
      </c>
      <c r="D2564" t="s">
        <v>3607</v>
      </c>
      <c r="E2564" t="s">
        <v>3608</v>
      </c>
    </row>
    <row r="2565" spans="1:5" x14ac:dyDescent="0.25">
      <c r="A2565" t="s">
        <v>3591</v>
      </c>
      <c r="B2565" t="s">
        <v>3601</v>
      </c>
      <c r="C2565" t="s">
        <v>809</v>
      </c>
      <c r="D2565" t="s">
        <v>3607</v>
      </c>
      <c r="E2565" t="s">
        <v>3608</v>
      </c>
    </row>
    <row r="2566" spans="1:5" x14ac:dyDescent="0.25">
      <c r="A2566" t="s">
        <v>3591</v>
      </c>
      <c r="B2566" t="s">
        <v>3601</v>
      </c>
      <c r="C2566" t="s">
        <v>2592</v>
      </c>
      <c r="D2566" t="s">
        <v>3602</v>
      </c>
      <c r="E2566" t="s">
        <v>3603</v>
      </c>
    </row>
    <row r="2567" spans="1:5" x14ac:dyDescent="0.25">
      <c r="A2567" t="s">
        <v>3591</v>
      </c>
      <c r="B2567" t="s">
        <v>3601</v>
      </c>
      <c r="C2567" t="s">
        <v>2654</v>
      </c>
      <c r="D2567" t="s">
        <v>3602</v>
      </c>
      <c r="E2567" t="s">
        <v>3605</v>
      </c>
    </row>
    <row r="2568" spans="1:5" x14ac:dyDescent="0.25">
      <c r="A2568" t="s">
        <v>3591</v>
      </c>
      <c r="B2568" t="s">
        <v>3601</v>
      </c>
      <c r="C2568" t="s">
        <v>1656</v>
      </c>
      <c r="D2568" t="s">
        <v>3603</v>
      </c>
      <c r="E2568" t="s">
        <v>3604</v>
      </c>
    </row>
    <row r="2569" spans="1:5" x14ac:dyDescent="0.25">
      <c r="A2569" t="s">
        <v>3591</v>
      </c>
      <c r="B2569" t="s">
        <v>3601</v>
      </c>
      <c r="C2569" t="s">
        <v>1100</v>
      </c>
      <c r="D2569" t="s">
        <v>3606</v>
      </c>
      <c r="E2569" t="s">
        <v>3605</v>
      </c>
    </row>
    <row r="2570" spans="1:5" x14ac:dyDescent="0.25">
      <c r="A2570" t="s">
        <v>3591</v>
      </c>
      <c r="B2570" t="s">
        <v>3601</v>
      </c>
      <c r="C2570" t="s">
        <v>571</v>
      </c>
      <c r="D2570" t="s">
        <v>3606</v>
      </c>
      <c r="E2570" t="s">
        <v>3603</v>
      </c>
    </row>
    <row r="2571" spans="1:5" x14ac:dyDescent="0.25">
      <c r="A2571" t="s">
        <v>3591</v>
      </c>
      <c r="B2571" t="s">
        <v>3601</v>
      </c>
      <c r="C2571" t="s">
        <v>2522</v>
      </c>
      <c r="D2571" t="s">
        <v>3606</v>
      </c>
      <c r="E2571" t="s">
        <v>3605</v>
      </c>
    </row>
    <row r="2572" spans="1:5" x14ac:dyDescent="0.25">
      <c r="A2572" t="s">
        <v>3591</v>
      </c>
      <c r="B2572" t="s">
        <v>3601</v>
      </c>
      <c r="C2572" t="s">
        <v>477</v>
      </c>
      <c r="D2572" t="s">
        <v>3607</v>
      </c>
      <c r="E2572" t="s">
        <v>3608</v>
      </c>
    </row>
    <row r="2573" spans="1:5" x14ac:dyDescent="0.25">
      <c r="A2573" t="s">
        <v>3591</v>
      </c>
      <c r="B2573" t="s">
        <v>3601</v>
      </c>
      <c r="C2573" t="s">
        <v>1963</v>
      </c>
      <c r="D2573" t="s">
        <v>3607</v>
      </c>
      <c r="E2573" t="s">
        <v>3608</v>
      </c>
    </row>
    <row r="2574" spans="1:5" x14ac:dyDescent="0.25">
      <c r="A2574" t="s">
        <v>3591</v>
      </c>
      <c r="B2574" t="s">
        <v>3601</v>
      </c>
      <c r="C2574" t="s">
        <v>2449</v>
      </c>
      <c r="D2574" t="s">
        <v>3603</v>
      </c>
      <c r="E2574" t="s">
        <v>3605</v>
      </c>
    </row>
    <row r="2575" spans="1:5" x14ac:dyDescent="0.25">
      <c r="A2575" t="s">
        <v>3591</v>
      </c>
      <c r="B2575" t="s">
        <v>3601</v>
      </c>
      <c r="C2575" t="s">
        <v>1242</v>
      </c>
      <c r="D2575" t="s">
        <v>3606</v>
      </c>
      <c r="E2575" t="s">
        <v>3609</v>
      </c>
    </row>
    <row r="2576" spans="1:5" x14ac:dyDescent="0.25">
      <c r="A2576" t="s">
        <v>3591</v>
      </c>
      <c r="B2576" t="s">
        <v>3601</v>
      </c>
      <c r="C2576" t="s">
        <v>1779</v>
      </c>
      <c r="D2576" t="s">
        <v>3607</v>
      </c>
      <c r="E2576" t="s">
        <v>3608</v>
      </c>
    </row>
    <row r="2577" spans="1:5" x14ac:dyDescent="0.25">
      <c r="A2577" t="s">
        <v>3591</v>
      </c>
      <c r="B2577" t="s">
        <v>3601</v>
      </c>
      <c r="C2577" t="s">
        <v>503</v>
      </c>
      <c r="D2577" t="s">
        <v>3603</v>
      </c>
      <c r="E2577" t="s">
        <v>3605</v>
      </c>
    </row>
    <row r="2578" spans="1:5" x14ac:dyDescent="0.25">
      <c r="A2578" t="s">
        <v>3591</v>
      </c>
      <c r="B2578" t="s">
        <v>3601</v>
      </c>
      <c r="C2578" t="s">
        <v>86</v>
      </c>
      <c r="D2578" t="s">
        <v>3603</v>
      </c>
      <c r="E2578" t="s">
        <v>3609</v>
      </c>
    </row>
    <row r="2579" spans="1:5" x14ac:dyDescent="0.25">
      <c r="A2579" t="s">
        <v>3591</v>
      </c>
      <c r="B2579" t="s">
        <v>3601</v>
      </c>
      <c r="C2579" t="s">
        <v>2376</v>
      </c>
      <c r="D2579" t="s">
        <v>3607</v>
      </c>
      <c r="E2579" t="s">
        <v>3608</v>
      </c>
    </row>
    <row r="2580" spans="1:5" x14ac:dyDescent="0.25">
      <c r="A2580" t="s">
        <v>3591</v>
      </c>
      <c r="B2580" t="s">
        <v>3601</v>
      </c>
      <c r="C2580" t="s">
        <v>496</v>
      </c>
      <c r="D2580" t="s">
        <v>3607</v>
      </c>
      <c r="E2580" t="s">
        <v>3608</v>
      </c>
    </row>
    <row r="2581" spans="1:5" x14ac:dyDescent="0.25">
      <c r="A2581" t="s">
        <v>3591</v>
      </c>
      <c r="B2581" t="s">
        <v>3601</v>
      </c>
      <c r="C2581" t="s">
        <v>456</v>
      </c>
      <c r="D2581" t="s">
        <v>3606</v>
      </c>
      <c r="E2581" t="s">
        <v>3603</v>
      </c>
    </row>
    <row r="2582" spans="1:5" x14ac:dyDescent="0.25">
      <c r="A2582" t="s">
        <v>3591</v>
      </c>
      <c r="B2582" t="s">
        <v>3601</v>
      </c>
      <c r="C2582" t="s">
        <v>1194</v>
      </c>
      <c r="D2582" t="s">
        <v>3602</v>
      </c>
      <c r="E2582" t="s">
        <v>3603</v>
      </c>
    </row>
    <row r="2583" spans="1:5" x14ac:dyDescent="0.25">
      <c r="A2583" t="s">
        <v>3591</v>
      </c>
      <c r="B2583" t="s">
        <v>3601</v>
      </c>
      <c r="C2583" t="s">
        <v>1752</v>
      </c>
      <c r="D2583" t="s">
        <v>3607</v>
      </c>
      <c r="E2583" t="s">
        <v>3608</v>
      </c>
    </row>
    <row r="2584" spans="1:5" x14ac:dyDescent="0.25">
      <c r="A2584" t="s">
        <v>3591</v>
      </c>
      <c r="B2584" t="s">
        <v>3601</v>
      </c>
      <c r="C2584" t="s">
        <v>2562</v>
      </c>
      <c r="D2584" t="s">
        <v>3603</v>
      </c>
      <c r="E2584" t="s">
        <v>3604</v>
      </c>
    </row>
    <row r="2585" spans="1:5" x14ac:dyDescent="0.25">
      <c r="A2585" t="s">
        <v>3591</v>
      </c>
      <c r="B2585" t="s">
        <v>3601</v>
      </c>
      <c r="C2585" t="s">
        <v>1216</v>
      </c>
      <c r="D2585" t="s">
        <v>3606</v>
      </c>
      <c r="E2585" t="s">
        <v>3609</v>
      </c>
    </row>
    <row r="2586" spans="1:5" x14ac:dyDescent="0.25">
      <c r="A2586" t="s">
        <v>3591</v>
      </c>
      <c r="B2586" t="s">
        <v>3601</v>
      </c>
      <c r="C2586" t="s">
        <v>1053</v>
      </c>
      <c r="D2586" t="s">
        <v>3603</v>
      </c>
      <c r="E2586" t="s">
        <v>3604</v>
      </c>
    </row>
    <row r="2587" spans="1:5" x14ac:dyDescent="0.25">
      <c r="A2587" t="s">
        <v>3591</v>
      </c>
      <c r="B2587" t="s">
        <v>3601</v>
      </c>
      <c r="C2587" t="s">
        <v>1746</v>
      </c>
      <c r="D2587" t="s">
        <v>3606</v>
      </c>
      <c r="E2587" t="s">
        <v>3609</v>
      </c>
    </row>
    <row r="2588" spans="1:5" x14ac:dyDescent="0.25">
      <c r="A2588" t="s">
        <v>3591</v>
      </c>
      <c r="B2588" t="s">
        <v>3601</v>
      </c>
      <c r="C2588" t="s">
        <v>415</v>
      </c>
      <c r="D2588" t="s">
        <v>3603</v>
      </c>
      <c r="E2588" t="s">
        <v>3605</v>
      </c>
    </row>
    <row r="2589" spans="1:5" x14ac:dyDescent="0.25">
      <c r="A2589" t="s">
        <v>3591</v>
      </c>
      <c r="B2589" t="s">
        <v>3601</v>
      </c>
      <c r="C2589" t="s">
        <v>2238</v>
      </c>
      <c r="D2589" t="s">
        <v>3607</v>
      </c>
      <c r="E2589" t="s">
        <v>3608</v>
      </c>
    </row>
    <row r="2590" spans="1:5" x14ac:dyDescent="0.25">
      <c r="A2590" t="s">
        <v>3591</v>
      </c>
      <c r="B2590" t="s">
        <v>3601</v>
      </c>
      <c r="C2590" t="s">
        <v>2517</v>
      </c>
      <c r="D2590" t="s">
        <v>3606</v>
      </c>
      <c r="E2590" t="s">
        <v>3609</v>
      </c>
    </row>
    <row r="2591" spans="1:5" x14ac:dyDescent="0.25">
      <c r="A2591" t="s">
        <v>3591</v>
      </c>
      <c r="B2591" t="s">
        <v>3601</v>
      </c>
      <c r="C2591" t="s">
        <v>2542</v>
      </c>
      <c r="D2591" t="s">
        <v>3606</v>
      </c>
      <c r="E2591" t="s">
        <v>3604</v>
      </c>
    </row>
    <row r="2592" spans="1:5" x14ac:dyDescent="0.25">
      <c r="A2592" t="s">
        <v>3591</v>
      </c>
      <c r="B2592" t="s">
        <v>3601</v>
      </c>
      <c r="C2592" t="s">
        <v>1601</v>
      </c>
      <c r="D2592" t="s">
        <v>3607</v>
      </c>
      <c r="E2592" t="s">
        <v>3608</v>
      </c>
    </row>
    <row r="2593" spans="1:5" x14ac:dyDescent="0.25">
      <c r="A2593" t="s">
        <v>3591</v>
      </c>
      <c r="B2593" t="s">
        <v>3601</v>
      </c>
      <c r="C2593" t="s">
        <v>1266</v>
      </c>
      <c r="D2593" t="s">
        <v>3606</v>
      </c>
      <c r="E2593" t="s">
        <v>3605</v>
      </c>
    </row>
    <row r="2594" spans="1:5" x14ac:dyDescent="0.25">
      <c r="A2594" t="s">
        <v>3591</v>
      </c>
      <c r="B2594" t="s">
        <v>3601</v>
      </c>
      <c r="C2594" t="s">
        <v>1116</v>
      </c>
      <c r="D2594" t="s">
        <v>3603</v>
      </c>
      <c r="E2594" t="s">
        <v>3604</v>
      </c>
    </row>
    <row r="2595" spans="1:5" x14ac:dyDescent="0.25">
      <c r="A2595" t="s">
        <v>3591</v>
      </c>
      <c r="B2595" t="s">
        <v>3601</v>
      </c>
      <c r="C2595" t="s">
        <v>2404</v>
      </c>
      <c r="D2595" t="s">
        <v>3603</v>
      </c>
      <c r="E2595" t="s">
        <v>3604</v>
      </c>
    </row>
    <row r="2596" spans="1:5" x14ac:dyDescent="0.25">
      <c r="A2596" t="s">
        <v>3591</v>
      </c>
      <c r="B2596" t="s">
        <v>3601</v>
      </c>
      <c r="C2596" t="s">
        <v>243</v>
      </c>
      <c r="D2596" t="s">
        <v>3603</v>
      </c>
      <c r="E2596" t="s">
        <v>3609</v>
      </c>
    </row>
    <row r="2597" spans="1:5" x14ac:dyDescent="0.25">
      <c r="A2597" t="s">
        <v>3591</v>
      </c>
      <c r="B2597" t="s">
        <v>3601</v>
      </c>
      <c r="C2597" t="s">
        <v>2390</v>
      </c>
      <c r="D2597" t="s">
        <v>3603</v>
      </c>
      <c r="E2597" t="s">
        <v>3604</v>
      </c>
    </row>
    <row r="2598" spans="1:5" x14ac:dyDescent="0.25">
      <c r="A2598" t="s">
        <v>3591</v>
      </c>
      <c r="B2598" t="s">
        <v>3601</v>
      </c>
      <c r="C2598" t="s">
        <v>2277</v>
      </c>
      <c r="D2598" t="s">
        <v>3603</v>
      </c>
      <c r="E2598" t="s">
        <v>3604</v>
      </c>
    </row>
    <row r="2599" spans="1:5" x14ac:dyDescent="0.25">
      <c r="A2599" t="s">
        <v>3591</v>
      </c>
      <c r="B2599" t="s">
        <v>3601</v>
      </c>
      <c r="C2599" t="s">
        <v>1135</v>
      </c>
      <c r="D2599" t="s">
        <v>3603</v>
      </c>
      <c r="E2599" t="s">
        <v>3605</v>
      </c>
    </row>
    <row r="2600" spans="1:5" x14ac:dyDescent="0.25">
      <c r="A2600" t="s">
        <v>3591</v>
      </c>
      <c r="B2600" t="s">
        <v>3601</v>
      </c>
      <c r="C2600" t="s">
        <v>1232</v>
      </c>
      <c r="D2600" t="s">
        <v>3606</v>
      </c>
      <c r="E2600" t="s">
        <v>3604</v>
      </c>
    </row>
    <row r="2601" spans="1:5" x14ac:dyDescent="0.25">
      <c r="A2601" t="s">
        <v>3591</v>
      </c>
      <c r="B2601" t="s">
        <v>3601</v>
      </c>
      <c r="C2601" t="s">
        <v>2788</v>
      </c>
      <c r="D2601" t="s">
        <v>3607</v>
      </c>
      <c r="E2601" t="s">
        <v>3608</v>
      </c>
    </row>
    <row r="2602" spans="1:5" x14ac:dyDescent="0.25">
      <c r="A2602" t="s">
        <v>3591</v>
      </c>
      <c r="B2602" t="s">
        <v>3601</v>
      </c>
      <c r="C2602" t="s">
        <v>169</v>
      </c>
      <c r="D2602" t="s">
        <v>3602</v>
      </c>
      <c r="E2602" t="s">
        <v>3603</v>
      </c>
    </row>
    <row r="2603" spans="1:5" x14ac:dyDescent="0.25">
      <c r="A2603" t="s">
        <v>3591</v>
      </c>
      <c r="B2603" t="s">
        <v>3601</v>
      </c>
      <c r="C2603" t="s">
        <v>1156</v>
      </c>
      <c r="D2603" t="s">
        <v>3607</v>
      </c>
      <c r="E2603" t="s">
        <v>3608</v>
      </c>
    </row>
    <row r="2604" spans="1:5" x14ac:dyDescent="0.25">
      <c r="A2604" t="s">
        <v>3591</v>
      </c>
      <c r="B2604" t="s">
        <v>3601</v>
      </c>
      <c r="C2604" t="s">
        <v>2537</v>
      </c>
      <c r="D2604" t="s">
        <v>3606</v>
      </c>
      <c r="E2604" t="s">
        <v>3604</v>
      </c>
    </row>
    <row r="2605" spans="1:5" x14ac:dyDescent="0.25">
      <c r="A2605" t="s">
        <v>3591</v>
      </c>
      <c r="B2605" t="s">
        <v>3601</v>
      </c>
      <c r="C2605" t="s">
        <v>1358</v>
      </c>
      <c r="D2605" t="s">
        <v>3602</v>
      </c>
      <c r="E2605" t="s">
        <v>3609</v>
      </c>
    </row>
    <row r="2606" spans="1:5" x14ac:dyDescent="0.25">
      <c r="A2606" t="s">
        <v>3591</v>
      </c>
      <c r="B2606" t="s">
        <v>3601</v>
      </c>
      <c r="C2606" t="s">
        <v>1428</v>
      </c>
      <c r="D2606" t="s">
        <v>3606</v>
      </c>
      <c r="E2606" t="s">
        <v>3609</v>
      </c>
    </row>
    <row r="2607" spans="1:5" x14ac:dyDescent="0.25">
      <c r="A2607" t="s">
        <v>3591</v>
      </c>
      <c r="B2607" t="s">
        <v>3601</v>
      </c>
      <c r="C2607" t="s">
        <v>2207</v>
      </c>
      <c r="D2607" t="s">
        <v>3607</v>
      </c>
      <c r="E2607" t="s">
        <v>3608</v>
      </c>
    </row>
    <row r="2608" spans="1:5" x14ac:dyDescent="0.25">
      <c r="A2608" t="s">
        <v>3591</v>
      </c>
      <c r="B2608" t="s">
        <v>3601</v>
      </c>
      <c r="C2608" t="s">
        <v>1282</v>
      </c>
      <c r="D2608" t="s">
        <v>3607</v>
      </c>
      <c r="E2608" t="s">
        <v>3608</v>
      </c>
    </row>
    <row r="2609" spans="1:5" x14ac:dyDescent="0.25">
      <c r="A2609" t="s">
        <v>3591</v>
      </c>
      <c r="B2609" t="s">
        <v>3601</v>
      </c>
      <c r="C2609" t="s">
        <v>2153</v>
      </c>
      <c r="D2609" t="s">
        <v>3606</v>
      </c>
      <c r="E2609" t="s">
        <v>3603</v>
      </c>
    </row>
    <row r="2610" spans="1:5" x14ac:dyDescent="0.25">
      <c r="A2610" t="s">
        <v>3591</v>
      </c>
      <c r="B2610" t="s">
        <v>3601</v>
      </c>
      <c r="C2610" t="s">
        <v>870</v>
      </c>
      <c r="D2610" t="s">
        <v>3603</v>
      </c>
      <c r="E2610" t="s">
        <v>3605</v>
      </c>
    </row>
    <row r="2611" spans="1:5" x14ac:dyDescent="0.25">
      <c r="A2611" t="s">
        <v>3591</v>
      </c>
      <c r="B2611" t="s">
        <v>3601</v>
      </c>
      <c r="C2611" t="s">
        <v>935</v>
      </c>
      <c r="D2611" t="s">
        <v>3603</v>
      </c>
      <c r="E2611" t="s">
        <v>3609</v>
      </c>
    </row>
    <row r="2612" spans="1:5" x14ac:dyDescent="0.25">
      <c r="A2612" t="s">
        <v>3591</v>
      </c>
      <c r="B2612" t="s">
        <v>3601</v>
      </c>
      <c r="C2612" t="s">
        <v>2272</v>
      </c>
      <c r="D2612" t="s">
        <v>3603</v>
      </c>
      <c r="E2612" t="s">
        <v>3605</v>
      </c>
    </row>
    <row r="2613" spans="1:5" x14ac:dyDescent="0.25">
      <c r="A2613" t="s">
        <v>3591</v>
      </c>
      <c r="B2613" t="s">
        <v>3601</v>
      </c>
      <c r="C2613" t="s">
        <v>205</v>
      </c>
      <c r="D2613" t="s">
        <v>3606</v>
      </c>
      <c r="E2613" t="s">
        <v>3604</v>
      </c>
    </row>
    <row r="2614" spans="1:5" x14ac:dyDescent="0.25">
      <c r="A2614" t="s">
        <v>3591</v>
      </c>
      <c r="B2614" t="s">
        <v>3601</v>
      </c>
      <c r="C2614" t="s">
        <v>1539</v>
      </c>
      <c r="D2614" t="s">
        <v>3602</v>
      </c>
      <c r="E2614" t="s">
        <v>3609</v>
      </c>
    </row>
    <row r="2615" spans="1:5" x14ac:dyDescent="0.25">
      <c r="A2615" t="s">
        <v>3591</v>
      </c>
      <c r="B2615" t="s">
        <v>3601</v>
      </c>
      <c r="C2615" t="s">
        <v>124</v>
      </c>
      <c r="D2615" t="s">
        <v>3606</v>
      </c>
      <c r="E2615" t="s">
        <v>3604</v>
      </c>
    </row>
    <row r="2616" spans="1:5" x14ac:dyDescent="0.25">
      <c r="A2616" t="s">
        <v>3591</v>
      </c>
      <c r="B2616" t="s">
        <v>3601</v>
      </c>
      <c r="C2616" t="s">
        <v>1892</v>
      </c>
      <c r="D2616" t="s">
        <v>3607</v>
      </c>
      <c r="E2616" t="s">
        <v>3608</v>
      </c>
    </row>
    <row r="2617" spans="1:5" x14ac:dyDescent="0.25">
      <c r="A2617" t="s">
        <v>3591</v>
      </c>
      <c r="B2617" t="s">
        <v>3601</v>
      </c>
      <c r="C2617" t="s">
        <v>803</v>
      </c>
      <c r="D2617" t="s">
        <v>3602</v>
      </c>
      <c r="E2617" t="s">
        <v>3605</v>
      </c>
    </row>
    <row r="2618" spans="1:5" x14ac:dyDescent="0.25">
      <c r="A2618" t="s">
        <v>3591</v>
      </c>
      <c r="B2618" t="s">
        <v>3601</v>
      </c>
      <c r="C2618" t="s">
        <v>2669</v>
      </c>
      <c r="D2618" t="s">
        <v>3602</v>
      </c>
      <c r="E2618" t="s">
        <v>3604</v>
      </c>
    </row>
    <row r="2619" spans="1:5" x14ac:dyDescent="0.25">
      <c r="A2619" t="s">
        <v>3591</v>
      </c>
      <c r="B2619" t="s">
        <v>3601</v>
      </c>
      <c r="C2619" t="s">
        <v>2399</v>
      </c>
      <c r="D2619" t="s">
        <v>3603</v>
      </c>
      <c r="E2619" t="s">
        <v>3604</v>
      </c>
    </row>
    <row r="2620" spans="1:5" x14ac:dyDescent="0.25">
      <c r="A2620" t="s">
        <v>3591</v>
      </c>
      <c r="B2620" t="s">
        <v>3601</v>
      </c>
      <c r="C2620" t="s">
        <v>2158</v>
      </c>
      <c r="D2620" t="s">
        <v>3602</v>
      </c>
      <c r="E2620" t="s">
        <v>3605</v>
      </c>
    </row>
    <row r="2621" spans="1:5" x14ac:dyDescent="0.25">
      <c r="A2621" t="s">
        <v>3591</v>
      </c>
      <c r="B2621" t="s">
        <v>3601</v>
      </c>
      <c r="C2621" t="s">
        <v>2459</v>
      </c>
      <c r="D2621" t="s">
        <v>3606</v>
      </c>
      <c r="E2621" t="s">
        <v>3605</v>
      </c>
    </row>
    <row r="2622" spans="1:5" x14ac:dyDescent="0.25">
      <c r="A2622" t="s">
        <v>3591</v>
      </c>
      <c r="B2622" t="s">
        <v>3601</v>
      </c>
      <c r="C2622" t="s">
        <v>1140</v>
      </c>
      <c r="D2622" t="s">
        <v>3607</v>
      </c>
      <c r="E2622" t="s">
        <v>3608</v>
      </c>
    </row>
    <row r="2623" spans="1:5" x14ac:dyDescent="0.25">
      <c r="A2623" t="s">
        <v>3591</v>
      </c>
      <c r="B2623" t="s">
        <v>3601</v>
      </c>
      <c r="C2623" t="s">
        <v>826</v>
      </c>
      <c r="D2623" t="s">
        <v>3603</v>
      </c>
      <c r="E2623" t="s">
        <v>3603</v>
      </c>
    </row>
    <row r="2624" spans="1:5" x14ac:dyDescent="0.25">
      <c r="A2624" t="s">
        <v>3591</v>
      </c>
      <c r="B2624" t="s">
        <v>3601</v>
      </c>
      <c r="C2624" t="s">
        <v>2853</v>
      </c>
      <c r="D2624" t="s">
        <v>3607</v>
      </c>
      <c r="E2624" t="s">
        <v>3608</v>
      </c>
    </row>
    <row r="2625" spans="1:5" x14ac:dyDescent="0.25">
      <c r="A2625" t="s">
        <v>3591</v>
      </c>
      <c r="B2625" t="s">
        <v>3601</v>
      </c>
      <c r="C2625" t="s">
        <v>1524</v>
      </c>
      <c r="D2625" t="s">
        <v>3603</v>
      </c>
      <c r="E2625" t="s">
        <v>3609</v>
      </c>
    </row>
    <row r="2626" spans="1:5" x14ac:dyDescent="0.25">
      <c r="A2626" t="s">
        <v>3591</v>
      </c>
      <c r="B2626" t="s">
        <v>3601</v>
      </c>
      <c r="C2626" t="s">
        <v>2409</v>
      </c>
      <c r="D2626" t="s">
        <v>3606</v>
      </c>
      <c r="E2626" t="s">
        <v>3604</v>
      </c>
    </row>
    <row r="2627" spans="1:5" x14ac:dyDescent="0.25">
      <c r="A2627" t="s">
        <v>3591</v>
      </c>
      <c r="B2627" t="s">
        <v>3601</v>
      </c>
      <c r="C2627" t="s">
        <v>960</v>
      </c>
      <c r="D2627" t="s">
        <v>3602</v>
      </c>
      <c r="E2627" t="s">
        <v>3604</v>
      </c>
    </row>
    <row r="2628" spans="1:5" x14ac:dyDescent="0.25">
      <c r="A2628" t="s">
        <v>3591</v>
      </c>
      <c r="B2628" t="s">
        <v>3601</v>
      </c>
      <c r="C2628" t="s">
        <v>2773</v>
      </c>
      <c r="D2628" t="s">
        <v>3602</v>
      </c>
      <c r="E2628" t="s">
        <v>3609</v>
      </c>
    </row>
    <row r="2629" spans="1:5" x14ac:dyDescent="0.25">
      <c r="A2629" t="s">
        <v>3591</v>
      </c>
      <c r="B2629" t="s">
        <v>3601</v>
      </c>
      <c r="C2629" t="s">
        <v>1294</v>
      </c>
      <c r="D2629" t="s">
        <v>3602</v>
      </c>
      <c r="E2629" t="s">
        <v>3605</v>
      </c>
    </row>
    <row r="2630" spans="1:5" x14ac:dyDescent="0.25">
      <c r="A2630" t="s">
        <v>3591</v>
      </c>
      <c r="B2630" t="s">
        <v>3601</v>
      </c>
      <c r="C2630" t="s">
        <v>1820</v>
      </c>
      <c r="D2630" t="s">
        <v>3606</v>
      </c>
      <c r="E2630" t="s">
        <v>3605</v>
      </c>
    </row>
    <row r="2631" spans="1:5" x14ac:dyDescent="0.25">
      <c r="A2631" t="s">
        <v>3591</v>
      </c>
      <c r="B2631" t="s">
        <v>3601</v>
      </c>
      <c r="C2631" t="s">
        <v>778</v>
      </c>
      <c r="D2631" t="s">
        <v>3602</v>
      </c>
      <c r="E2631" t="s">
        <v>3604</v>
      </c>
    </row>
    <row r="2632" spans="1:5" x14ac:dyDescent="0.25">
      <c r="A2632" t="s">
        <v>3591</v>
      </c>
      <c r="B2632" t="s">
        <v>3601</v>
      </c>
      <c r="C2632" t="s">
        <v>1575</v>
      </c>
      <c r="D2632" t="s">
        <v>3603</v>
      </c>
      <c r="E2632" t="s">
        <v>3605</v>
      </c>
    </row>
    <row r="2633" spans="1:5" x14ac:dyDescent="0.25">
      <c r="A2633" t="s">
        <v>3591</v>
      </c>
      <c r="B2633" t="s">
        <v>3601</v>
      </c>
      <c r="C2633" t="s">
        <v>2086</v>
      </c>
      <c r="D2633" t="s">
        <v>3606</v>
      </c>
      <c r="E2633" t="s">
        <v>3605</v>
      </c>
    </row>
    <row r="2634" spans="1:5" x14ac:dyDescent="0.25">
      <c r="A2634" t="s">
        <v>3591</v>
      </c>
      <c r="B2634" t="s">
        <v>3601</v>
      </c>
      <c r="C2634" t="s">
        <v>2848</v>
      </c>
      <c r="D2634" t="s">
        <v>3603</v>
      </c>
      <c r="E2634" t="s">
        <v>3605</v>
      </c>
    </row>
    <row r="2635" spans="1:5" x14ac:dyDescent="0.25">
      <c r="A2635" t="s">
        <v>3591</v>
      </c>
      <c r="B2635" t="s">
        <v>3601</v>
      </c>
      <c r="C2635" t="s">
        <v>563</v>
      </c>
      <c r="D2635" t="s">
        <v>3602</v>
      </c>
      <c r="E2635" t="s">
        <v>3604</v>
      </c>
    </row>
    <row r="2636" spans="1:5" x14ac:dyDescent="0.25">
      <c r="A2636" t="s">
        <v>3591</v>
      </c>
      <c r="B2636" t="s">
        <v>3610</v>
      </c>
      <c r="C2636" t="s">
        <v>2900</v>
      </c>
      <c r="D2636" t="s">
        <v>3606</v>
      </c>
      <c r="E2636" t="s">
        <v>3608</v>
      </c>
    </row>
    <row r="2637" spans="1:5" x14ac:dyDescent="0.25">
      <c r="A2637" t="s">
        <v>3591</v>
      </c>
      <c r="B2637" t="s">
        <v>3610</v>
      </c>
      <c r="C2637" t="s">
        <v>2985</v>
      </c>
      <c r="D2637" t="s">
        <v>3612</v>
      </c>
      <c r="E2637" t="s">
        <v>3608</v>
      </c>
    </row>
    <row r="2638" spans="1:5" x14ac:dyDescent="0.25">
      <c r="A2638" t="s">
        <v>3591</v>
      </c>
      <c r="B2638" t="s">
        <v>3610</v>
      </c>
      <c r="C2638" t="s">
        <v>2954</v>
      </c>
      <c r="D2638" t="s">
        <v>3607</v>
      </c>
      <c r="E2638" t="s">
        <v>3608</v>
      </c>
    </row>
    <row r="2639" spans="1:5" x14ac:dyDescent="0.25">
      <c r="A2639" t="s">
        <v>3593</v>
      </c>
      <c r="B2639" t="s">
        <v>3601</v>
      </c>
      <c r="C2639" t="s">
        <v>151</v>
      </c>
      <c r="D2639" t="s">
        <v>3603</v>
      </c>
      <c r="E2639" t="s">
        <v>3603</v>
      </c>
    </row>
    <row r="2640" spans="1:5" x14ac:dyDescent="0.25">
      <c r="A2640" t="s">
        <v>3593</v>
      </c>
      <c r="B2640" t="s">
        <v>3601</v>
      </c>
      <c r="C2640" t="s">
        <v>948</v>
      </c>
      <c r="D2640" t="s">
        <v>3603</v>
      </c>
      <c r="E2640" t="s">
        <v>3605</v>
      </c>
    </row>
    <row r="2641" spans="1:5" x14ac:dyDescent="0.25">
      <c r="A2641" t="s">
        <v>3593</v>
      </c>
      <c r="B2641" t="s">
        <v>3601</v>
      </c>
      <c r="C2641" t="s">
        <v>2793</v>
      </c>
      <c r="D2641" t="s">
        <v>3603</v>
      </c>
      <c r="E2641" t="s">
        <v>3605</v>
      </c>
    </row>
    <row r="2642" spans="1:5" x14ac:dyDescent="0.25">
      <c r="A2642" t="s">
        <v>3593</v>
      </c>
      <c r="B2642" t="s">
        <v>3601</v>
      </c>
      <c r="C2642" t="s">
        <v>629</v>
      </c>
      <c r="D2642" t="s">
        <v>3606</v>
      </c>
      <c r="E2642" t="s">
        <v>3609</v>
      </c>
    </row>
    <row r="2643" spans="1:5" x14ac:dyDescent="0.25">
      <c r="A2643" t="s">
        <v>3593</v>
      </c>
      <c r="B2643" t="s">
        <v>3601</v>
      </c>
      <c r="C2643" t="s">
        <v>1053</v>
      </c>
      <c r="D2643" t="s">
        <v>3606</v>
      </c>
      <c r="E2643" t="s">
        <v>3603</v>
      </c>
    </row>
    <row r="2644" spans="1:5" x14ac:dyDescent="0.25">
      <c r="A2644" t="s">
        <v>3593</v>
      </c>
      <c r="B2644" t="s">
        <v>3601</v>
      </c>
      <c r="C2644" t="s">
        <v>2163</v>
      </c>
      <c r="D2644" t="s">
        <v>3602</v>
      </c>
      <c r="E2644" t="s">
        <v>3603</v>
      </c>
    </row>
    <row r="2645" spans="1:5" x14ac:dyDescent="0.25">
      <c r="A2645" t="s">
        <v>3593</v>
      </c>
      <c r="B2645" t="s">
        <v>3601</v>
      </c>
      <c r="C2645" t="s">
        <v>2813</v>
      </c>
      <c r="D2645" t="s">
        <v>3606</v>
      </c>
      <c r="E2645" t="s">
        <v>3605</v>
      </c>
    </row>
    <row r="2646" spans="1:5" x14ac:dyDescent="0.25">
      <c r="A2646" t="s">
        <v>3593</v>
      </c>
      <c r="B2646" t="s">
        <v>3601</v>
      </c>
      <c r="C2646" t="s">
        <v>740</v>
      </c>
      <c r="D2646" t="s">
        <v>3602</v>
      </c>
      <c r="E2646" t="s">
        <v>3603</v>
      </c>
    </row>
    <row r="2647" spans="1:5" x14ac:dyDescent="0.25">
      <c r="A2647" t="s">
        <v>3593</v>
      </c>
      <c r="B2647" t="s">
        <v>3601</v>
      </c>
      <c r="C2647" t="s">
        <v>235</v>
      </c>
      <c r="D2647" t="s">
        <v>3607</v>
      </c>
      <c r="E2647" t="s">
        <v>3608</v>
      </c>
    </row>
    <row r="2648" spans="1:5" x14ac:dyDescent="0.25">
      <c r="A2648" t="s">
        <v>3593</v>
      </c>
      <c r="B2648" t="s">
        <v>3601</v>
      </c>
      <c r="C2648" t="s">
        <v>571</v>
      </c>
      <c r="D2648" t="s">
        <v>3606</v>
      </c>
      <c r="E2648" t="s">
        <v>3609</v>
      </c>
    </row>
    <row r="2649" spans="1:5" x14ac:dyDescent="0.25">
      <c r="A2649" t="s">
        <v>3593</v>
      </c>
      <c r="B2649" t="s">
        <v>3601</v>
      </c>
      <c r="C2649" t="s">
        <v>1689</v>
      </c>
      <c r="D2649" t="s">
        <v>3607</v>
      </c>
      <c r="E2649" t="s">
        <v>3608</v>
      </c>
    </row>
    <row r="2650" spans="1:5" x14ac:dyDescent="0.25">
      <c r="A2650" t="s">
        <v>3593</v>
      </c>
      <c r="B2650" t="s">
        <v>3601</v>
      </c>
      <c r="C2650" t="s">
        <v>2052</v>
      </c>
      <c r="D2650" t="s">
        <v>3606</v>
      </c>
      <c r="E2650" t="s">
        <v>3605</v>
      </c>
    </row>
    <row r="2651" spans="1:5" x14ac:dyDescent="0.25">
      <c r="A2651" t="s">
        <v>3593</v>
      </c>
      <c r="B2651" t="s">
        <v>3601</v>
      </c>
      <c r="C2651" t="s">
        <v>250</v>
      </c>
      <c r="D2651" t="s">
        <v>3603</v>
      </c>
      <c r="E2651" t="s">
        <v>3609</v>
      </c>
    </row>
    <row r="2652" spans="1:5" x14ac:dyDescent="0.25">
      <c r="A2652" t="s">
        <v>3593</v>
      </c>
      <c r="B2652" t="s">
        <v>3601</v>
      </c>
      <c r="C2652" t="s">
        <v>509</v>
      </c>
      <c r="D2652" t="s">
        <v>3603</v>
      </c>
      <c r="E2652" t="s">
        <v>3603</v>
      </c>
    </row>
    <row r="2653" spans="1:5" x14ac:dyDescent="0.25">
      <c r="A2653" t="s">
        <v>3593</v>
      </c>
      <c r="B2653" t="s">
        <v>3601</v>
      </c>
      <c r="C2653" t="s">
        <v>903</v>
      </c>
      <c r="D2653" t="s">
        <v>3606</v>
      </c>
      <c r="E2653" t="s">
        <v>3609</v>
      </c>
    </row>
    <row r="2654" spans="1:5" x14ac:dyDescent="0.25">
      <c r="A2654" t="s">
        <v>3593</v>
      </c>
      <c r="B2654" t="s">
        <v>3601</v>
      </c>
      <c r="C2654" t="s">
        <v>2399</v>
      </c>
      <c r="D2654" t="s">
        <v>3603</v>
      </c>
      <c r="E2654" t="s">
        <v>3603</v>
      </c>
    </row>
    <row r="2655" spans="1:5" x14ac:dyDescent="0.25">
      <c r="A2655" t="s">
        <v>3593</v>
      </c>
      <c r="B2655" t="s">
        <v>3601</v>
      </c>
      <c r="C2655" t="s">
        <v>2694</v>
      </c>
      <c r="D2655" t="s">
        <v>3606</v>
      </c>
      <c r="E2655" t="s">
        <v>3609</v>
      </c>
    </row>
    <row r="2656" spans="1:5" x14ac:dyDescent="0.25">
      <c r="A2656" t="s">
        <v>3593</v>
      </c>
      <c r="B2656" t="s">
        <v>3601</v>
      </c>
      <c r="C2656" t="s">
        <v>2148</v>
      </c>
      <c r="D2656" t="s">
        <v>3602</v>
      </c>
      <c r="E2656" t="s">
        <v>3604</v>
      </c>
    </row>
    <row r="2657" spans="1:5" x14ac:dyDescent="0.25">
      <c r="A2657" t="s">
        <v>3593</v>
      </c>
      <c r="B2657" t="s">
        <v>3601</v>
      </c>
      <c r="C2657" t="s">
        <v>1418</v>
      </c>
      <c r="D2657" t="s">
        <v>3607</v>
      </c>
      <c r="E2657" t="s">
        <v>3608</v>
      </c>
    </row>
    <row r="2658" spans="1:5" x14ac:dyDescent="0.25">
      <c r="A2658" t="s">
        <v>3593</v>
      </c>
      <c r="B2658" t="s">
        <v>3601</v>
      </c>
      <c r="C2658" t="s">
        <v>1715</v>
      </c>
      <c r="D2658" t="s">
        <v>3603</v>
      </c>
      <c r="E2658" t="s">
        <v>3605</v>
      </c>
    </row>
    <row r="2659" spans="1:5" x14ac:dyDescent="0.25">
      <c r="A2659" t="s">
        <v>3593</v>
      </c>
      <c r="B2659" t="s">
        <v>3601</v>
      </c>
      <c r="C2659" t="s">
        <v>1907</v>
      </c>
      <c r="D2659" t="s">
        <v>3602</v>
      </c>
      <c r="E2659" t="s">
        <v>3604</v>
      </c>
    </row>
    <row r="2660" spans="1:5" x14ac:dyDescent="0.25">
      <c r="A2660" t="s">
        <v>3593</v>
      </c>
      <c r="B2660" t="s">
        <v>3601</v>
      </c>
      <c r="C2660" t="s">
        <v>2848</v>
      </c>
      <c r="D2660" t="s">
        <v>3603</v>
      </c>
      <c r="E2660" t="s">
        <v>3604</v>
      </c>
    </row>
    <row r="2661" spans="1:5" x14ac:dyDescent="0.25">
      <c r="A2661" t="s">
        <v>3593</v>
      </c>
      <c r="B2661" t="s">
        <v>3601</v>
      </c>
      <c r="C2661" t="s">
        <v>1199</v>
      </c>
      <c r="D2661" t="s">
        <v>3602</v>
      </c>
      <c r="E2661" t="s">
        <v>3603</v>
      </c>
    </row>
    <row r="2662" spans="1:5" x14ac:dyDescent="0.25">
      <c r="A2662" t="s">
        <v>3593</v>
      </c>
      <c r="B2662" t="s">
        <v>3601</v>
      </c>
      <c r="C2662" t="s">
        <v>1188</v>
      </c>
      <c r="D2662" t="s">
        <v>3606</v>
      </c>
      <c r="E2662" t="s">
        <v>3605</v>
      </c>
    </row>
    <row r="2663" spans="1:5" x14ac:dyDescent="0.25">
      <c r="A2663" t="s">
        <v>3593</v>
      </c>
      <c r="B2663" t="s">
        <v>3601</v>
      </c>
      <c r="C2663" t="s">
        <v>2233</v>
      </c>
      <c r="D2663" t="s">
        <v>3607</v>
      </c>
      <c r="E2663" t="s">
        <v>3608</v>
      </c>
    </row>
    <row r="2664" spans="1:5" x14ac:dyDescent="0.25">
      <c r="A2664" t="s">
        <v>3593</v>
      </c>
      <c r="B2664" t="s">
        <v>3601</v>
      </c>
      <c r="C2664" t="s">
        <v>2808</v>
      </c>
      <c r="D2664" t="s">
        <v>3602</v>
      </c>
      <c r="E2664" t="s">
        <v>3605</v>
      </c>
    </row>
    <row r="2665" spans="1:5" x14ac:dyDescent="0.25">
      <c r="A2665" t="s">
        <v>3593</v>
      </c>
      <c r="B2665" t="s">
        <v>3601</v>
      </c>
      <c r="C2665" t="s">
        <v>2075</v>
      </c>
      <c r="D2665" t="s">
        <v>3607</v>
      </c>
      <c r="E2665" t="s">
        <v>3608</v>
      </c>
    </row>
    <row r="2666" spans="1:5" x14ac:dyDescent="0.25">
      <c r="A2666" t="s">
        <v>3593</v>
      </c>
      <c r="B2666" t="s">
        <v>3601</v>
      </c>
      <c r="C2666" t="s">
        <v>2228</v>
      </c>
      <c r="D2666" t="s">
        <v>3602</v>
      </c>
      <c r="E2666" t="s">
        <v>3603</v>
      </c>
    </row>
    <row r="2667" spans="1:5" x14ac:dyDescent="0.25">
      <c r="A2667" t="s">
        <v>3593</v>
      </c>
      <c r="B2667" t="s">
        <v>3601</v>
      </c>
      <c r="C2667" t="s">
        <v>1724</v>
      </c>
      <c r="D2667" t="s">
        <v>3602</v>
      </c>
      <c r="E2667" t="s">
        <v>3604</v>
      </c>
    </row>
    <row r="2668" spans="1:5" x14ac:dyDescent="0.25">
      <c r="A2668" t="s">
        <v>3593</v>
      </c>
      <c r="B2668" t="s">
        <v>3601</v>
      </c>
      <c r="C2668" t="s">
        <v>1826</v>
      </c>
      <c r="D2668" t="s">
        <v>3607</v>
      </c>
      <c r="E2668" t="s">
        <v>3608</v>
      </c>
    </row>
    <row r="2669" spans="1:5" x14ac:dyDescent="0.25">
      <c r="A2669" t="s">
        <v>3593</v>
      </c>
      <c r="B2669" t="s">
        <v>3601</v>
      </c>
      <c r="C2669" t="s">
        <v>1736</v>
      </c>
      <c r="D2669" t="s">
        <v>3602</v>
      </c>
      <c r="E2669" t="s">
        <v>3609</v>
      </c>
    </row>
    <row r="2670" spans="1:5" x14ac:dyDescent="0.25">
      <c r="A2670" t="s">
        <v>3593</v>
      </c>
      <c r="B2670" t="s">
        <v>3601</v>
      </c>
      <c r="C2670" t="s">
        <v>929</v>
      </c>
      <c r="D2670" t="s">
        <v>3607</v>
      </c>
      <c r="E2670" t="s">
        <v>3608</v>
      </c>
    </row>
    <row r="2671" spans="1:5" x14ac:dyDescent="0.25">
      <c r="A2671" t="s">
        <v>3593</v>
      </c>
      <c r="B2671" t="s">
        <v>3601</v>
      </c>
      <c r="C2671" t="s">
        <v>992</v>
      </c>
      <c r="D2671" t="s">
        <v>3602</v>
      </c>
      <c r="E2671" t="s">
        <v>3605</v>
      </c>
    </row>
    <row r="2672" spans="1:5" x14ac:dyDescent="0.25">
      <c r="A2672" t="s">
        <v>3593</v>
      </c>
      <c r="B2672" t="s">
        <v>3601</v>
      </c>
      <c r="C2672" t="s">
        <v>220</v>
      </c>
      <c r="D2672" t="s">
        <v>3602</v>
      </c>
      <c r="E2672" t="s">
        <v>3604</v>
      </c>
    </row>
    <row r="2673" spans="1:5" x14ac:dyDescent="0.25">
      <c r="A2673" t="s">
        <v>3593</v>
      </c>
      <c r="B2673" t="s">
        <v>3601</v>
      </c>
      <c r="C2673" t="s">
        <v>349</v>
      </c>
      <c r="D2673" t="s">
        <v>3607</v>
      </c>
      <c r="E2673" t="s">
        <v>3608</v>
      </c>
    </row>
    <row r="2674" spans="1:5" x14ac:dyDescent="0.25">
      <c r="A2674" t="s">
        <v>3593</v>
      </c>
      <c r="B2674" t="s">
        <v>3601</v>
      </c>
      <c r="C2674" t="s">
        <v>1482</v>
      </c>
      <c r="D2674" t="s">
        <v>3602</v>
      </c>
      <c r="E2674" t="s">
        <v>3604</v>
      </c>
    </row>
    <row r="2675" spans="1:5" x14ac:dyDescent="0.25">
      <c r="A2675" t="s">
        <v>3593</v>
      </c>
      <c r="B2675" t="s">
        <v>3601</v>
      </c>
      <c r="C2675" t="s">
        <v>385</v>
      </c>
      <c r="D2675" t="s">
        <v>3602</v>
      </c>
      <c r="E2675" t="s">
        <v>3604</v>
      </c>
    </row>
    <row r="2676" spans="1:5" x14ac:dyDescent="0.25">
      <c r="A2676" t="s">
        <v>3593</v>
      </c>
      <c r="B2676" t="s">
        <v>3601</v>
      </c>
      <c r="C2676" t="s">
        <v>607</v>
      </c>
      <c r="D2676" t="s">
        <v>3606</v>
      </c>
      <c r="E2676" t="s">
        <v>3603</v>
      </c>
    </row>
    <row r="2677" spans="1:5" x14ac:dyDescent="0.25">
      <c r="A2677" t="s">
        <v>3593</v>
      </c>
      <c r="B2677" t="s">
        <v>3601</v>
      </c>
      <c r="C2677" t="s">
        <v>1963</v>
      </c>
      <c r="D2677" t="s">
        <v>3607</v>
      </c>
      <c r="E2677" t="s">
        <v>3608</v>
      </c>
    </row>
    <row r="2678" spans="1:5" x14ac:dyDescent="0.25">
      <c r="A2678" t="s">
        <v>3593</v>
      </c>
      <c r="B2678" t="s">
        <v>3601</v>
      </c>
      <c r="C2678" t="s">
        <v>2773</v>
      </c>
      <c r="D2678" t="s">
        <v>3603</v>
      </c>
      <c r="E2678" t="s">
        <v>3604</v>
      </c>
    </row>
    <row r="2679" spans="1:5" x14ac:dyDescent="0.25">
      <c r="A2679" t="s">
        <v>3593</v>
      </c>
      <c r="B2679" t="s">
        <v>3601</v>
      </c>
      <c r="C2679" t="s">
        <v>549</v>
      </c>
      <c r="D2679" t="s">
        <v>3602</v>
      </c>
      <c r="E2679" t="s">
        <v>3605</v>
      </c>
    </row>
    <row r="2680" spans="1:5" x14ac:dyDescent="0.25">
      <c r="A2680" t="s">
        <v>3593</v>
      </c>
      <c r="B2680" t="s">
        <v>3601</v>
      </c>
      <c r="C2680" t="s">
        <v>2267</v>
      </c>
      <c r="D2680" t="s">
        <v>3607</v>
      </c>
      <c r="E2680" t="s">
        <v>3608</v>
      </c>
    </row>
    <row r="2681" spans="1:5" x14ac:dyDescent="0.25">
      <c r="A2681" t="s">
        <v>3593</v>
      </c>
      <c r="B2681" t="s">
        <v>3601</v>
      </c>
      <c r="C2681" t="s">
        <v>65</v>
      </c>
      <c r="D2681" t="s">
        <v>3602</v>
      </c>
      <c r="E2681" t="s">
        <v>3604</v>
      </c>
    </row>
    <row r="2682" spans="1:5" x14ac:dyDescent="0.25">
      <c r="A2682" t="s">
        <v>3593</v>
      </c>
      <c r="B2682" t="s">
        <v>3601</v>
      </c>
      <c r="C2682" t="s">
        <v>2110</v>
      </c>
      <c r="D2682" t="s">
        <v>3606</v>
      </c>
      <c r="E2682" t="s">
        <v>3609</v>
      </c>
    </row>
    <row r="2683" spans="1:5" x14ac:dyDescent="0.25">
      <c r="A2683" t="s">
        <v>3593</v>
      </c>
      <c r="B2683" t="s">
        <v>3601</v>
      </c>
      <c r="C2683" t="s">
        <v>2022</v>
      </c>
      <c r="D2683" t="s">
        <v>3607</v>
      </c>
      <c r="E2683" t="s">
        <v>3608</v>
      </c>
    </row>
    <row r="2684" spans="1:5" x14ac:dyDescent="0.25">
      <c r="A2684" t="s">
        <v>3593</v>
      </c>
      <c r="B2684" t="s">
        <v>3601</v>
      </c>
      <c r="C2684" t="s">
        <v>2597</v>
      </c>
      <c r="D2684" t="s">
        <v>3607</v>
      </c>
      <c r="E2684" t="s">
        <v>3608</v>
      </c>
    </row>
    <row r="2685" spans="1:5" x14ac:dyDescent="0.25">
      <c r="A2685" t="s">
        <v>3593</v>
      </c>
      <c r="B2685" t="s">
        <v>3601</v>
      </c>
      <c r="C2685" t="s">
        <v>1635</v>
      </c>
      <c r="D2685" t="s">
        <v>3602</v>
      </c>
      <c r="E2685" t="s">
        <v>3605</v>
      </c>
    </row>
    <row r="2686" spans="1:5" x14ac:dyDescent="0.25">
      <c r="A2686" t="s">
        <v>3593</v>
      </c>
      <c r="B2686" t="s">
        <v>3601</v>
      </c>
      <c r="C2686" t="s">
        <v>1831</v>
      </c>
      <c r="D2686" t="s">
        <v>3602</v>
      </c>
      <c r="E2686" t="s">
        <v>3603</v>
      </c>
    </row>
    <row r="2687" spans="1:5" x14ac:dyDescent="0.25">
      <c r="A2687" t="s">
        <v>3593</v>
      </c>
      <c r="B2687" t="s">
        <v>3601</v>
      </c>
      <c r="C2687" t="s">
        <v>1383</v>
      </c>
      <c r="D2687" t="s">
        <v>3602</v>
      </c>
      <c r="E2687" t="s">
        <v>3609</v>
      </c>
    </row>
    <row r="2688" spans="1:5" x14ac:dyDescent="0.25">
      <c r="A2688" t="s">
        <v>3593</v>
      </c>
      <c r="B2688" t="s">
        <v>3601</v>
      </c>
      <c r="C2688" t="s">
        <v>1953</v>
      </c>
      <c r="D2688" t="s">
        <v>3607</v>
      </c>
      <c r="E2688" t="s">
        <v>3608</v>
      </c>
    </row>
    <row r="2689" spans="1:5" x14ac:dyDescent="0.25">
      <c r="A2689" t="s">
        <v>3593</v>
      </c>
      <c r="B2689" t="s">
        <v>3601</v>
      </c>
      <c r="C2689" t="s">
        <v>883</v>
      </c>
      <c r="D2689" t="s">
        <v>3607</v>
      </c>
      <c r="E2689" t="s">
        <v>3608</v>
      </c>
    </row>
    <row r="2690" spans="1:5" x14ac:dyDescent="0.25">
      <c r="A2690" t="s">
        <v>3593</v>
      </c>
      <c r="B2690" t="s">
        <v>3601</v>
      </c>
      <c r="C2690" t="s">
        <v>205</v>
      </c>
      <c r="D2690" t="s">
        <v>3602</v>
      </c>
      <c r="E2690" t="s">
        <v>3609</v>
      </c>
    </row>
    <row r="2691" spans="1:5" x14ac:dyDescent="0.25">
      <c r="A2691" t="s">
        <v>3593</v>
      </c>
      <c r="B2691" t="s">
        <v>3601</v>
      </c>
      <c r="C2691" t="s">
        <v>657</v>
      </c>
      <c r="D2691" t="s">
        <v>3603</v>
      </c>
      <c r="E2691" t="s">
        <v>3604</v>
      </c>
    </row>
    <row r="2692" spans="1:5" x14ac:dyDescent="0.25">
      <c r="A2692" t="s">
        <v>3593</v>
      </c>
      <c r="B2692" t="s">
        <v>3601</v>
      </c>
      <c r="C2692" t="s">
        <v>2788</v>
      </c>
      <c r="D2692" t="s">
        <v>3602</v>
      </c>
      <c r="E2692" t="s">
        <v>3603</v>
      </c>
    </row>
    <row r="2693" spans="1:5" x14ac:dyDescent="0.25">
      <c r="A2693" t="s">
        <v>3593</v>
      </c>
      <c r="B2693" t="s">
        <v>3601</v>
      </c>
      <c r="C2693" t="s">
        <v>1875</v>
      </c>
      <c r="D2693" t="s">
        <v>3602</v>
      </c>
      <c r="E2693" t="s">
        <v>3605</v>
      </c>
    </row>
    <row r="2694" spans="1:5" x14ac:dyDescent="0.25">
      <c r="A2694" t="s">
        <v>3593</v>
      </c>
      <c r="B2694" t="s">
        <v>3601</v>
      </c>
      <c r="C2694" t="s">
        <v>1580</v>
      </c>
      <c r="D2694" t="s">
        <v>3603</v>
      </c>
      <c r="E2694" t="s">
        <v>3603</v>
      </c>
    </row>
    <row r="2695" spans="1:5" x14ac:dyDescent="0.25">
      <c r="A2695" t="s">
        <v>3593</v>
      </c>
      <c r="B2695" t="s">
        <v>3601</v>
      </c>
      <c r="C2695" t="s">
        <v>698</v>
      </c>
      <c r="D2695" t="s">
        <v>3603</v>
      </c>
      <c r="E2695" t="s">
        <v>3605</v>
      </c>
    </row>
    <row r="2696" spans="1:5" x14ac:dyDescent="0.25">
      <c r="A2696" t="s">
        <v>3593</v>
      </c>
      <c r="B2696" t="s">
        <v>3601</v>
      </c>
      <c r="C2696" t="s">
        <v>2037</v>
      </c>
      <c r="D2696" t="s">
        <v>3603</v>
      </c>
      <c r="E2696" t="s">
        <v>3603</v>
      </c>
    </row>
    <row r="2697" spans="1:5" x14ac:dyDescent="0.25">
      <c r="A2697" t="s">
        <v>3593</v>
      </c>
      <c r="B2697" t="s">
        <v>3601</v>
      </c>
      <c r="C2697" t="s">
        <v>124</v>
      </c>
      <c r="D2697" t="s">
        <v>3603</v>
      </c>
      <c r="E2697" t="s">
        <v>3603</v>
      </c>
    </row>
    <row r="2698" spans="1:5" x14ac:dyDescent="0.25">
      <c r="A2698" t="s">
        <v>3593</v>
      </c>
      <c r="B2698" t="s">
        <v>3601</v>
      </c>
      <c r="C2698" t="s">
        <v>601</v>
      </c>
      <c r="D2698" t="s">
        <v>3602</v>
      </c>
      <c r="E2698" t="s">
        <v>3604</v>
      </c>
    </row>
    <row r="2699" spans="1:5" x14ac:dyDescent="0.25">
      <c r="A2699" t="s">
        <v>3593</v>
      </c>
      <c r="B2699" t="s">
        <v>3601</v>
      </c>
      <c r="C2699" t="s">
        <v>333</v>
      </c>
      <c r="D2699" t="s">
        <v>3603</v>
      </c>
      <c r="E2699" t="s">
        <v>3609</v>
      </c>
    </row>
    <row r="2700" spans="1:5" x14ac:dyDescent="0.25">
      <c r="A2700" t="s">
        <v>3593</v>
      </c>
      <c r="B2700" t="s">
        <v>3601</v>
      </c>
      <c r="C2700" t="s">
        <v>2833</v>
      </c>
      <c r="D2700" t="s">
        <v>3603</v>
      </c>
      <c r="E2700" t="s">
        <v>3603</v>
      </c>
    </row>
    <row r="2701" spans="1:5" x14ac:dyDescent="0.25">
      <c r="A2701" t="s">
        <v>3593</v>
      </c>
      <c r="B2701" t="s">
        <v>3601</v>
      </c>
      <c r="C2701" t="s">
        <v>751</v>
      </c>
      <c r="D2701" t="s">
        <v>3602</v>
      </c>
      <c r="E2701" t="s">
        <v>3609</v>
      </c>
    </row>
    <row r="2702" spans="1:5" x14ac:dyDescent="0.25">
      <c r="A2702" t="s">
        <v>3593</v>
      </c>
      <c r="B2702" t="s">
        <v>3601</v>
      </c>
      <c r="C2702" t="s">
        <v>1012</v>
      </c>
      <c r="D2702" t="s">
        <v>3603</v>
      </c>
      <c r="E2702" t="s">
        <v>3609</v>
      </c>
    </row>
    <row r="2703" spans="1:5" x14ac:dyDescent="0.25">
      <c r="A2703" t="s">
        <v>3593</v>
      </c>
      <c r="B2703" t="s">
        <v>3601</v>
      </c>
      <c r="C2703" t="s">
        <v>2527</v>
      </c>
      <c r="D2703" t="s">
        <v>3607</v>
      </c>
      <c r="E2703" t="s">
        <v>3608</v>
      </c>
    </row>
    <row r="2704" spans="1:5" x14ac:dyDescent="0.25">
      <c r="A2704" t="s">
        <v>3593</v>
      </c>
      <c r="B2704" t="s">
        <v>3601</v>
      </c>
      <c r="C2704" t="s">
        <v>965</v>
      </c>
      <c r="D2704" t="s">
        <v>3606</v>
      </c>
      <c r="E2704" t="s">
        <v>3605</v>
      </c>
    </row>
    <row r="2705" spans="1:5" x14ac:dyDescent="0.25">
      <c r="A2705" t="s">
        <v>3593</v>
      </c>
      <c r="B2705" t="s">
        <v>3601</v>
      </c>
      <c r="C2705" t="s">
        <v>1161</v>
      </c>
      <c r="D2705" t="s">
        <v>3603</v>
      </c>
      <c r="E2705" t="s">
        <v>3603</v>
      </c>
    </row>
    <row r="2706" spans="1:5" x14ac:dyDescent="0.25">
      <c r="A2706" t="s">
        <v>3593</v>
      </c>
      <c r="B2706" t="s">
        <v>3601</v>
      </c>
      <c r="C2706" t="s">
        <v>809</v>
      </c>
      <c r="D2706" t="s">
        <v>3603</v>
      </c>
      <c r="E2706" t="s">
        <v>3603</v>
      </c>
    </row>
    <row r="2707" spans="1:5" x14ac:dyDescent="0.25">
      <c r="A2707" t="s">
        <v>3593</v>
      </c>
      <c r="B2707" t="s">
        <v>3601</v>
      </c>
      <c r="C2707" t="s">
        <v>1337</v>
      </c>
      <c r="D2707" t="s">
        <v>3607</v>
      </c>
      <c r="E2707" t="s">
        <v>3608</v>
      </c>
    </row>
    <row r="2708" spans="1:5" x14ac:dyDescent="0.25">
      <c r="A2708" t="s">
        <v>3593</v>
      </c>
      <c r="B2708" t="s">
        <v>3601</v>
      </c>
      <c r="C2708" t="s">
        <v>587</v>
      </c>
      <c r="D2708" t="s">
        <v>3607</v>
      </c>
      <c r="E2708" t="s">
        <v>3608</v>
      </c>
    </row>
    <row r="2709" spans="1:5" x14ac:dyDescent="0.25">
      <c r="A2709" t="s">
        <v>3593</v>
      </c>
      <c r="B2709" t="s">
        <v>3601</v>
      </c>
      <c r="C2709" t="s">
        <v>2238</v>
      </c>
      <c r="D2709" t="s">
        <v>3607</v>
      </c>
      <c r="E2709" t="s">
        <v>3608</v>
      </c>
    </row>
    <row r="2710" spans="1:5" x14ac:dyDescent="0.25">
      <c r="A2710" t="s">
        <v>3593</v>
      </c>
      <c r="B2710" t="s">
        <v>3601</v>
      </c>
      <c r="C2710" t="s">
        <v>2517</v>
      </c>
      <c r="D2710" t="s">
        <v>3607</v>
      </c>
      <c r="E2710" t="s">
        <v>3608</v>
      </c>
    </row>
    <row r="2711" spans="1:5" x14ac:dyDescent="0.25">
      <c r="A2711" t="s">
        <v>3593</v>
      </c>
      <c r="B2711" t="s">
        <v>3601</v>
      </c>
      <c r="C2711" t="s">
        <v>1365</v>
      </c>
      <c r="D2711" t="s">
        <v>3602</v>
      </c>
      <c r="E2711" t="s">
        <v>3604</v>
      </c>
    </row>
    <row r="2712" spans="1:5" x14ac:dyDescent="0.25">
      <c r="A2712" t="s">
        <v>3593</v>
      </c>
      <c r="B2712" t="s">
        <v>3601</v>
      </c>
      <c r="C2712" t="s">
        <v>1276</v>
      </c>
      <c r="D2712" t="s">
        <v>3603</v>
      </c>
      <c r="E2712" t="s">
        <v>3604</v>
      </c>
    </row>
    <row r="2713" spans="1:5" x14ac:dyDescent="0.25">
      <c r="A2713" t="s">
        <v>3593</v>
      </c>
      <c r="B2713" t="s">
        <v>3601</v>
      </c>
      <c r="C2713" t="s">
        <v>1503</v>
      </c>
      <c r="D2713" t="s">
        <v>3603</v>
      </c>
      <c r="E2713" t="s">
        <v>3605</v>
      </c>
    </row>
    <row r="2714" spans="1:5" x14ac:dyDescent="0.25">
      <c r="A2714" t="s">
        <v>3593</v>
      </c>
      <c r="B2714" t="s">
        <v>3601</v>
      </c>
      <c r="C2714" t="s">
        <v>1358</v>
      </c>
      <c r="D2714" t="s">
        <v>3607</v>
      </c>
      <c r="E2714" t="s">
        <v>3608</v>
      </c>
    </row>
    <row r="2715" spans="1:5" x14ac:dyDescent="0.25">
      <c r="A2715" t="s">
        <v>3593</v>
      </c>
      <c r="B2715" t="s">
        <v>3601</v>
      </c>
      <c r="C2715" t="s">
        <v>858</v>
      </c>
      <c r="D2715" t="s">
        <v>3607</v>
      </c>
      <c r="E2715" t="s">
        <v>3608</v>
      </c>
    </row>
    <row r="2716" spans="1:5" x14ac:dyDescent="0.25">
      <c r="A2716" t="s">
        <v>3593</v>
      </c>
      <c r="B2716" t="s">
        <v>3601</v>
      </c>
      <c r="C2716" t="s">
        <v>2753</v>
      </c>
      <c r="D2716" t="s">
        <v>3606</v>
      </c>
      <c r="E2716" t="s">
        <v>3605</v>
      </c>
    </row>
    <row r="2717" spans="1:5" x14ac:dyDescent="0.25">
      <c r="A2717" t="s">
        <v>3593</v>
      </c>
      <c r="B2717" t="s">
        <v>3601</v>
      </c>
      <c r="C2717" t="s">
        <v>2017</v>
      </c>
      <c r="D2717" t="s">
        <v>3607</v>
      </c>
      <c r="E2717" t="s">
        <v>3608</v>
      </c>
    </row>
    <row r="2718" spans="1:5" x14ac:dyDescent="0.25">
      <c r="A2718" t="s">
        <v>3593</v>
      </c>
      <c r="B2718" t="s">
        <v>3601</v>
      </c>
      <c r="C2718" t="s">
        <v>1449</v>
      </c>
      <c r="D2718" t="s">
        <v>3603</v>
      </c>
      <c r="E2718" t="s">
        <v>3609</v>
      </c>
    </row>
    <row r="2719" spans="1:5" x14ac:dyDescent="0.25">
      <c r="A2719" t="s">
        <v>3593</v>
      </c>
      <c r="B2719" t="s">
        <v>3601</v>
      </c>
      <c r="C2719" t="s">
        <v>1458</v>
      </c>
      <c r="D2719" t="s">
        <v>3606</v>
      </c>
      <c r="E2719" t="s">
        <v>3603</v>
      </c>
    </row>
    <row r="2720" spans="1:5" x14ac:dyDescent="0.25">
      <c r="A2720" t="s">
        <v>3593</v>
      </c>
      <c r="B2720" t="s">
        <v>3601</v>
      </c>
      <c r="C2720" t="s">
        <v>363</v>
      </c>
      <c r="D2720" t="s">
        <v>3603</v>
      </c>
      <c r="E2720" t="s">
        <v>3609</v>
      </c>
    </row>
    <row r="2721" spans="1:5" x14ac:dyDescent="0.25">
      <c r="A2721" t="s">
        <v>3593</v>
      </c>
      <c r="B2721" t="s">
        <v>3610</v>
      </c>
      <c r="C2721" t="s">
        <v>2960</v>
      </c>
      <c r="D2721" t="s">
        <v>3606</v>
      </c>
      <c r="E2721" t="s">
        <v>3608</v>
      </c>
    </row>
    <row r="2722" spans="1:5" x14ac:dyDescent="0.25">
      <c r="A2722" t="s">
        <v>3593</v>
      </c>
      <c r="B2722" t="s">
        <v>3610</v>
      </c>
      <c r="C2722" t="s">
        <v>2918</v>
      </c>
      <c r="D2722" t="s">
        <v>3612</v>
      </c>
      <c r="E2722" t="s">
        <v>3608</v>
      </c>
    </row>
    <row r="2723" spans="1:5" x14ac:dyDescent="0.25">
      <c r="A2723" t="s">
        <v>3593</v>
      </c>
      <c r="B2723" t="s">
        <v>3610</v>
      </c>
      <c r="C2723" t="s">
        <v>2930</v>
      </c>
      <c r="D2723" t="s">
        <v>3612</v>
      </c>
      <c r="E2723" t="s">
        <v>3608</v>
      </c>
    </row>
    <row r="2724" spans="1:5" x14ac:dyDescent="0.25">
      <c r="A2724" t="s">
        <v>3595</v>
      </c>
      <c r="B2724" t="s">
        <v>3601</v>
      </c>
      <c r="C2724" t="s">
        <v>1468</v>
      </c>
      <c r="D2724" t="s">
        <v>3607</v>
      </c>
      <c r="E2724" t="s">
        <v>3608</v>
      </c>
    </row>
    <row r="2725" spans="1:5" x14ac:dyDescent="0.25">
      <c r="A2725" t="s">
        <v>3595</v>
      </c>
      <c r="B2725" t="s">
        <v>3601</v>
      </c>
      <c r="C2725" t="s">
        <v>2517</v>
      </c>
      <c r="D2725" t="s">
        <v>3603</v>
      </c>
      <c r="E2725" t="s">
        <v>3609</v>
      </c>
    </row>
    <row r="2726" spans="1:5" x14ac:dyDescent="0.25">
      <c r="A2726" t="s">
        <v>3595</v>
      </c>
      <c r="B2726" t="s">
        <v>3601</v>
      </c>
      <c r="C2726" t="s">
        <v>1253</v>
      </c>
      <c r="D2726" t="s">
        <v>3606</v>
      </c>
      <c r="E2726" t="s">
        <v>3603</v>
      </c>
    </row>
    <row r="2727" spans="1:5" x14ac:dyDescent="0.25">
      <c r="A2727" t="s">
        <v>3595</v>
      </c>
      <c r="B2727" t="s">
        <v>3601</v>
      </c>
      <c r="C2727" t="s">
        <v>297</v>
      </c>
      <c r="D2727" t="s">
        <v>3606</v>
      </c>
      <c r="E2727" t="s">
        <v>3603</v>
      </c>
    </row>
    <row r="2728" spans="1:5" x14ac:dyDescent="0.25">
      <c r="A2728" t="s">
        <v>3595</v>
      </c>
      <c r="B2728" t="s">
        <v>3601</v>
      </c>
      <c r="C2728" t="s">
        <v>1826</v>
      </c>
      <c r="D2728" t="s">
        <v>3606</v>
      </c>
      <c r="E2728" t="s">
        <v>3604</v>
      </c>
    </row>
    <row r="2729" spans="1:5" x14ac:dyDescent="0.25">
      <c r="A2729" t="s">
        <v>3595</v>
      </c>
      <c r="B2729" t="s">
        <v>3601</v>
      </c>
      <c r="C2729" t="s">
        <v>456</v>
      </c>
      <c r="D2729" t="s">
        <v>3606</v>
      </c>
      <c r="E2729" t="s">
        <v>3605</v>
      </c>
    </row>
    <row r="2730" spans="1:5" x14ac:dyDescent="0.25">
      <c r="A2730" t="s">
        <v>3595</v>
      </c>
      <c r="B2730" t="s">
        <v>3601</v>
      </c>
      <c r="C2730" t="s">
        <v>1105</v>
      </c>
      <c r="D2730" t="s">
        <v>3603</v>
      </c>
      <c r="E2730" t="s">
        <v>3605</v>
      </c>
    </row>
    <row r="2731" spans="1:5" x14ac:dyDescent="0.25">
      <c r="A2731" t="s">
        <v>3595</v>
      </c>
      <c r="B2731" t="s">
        <v>3601</v>
      </c>
      <c r="C2731" t="s">
        <v>1596</v>
      </c>
      <c r="D2731" t="s">
        <v>3603</v>
      </c>
      <c r="E2731" t="s">
        <v>3609</v>
      </c>
    </row>
    <row r="2732" spans="1:5" x14ac:dyDescent="0.25">
      <c r="A2732" t="s">
        <v>3595</v>
      </c>
      <c r="B2732" t="s">
        <v>3601</v>
      </c>
      <c r="C2732" t="s">
        <v>1880</v>
      </c>
      <c r="D2732" t="s">
        <v>3603</v>
      </c>
      <c r="E2732" t="s">
        <v>3605</v>
      </c>
    </row>
    <row r="2733" spans="1:5" x14ac:dyDescent="0.25">
      <c r="A2733" t="s">
        <v>3595</v>
      </c>
      <c r="B2733" t="s">
        <v>3601</v>
      </c>
      <c r="C2733" t="s">
        <v>1084</v>
      </c>
      <c r="D2733" t="s">
        <v>3607</v>
      </c>
      <c r="E2733" t="s">
        <v>3608</v>
      </c>
    </row>
    <row r="2734" spans="1:5" x14ac:dyDescent="0.25">
      <c r="A2734" t="s">
        <v>3595</v>
      </c>
      <c r="B2734" t="s">
        <v>3601</v>
      </c>
      <c r="C2734" t="s">
        <v>2376</v>
      </c>
      <c r="D2734" t="s">
        <v>3602</v>
      </c>
      <c r="E2734" t="s">
        <v>3604</v>
      </c>
    </row>
    <row r="2735" spans="1:5" x14ac:dyDescent="0.25">
      <c r="A2735" t="s">
        <v>3595</v>
      </c>
      <c r="B2735" t="s">
        <v>3601</v>
      </c>
      <c r="C2735" t="s">
        <v>1305</v>
      </c>
      <c r="D2735" t="s">
        <v>3602</v>
      </c>
      <c r="E2735" t="s">
        <v>3605</v>
      </c>
    </row>
    <row r="2736" spans="1:5" x14ac:dyDescent="0.25">
      <c r="A2736" t="s">
        <v>3595</v>
      </c>
      <c r="B2736" t="s">
        <v>3601</v>
      </c>
      <c r="C2736" t="s">
        <v>77</v>
      </c>
      <c r="D2736" t="s">
        <v>3607</v>
      </c>
      <c r="E2736" t="s">
        <v>3608</v>
      </c>
    </row>
    <row r="2737" spans="1:5" x14ac:dyDescent="0.25">
      <c r="A2737" t="s">
        <v>3595</v>
      </c>
      <c r="B2737" t="s">
        <v>3601</v>
      </c>
      <c r="C2737" t="s">
        <v>865</v>
      </c>
      <c r="D2737" t="s">
        <v>3607</v>
      </c>
      <c r="E2737" t="s">
        <v>3608</v>
      </c>
    </row>
    <row r="2738" spans="1:5" x14ac:dyDescent="0.25">
      <c r="A2738" t="s">
        <v>3595</v>
      </c>
      <c r="B2738" t="s">
        <v>3601</v>
      </c>
      <c r="C2738" t="s">
        <v>1156</v>
      </c>
      <c r="D2738" t="s">
        <v>3603</v>
      </c>
      <c r="E2738" t="s">
        <v>3603</v>
      </c>
    </row>
    <row r="2739" spans="1:5" x14ac:dyDescent="0.25">
      <c r="A2739" t="s">
        <v>3595</v>
      </c>
      <c r="B2739" t="s">
        <v>3601</v>
      </c>
      <c r="C2739" t="s">
        <v>1463</v>
      </c>
      <c r="D2739" t="s">
        <v>3606</v>
      </c>
      <c r="E2739" t="s">
        <v>3603</v>
      </c>
    </row>
    <row r="2740" spans="1:5" x14ac:dyDescent="0.25">
      <c r="A2740" t="s">
        <v>3595</v>
      </c>
      <c r="B2740" t="s">
        <v>3601</v>
      </c>
      <c r="C2740" t="s">
        <v>733</v>
      </c>
      <c r="D2740" t="s">
        <v>3603</v>
      </c>
      <c r="E2740" t="s">
        <v>3605</v>
      </c>
    </row>
    <row r="2741" spans="1:5" x14ac:dyDescent="0.25">
      <c r="A2741" t="s">
        <v>3595</v>
      </c>
      <c r="B2741" t="s">
        <v>3601</v>
      </c>
      <c r="C2741" t="s">
        <v>670</v>
      </c>
      <c r="D2741" t="s">
        <v>3602</v>
      </c>
      <c r="E2741" t="s">
        <v>3609</v>
      </c>
    </row>
    <row r="2742" spans="1:5" x14ac:dyDescent="0.25">
      <c r="A2742" t="s">
        <v>3595</v>
      </c>
      <c r="B2742" t="s">
        <v>3601</v>
      </c>
      <c r="C2742" t="s">
        <v>509</v>
      </c>
      <c r="D2742" t="s">
        <v>3606</v>
      </c>
      <c r="E2742" t="s">
        <v>3603</v>
      </c>
    </row>
    <row r="2743" spans="1:5" x14ac:dyDescent="0.25">
      <c r="A2743" t="s">
        <v>3595</v>
      </c>
      <c r="B2743" t="s">
        <v>3601</v>
      </c>
      <c r="C2743" t="s">
        <v>1404</v>
      </c>
      <c r="D2743" t="s">
        <v>3603</v>
      </c>
      <c r="E2743" t="s">
        <v>3605</v>
      </c>
    </row>
    <row r="2744" spans="1:5" x14ac:dyDescent="0.25">
      <c r="A2744" t="s">
        <v>3595</v>
      </c>
      <c r="B2744" t="s">
        <v>3601</v>
      </c>
      <c r="C2744" t="s">
        <v>877</v>
      </c>
      <c r="D2744" t="s">
        <v>3606</v>
      </c>
      <c r="E2744" t="s">
        <v>3609</v>
      </c>
    </row>
    <row r="2745" spans="1:5" x14ac:dyDescent="0.25">
      <c r="A2745" t="s">
        <v>3595</v>
      </c>
      <c r="B2745" t="s">
        <v>3601</v>
      </c>
      <c r="C2745" t="s">
        <v>929</v>
      </c>
      <c r="D2745" t="s">
        <v>3603</v>
      </c>
      <c r="E2745" t="s">
        <v>3609</v>
      </c>
    </row>
    <row r="2746" spans="1:5" x14ac:dyDescent="0.25">
      <c r="A2746" t="s">
        <v>3595</v>
      </c>
      <c r="B2746" t="s">
        <v>3601</v>
      </c>
      <c r="C2746" t="s">
        <v>1327</v>
      </c>
      <c r="D2746" t="s">
        <v>3603</v>
      </c>
      <c r="E2746" t="s">
        <v>3603</v>
      </c>
    </row>
    <row r="2747" spans="1:5" x14ac:dyDescent="0.25">
      <c r="A2747" t="s">
        <v>3595</v>
      </c>
      <c r="B2747" t="s">
        <v>3601</v>
      </c>
      <c r="C2747" t="s">
        <v>2017</v>
      </c>
      <c r="D2747" t="s">
        <v>3602</v>
      </c>
      <c r="E2747" t="s">
        <v>3604</v>
      </c>
    </row>
    <row r="2748" spans="1:5" x14ac:dyDescent="0.25">
      <c r="A2748" t="s">
        <v>3595</v>
      </c>
      <c r="B2748" t="s">
        <v>3601</v>
      </c>
      <c r="C2748" t="s">
        <v>803</v>
      </c>
      <c r="D2748" t="s">
        <v>3606</v>
      </c>
      <c r="E2748" t="s">
        <v>3604</v>
      </c>
    </row>
    <row r="2749" spans="1:5" x14ac:dyDescent="0.25">
      <c r="A2749" t="s">
        <v>3595</v>
      </c>
      <c r="B2749" t="s">
        <v>3601</v>
      </c>
      <c r="C2749" t="s">
        <v>563</v>
      </c>
      <c r="D2749" t="s">
        <v>3606</v>
      </c>
      <c r="E2749" t="s">
        <v>3609</v>
      </c>
    </row>
    <row r="2750" spans="1:5" x14ac:dyDescent="0.25">
      <c r="A2750" t="s">
        <v>3595</v>
      </c>
      <c r="B2750" t="s">
        <v>3601</v>
      </c>
      <c r="C2750" t="s">
        <v>1012</v>
      </c>
      <c r="D2750" t="s">
        <v>3603</v>
      </c>
      <c r="E2750" t="s">
        <v>3605</v>
      </c>
    </row>
    <row r="2751" spans="1:5" x14ac:dyDescent="0.25">
      <c r="A2751" t="s">
        <v>3595</v>
      </c>
      <c r="B2751" t="s">
        <v>3601</v>
      </c>
      <c r="C2751" t="s">
        <v>2173</v>
      </c>
      <c r="D2751" t="s">
        <v>3602</v>
      </c>
      <c r="E2751" t="s">
        <v>3603</v>
      </c>
    </row>
    <row r="2752" spans="1:5" x14ac:dyDescent="0.25">
      <c r="A2752" t="s">
        <v>3595</v>
      </c>
      <c r="B2752" t="s">
        <v>3601</v>
      </c>
      <c r="C2752" t="s">
        <v>2306</v>
      </c>
      <c r="D2752" t="s">
        <v>3602</v>
      </c>
      <c r="E2752" t="s">
        <v>3609</v>
      </c>
    </row>
    <row r="2753" spans="1:5" x14ac:dyDescent="0.25">
      <c r="A2753" t="s">
        <v>3595</v>
      </c>
      <c r="B2753" t="s">
        <v>3601</v>
      </c>
      <c r="C2753" t="s">
        <v>2340</v>
      </c>
      <c r="D2753" t="s">
        <v>3602</v>
      </c>
      <c r="E2753" t="s">
        <v>3605</v>
      </c>
    </row>
    <row r="2754" spans="1:5" x14ac:dyDescent="0.25">
      <c r="A2754" t="s">
        <v>3595</v>
      </c>
      <c r="B2754" t="s">
        <v>3601</v>
      </c>
      <c r="C2754" t="s">
        <v>1394</v>
      </c>
      <c r="D2754" t="s">
        <v>3602</v>
      </c>
      <c r="E2754" t="s">
        <v>3603</v>
      </c>
    </row>
    <row r="2755" spans="1:5" x14ac:dyDescent="0.25">
      <c r="A2755" t="s">
        <v>3595</v>
      </c>
      <c r="B2755" t="s">
        <v>3601</v>
      </c>
      <c r="C2755" t="s">
        <v>1694</v>
      </c>
      <c r="D2755" t="s">
        <v>3606</v>
      </c>
      <c r="E2755" t="s">
        <v>3604</v>
      </c>
    </row>
    <row r="2756" spans="1:5" x14ac:dyDescent="0.25">
      <c r="A2756" t="s">
        <v>3595</v>
      </c>
      <c r="B2756" t="s">
        <v>3601</v>
      </c>
      <c r="C2756" t="s">
        <v>258</v>
      </c>
      <c r="D2756" t="s">
        <v>3606</v>
      </c>
      <c r="E2756" t="s">
        <v>3605</v>
      </c>
    </row>
    <row r="2757" spans="1:5" x14ac:dyDescent="0.25">
      <c r="A2757" t="s">
        <v>3595</v>
      </c>
      <c r="B2757" t="s">
        <v>3601</v>
      </c>
      <c r="C2757" t="s">
        <v>542</v>
      </c>
      <c r="D2757" t="s">
        <v>3607</v>
      </c>
      <c r="E2757" t="s">
        <v>3608</v>
      </c>
    </row>
    <row r="2758" spans="1:5" x14ac:dyDescent="0.25">
      <c r="A2758" t="s">
        <v>3595</v>
      </c>
      <c r="B2758" t="s">
        <v>3601</v>
      </c>
      <c r="C2758" t="s">
        <v>2817</v>
      </c>
      <c r="D2758" t="s">
        <v>3603</v>
      </c>
      <c r="E2758" t="s">
        <v>3605</v>
      </c>
    </row>
    <row r="2759" spans="1:5" x14ac:dyDescent="0.25">
      <c r="A2759" t="s">
        <v>3595</v>
      </c>
      <c r="B2759" t="s">
        <v>3601</v>
      </c>
      <c r="C2759" t="s">
        <v>2613</v>
      </c>
      <c r="D2759" t="s">
        <v>3602</v>
      </c>
      <c r="E2759" t="s">
        <v>3604</v>
      </c>
    </row>
    <row r="2760" spans="1:5" x14ac:dyDescent="0.25">
      <c r="A2760" t="s">
        <v>3595</v>
      </c>
      <c r="B2760" t="s">
        <v>3601</v>
      </c>
      <c r="C2760" t="s">
        <v>2105</v>
      </c>
      <c r="D2760" t="s">
        <v>3603</v>
      </c>
      <c r="E2760" t="s">
        <v>3609</v>
      </c>
    </row>
    <row r="2761" spans="1:5" x14ac:dyDescent="0.25">
      <c r="A2761" t="s">
        <v>3595</v>
      </c>
      <c r="B2761" t="s">
        <v>3601</v>
      </c>
      <c r="C2761" t="s">
        <v>2143</v>
      </c>
      <c r="D2761" t="s">
        <v>3603</v>
      </c>
      <c r="E2761" t="s">
        <v>3603</v>
      </c>
    </row>
    <row r="2762" spans="1:5" x14ac:dyDescent="0.25">
      <c r="A2762" t="s">
        <v>3595</v>
      </c>
      <c r="B2762" t="s">
        <v>3601</v>
      </c>
      <c r="C2762" t="s">
        <v>1575</v>
      </c>
      <c r="D2762" t="s">
        <v>3603</v>
      </c>
      <c r="E2762" t="s">
        <v>3603</v>
      </c>
    </row>
    <row r="2763" spans="1:5" x14ac:dyDescent="0.25">
      <c r="A2763" t="s">
        <v>3595</v>
      </c>
      <c r="B2763" t="s">
        <v>3601</v>
      </c>
      <c r="C2763" t="s">
        <v>2012</v>
      </c>
      <c r="D2763" t="s">
        <v>3603</v>
      </c>
      <c r="E2763" t="s">
        <v>3603</v>
      </c>
    </row>
    <row r="2764" spans="1:5" x14ac:dyDescent="0.25">
      <c r="A2764" t="s">
        <v>3595</v>
      </c>
      <c r="B2764" t="s">
        <v>3601</v>
      </c>
      <c r="C2764" t="s">
        <v>1866</v>
      </c>
      <c r="D2764" t="s">
        <v>3603</v>
      </c>
      <c r="E2764" t="s">
        <v>3604</v>
      </c>
    </row>
    <row r="2765" spans="1:5" x14ac:dyDescent="0.25">
      <c r="A2765" t="s">
        <v>3595</v>
      </c>
      <c r="B2765" t="s">
        <v>3601</v>
      </c>
      <c r="C2765" t="s">
        <v>2623</v>
      </c>
      <c r="D2765" t="s">
        <v>3603</v>
      </c>
      <c r="E2765" t="s">
        <v>3604</v>
      </c>
    </row>
    <row r="2766" spans="1:5" x14ac:dyDescent="0.25">
      <c r="A2766" t="s">
        <v>3595</v>
      </c>
      <c r="B2766" t="s">
        <v>3601</v>
      </c>
      <c r="C2766" t="s">
        <v>2371</v>
      </c>
      <c r="D2766" t="s">
        <v>3603</v>
      </c>
      <c r="E2766" t="s">
        <v>3609</v>
      </c>
    </row>
    <row r="2767" spans="1:5" x14ac:dyDescent="0.25">
      <c r="A2767" t="s">
        <v>3595</v>
      </c>
      <c r="B2767" t="s">
        <v>3601</v>
      </c>
      <c r="C2767" t="s">
        <v>2459</v>
      </c>
      <c r="D2767" t="s">
        <v>3603</v>
      </c>
      <c r="E2767" t="s">
        <v>3609</v>
      </c>
    </row>
    <row r="2768" spans="1:5" x14ac:dyDescent="0.25">
      <c r="A2768" t="s">
        <v>3595</v>
      </c>
      <c r="B2768" t="s">
        <v>3601</v>
      </c>
      <c r="C2768" t="s">
        <v>44</v>
      </c>
      <c r="D2768" t="s">
        <v>3607</v>
      </c>
      <c r="E2768" t="s">
        <v>3608</v>
      </c>
    </row>
    <row r="2769" spans="1:5" x14ac:dyDescent="0.25">
      <c r="A2769" t="s">
        <v>3595</v>
      </c>
      <c r="B2769" t="s">
        <v>3601</v>
      </c>
      <c r="C2769" t="s">
        <v>2778</v>
      </c>
      <c r="D2769" t="s">
        <v>3603</v>
      </c>
      <c r="E2769" t="s">
        <v>3605</v>
      </c>
    </row>
    <row r="2770" spans="1:5" x14ac:dyDescent="0.25">
      <c r="A2770" t="s">
        <v>3595</v>
      </c>
      <c r="B2770" t="s">
        <v>3601</v>
      </c>
      <c r="C2770" t="s">
        <v>2080</v>
      </c>
      <c r="D2770" t="s">
        <v>3606</v>
      </c>
      <c r="E2770" t="s">
        <v>3604</v>
      </c>
    </row>
    <row r="2771" spans="1:5" x14ac:dyDescent="0.25">
      <c r="A2771" t="s">
        <v>3595</v>
      </c>
      <c r="B2771" t="s">
        <v>3601</v>
      </c>
      <c r="C2771" t="s">
        <v>2178</v>
      </c>
      <c r="D2771" t="s">
        <v>3607</v>
      </c>
      <c r="E2771" t="s">
        <v>3608</v>
      </c>
    </row>
    <row r="2772" spans="1:5" x14ac:dyDescent="0.25">
      <c r="A2772" t="s">
        <v>3595</v>
      </c>
      <c r="B2772" t="s">
        <v>3601</v>
      </c>
      <c r="C2772" t="s">
        <v>2763</v>
      </c>
      <c r="D2772" t="s">
        <v>3602</v>
      </c>
      <c r="E2772" t="s">
        <v>3604</v>
      </c>
    </row>
    <row r="2773" spans="1:5" x14ac:dyDescent="0.25">
      <c r="A2773" t="s">
        <v>3595</v>
      </c>
      <c r="B2773" t="s">
        <v>3601</v>
      </c>
      <c r="C2773" t="s">
        <v>1458</v>
      </c>
      <c r="D2773" t="s">
        <v>3606</v>
      </c>
      <c r="E2773" t="s">
        <v>3605</v>
      </c>
    </row>
    <row r="2774" spans="1:5" x14ac:dyDescent="0.25">
      <c r="A2774" t="s">
        <v>3595</v>
      </c>
      <c r="B2774" t="s">
        <v>3601</v>
      </c>
      <c r="C2774" t="s">
        <v>385</v>
      </c>
      <c r="D2774" t="s">
        <v>3607</v>
      </c>
      <c r="E2774" t="s">
        <v>3608</v>
      </c>
    </row>
    <row r="2775" spans="1:5" x14ac:dyDescent="0.25">
      <c r="A2775" t="s">
        <v>3595</v>
      </c>
      <c r="B2775" t="s">
        <v>3601</v>
      </c>
      <c r="C2775" t="s">
        <v>2399</v>
      </c>
      <c r="D2775" t="s">
        <v>3603</v>
      </c>
      <c r="E2775" t="s">
        <v>3604</v>
      </c>
    </row>
    <row r="2776" spans="1:5" x14ac:dyDescent="0.25">
      <c r="A2776" t="s">
        <v>3595</v>
      </c>
      <c r="B2776" t="s">
        <v>3601</v>
      </c>
      <c r="C2776" t="s">
        <v>1002</v>
      </c>
      <c r="D2776" t="s">
        <v>3606</v>
      </c>
      <c r="E2776" t="s">
        <v>3609</v>
      </c>
    </row>
    <row r="2777" spans="1:5" x14ac:dyDescent="0.25">
      <c r="A2777" t="s">
        <v>3595</v>
      </c>
      <c r="B2777" t="s">
        <v>3601</v>
      </c>
      <c r="C2777" t="s">
        <v>1271</v>
      </c>
      <c r="D2777" t="s">
        <v>3606</v>
      </c>
      <c r="E2777" t="s">
        <v>3605</v>
      </c>
    </row>
    <row r="2778" spans="1:5" x14ac:dyDescent="0.25">
      <c r="A2778" t="s">
        <v>3595</v>
      </c>
      <c r="B2778" t="s">
        <v>3601</v>
      </c>
      <c r="C2778" t="s">
        <v>1216</v>
      </c>
      <c r="D2778" t="s">
        <v>3606</v>
      </c>
      <c r="E2778" t="s">
        <v>3603</v>
      </c>
    </row>
    <row r="2779" spans="1:5" x14ac:dyDescent="0.25">
      <c r="A2779" t="s">
        <v>3595</v>
      </c>
      <c r="B2779" t="s">
        <v>3601</v>
      </c>
      <c r="C2779" t="s">
        <v>888</v>
      </c>
      <c r="D2779" t="s">
        <v>3602</v>
      </c>
      <c r="E2779" t="s">
        <v>3604</v>
      </c>
    </row>
    <row r="2780" spans="1:5" x14ac:dyDescent="0.25">
      <c r="A2780" t="s">
        <v>3595</v>
      </c>
      <c r="B2780" t="s">
        <v>3601</v>
      </c>
      <c r="C2780" t="s">
        <v>717</v>
      </c>
      <c r="D2780" t="s">
        <v>3606</v>
      </c>
      <c r="E2780" t="s">
        <v>3603</v>
      </c>
    </row>
    <row r="2781" spans="1:5" x14ac:dyDescent="0.25">
      <c r="A2781" t="s">
        <v>3595</v>
      </c>
      <c r="B2781" t="s">
        <v>3601</v>
      </c>
      <c r="C2781" t="s">
        <v>1774</v>
      </c>
      <c r="D2781" t="s">
        <v>3603</v>
      </c>
      <c r="E2781" t="s">
        <v>3603</v>
      </c>
    </row>
    <row r="2782" spans="1:5" x14ac:dyDescent="0.25">
      <c r="A2782" t="s">
        <v>3595</v>
      </c>
      <c r="B2782" t="s">
        <v>3601</v>
      </c>
      <c r="C2782" t="s">
        <v>143</v>
      </c>
      <c r="D2782" t="s">
        <v>3607</v>
      </c>
      <c r="E2782" t="s">
        <v>3608</v>
      </c>
    </row>
    <row r="2783" spans="1:5" x14ac:dyDescent="0.25">
      <c r="A2783" t="s">
        <v>3595</v>
      </c>
      <c r="B2783" t="s">
        <v>3601</v>
      </c>
      <c r="C2783" t="s">
        <v>2512</v>
      </c>
      <c r="D2783" t="s">
        <v>3603</v>
      </c>
      <c r="E2783" t="s">
        <v>3605</v>
      </c>
    </row>
    <row r="2784" spans="1:5" x14ac:dyDescent="0.25">
      <c r="A2784" t="s">
        <v>3595</v>
      </c>
      <c r="B2784" t="s">
        <v>3601</v>
      </c>
      <c r="C2784" t="s">
        <v>1434</v>
      </c>
      <c r="D2784" t="s">
        <v>3603</v>
      </c>
      <c r="E2784" t="s">
        <v>3603</v>
      </c>
    </row>
    <row r="2785" spans="1:5" x14ac:dyDescent="0.25">
      <c r="A2785" t="s">
        <v>3595</v>
      </c>
      <c r="B2785" t="s">
        <v>3601</v>
      </c>
      <c r="C2785" t="s">
        <v>621</v>
      </c>
      <c r="D2785" t="s">
        <v>3602</v>
      </c>
      <c r="E2785" t="s">
        <v>3604</v>
      </c>
    </row>
    <row r="2786" spans="1:5" x14ac:dyDescent="0.25">
      <c r="A2786" t="s">
        <v>3595</v>
      </c>
      <c r="B2786" t="s">
        <v>3601</v>
      </c>
      <c r="C2786" t="s">
        <v>2311</v>
      </c>
      <c r="D2786" t="s">
        <v>3603</v>
      </c>
      <c r="E2786" t="s">
        <v>3603</v>
      </c>
    </row>
    <row r="2787" spans="1:5" x14ac:dyDescent="0.25">
      <c r="A2787" t="s">
        <v>3595</v>
      </c>
      <c r="B2787" t="s">
        <v>3601</v>
      </c>
      <c r="C2787" t="s">
        <v>2444</v>
      </c>
      <c r="D2787" t="s">
        <v>3602</v>
      </c>
      <c r="E2787" t="s">
        <v>3604</v>
      </c>
    </row>
    <row r="2788" spans="1:5" x14ac:dyDescent="0.25">
      <c r="A2788" t="s">
        <v>3595</v>
      </c>
      <c r="B2788" t="s">
        <v>3601</v>
      </c>
      <c r="C2788" t="s">
        <v>2877</v>
      </c>
      <c r="D2788" t="s">
        <v>3602</v>
      </c>
      <c r="E2788" t="s">
        <v>3603</v>
      </c>
    </row>
    <row r="2789" spans="1:5" x14ac:dyDescent="0.25">
      <c r="A2789" t="s">
        <v>3595</v>
      </c>
      <c r="B2789" t="s">
        <v>3601</v>
      </c>
      <c r="C2789" t="s">
        <v>1242</v>
      </c>
      <c r="D2789" t="s">
        <v>3602</v>
      </c>
      <c r="E2789" t="s">
        <v>3603</v>
      </c>
    </row>
    <row r="2790" spans="1:5" x14ac:dyDescent="0.25">
      <c r="A2790" t="s">
        <v>3595</v>
      </c>
      <c r="B2790" t="s">
        <v>3601</v>
      </c>
      <c r="C2790" t="s">
        <v>2330</v>
      </c>
      <c r="D2790" t="s">
        <v>3603</v>
      </c>
      <c r="E2790" t="s">
        <v>3605</v>
      </c>
    </row>
    <row r="2791" spans="1:5" x14ac:dyDescent="0.25">
      <c r="A2791" t="s">
        <v>3595</v>
      </c>
      <c r="B2791" t="s">
        <v>3601</v>
      </c>
      <c r="C2791" t="s">
        <v>2633</v>
      </c>
      <c r="D2791" t="s">
        <v>3603</v>
      </c>
      <c r="E2791" t="s">
        <v>3603</v>
      </c>
    </row>
    <row r="2792" spans="1:5" x14ac:dyDescent="0.25">
      <c r="A2792" t="s">
        <v>3595</v>
      </c>
      <c r="B2792" t="s">
        <v>3601</v>
      </c>
      <c r="C2792" t="s">
        <v>2638</v>
      </c>
      <c r="D2792" t="s">
        <v>3602</v>
      </c>
      <c r="E2792" t="s">
        <v>3603</v>
      </c>
    </row>
    <row r="2793" spans="1:5" x14ac:dyDescent="0.25">
      <c r="A2793" t="s">
        <v>3595</v>
      </c>
      <c r="B2793" t="s">
        <v>3601</v>
      </c>
      <c r="C2793" t="s">
        <v>1947</v>
      </c>
      <c r="D2793" t="s">
        <v>3606</v>
      </c>
      <c r="E2793" t="s">
        <v>3609</v>
      </c>
    </row>
    <row r="2794" spans="1:5" x14ac:dyDescent="0.25">
      <c r="A2794" t="s">
        <v>3595</v>
      </c>
      <c r="B2794" t="s">
        <v>3601</v>
      </c>
      <c r="C2794" t="s">
        <v>1922</v>
      </c>
      <c r="D2794" t="s">
        <v>3607</v>
      </c>
      <c r="E2794" t="s">
        <v>3608</v>
      </c>
    </row>
    <row r="2795" spans="1:5" x14ac:dyDescent="0.25">
      <c r="A2795" t="s">
        <v>3595</v>
      </c>
      <c r="B2795" t="s">
        <v>3601</v>
      </c>
      <c r="C2795" t="s">
        <v>1428</v>
      </c>
      <c r="D2795" t="s">
        <v>3607</v>
      </c>
      <c r="E2795" t="s">
        <v>3608</v>
      </c>
    </row>
    <row r="2796" spans="1:5" x14ac:dyDescent="0.25">
      <c r="A2796" t="s">
        <v>3595</v>
      </c>
      <c r="B2796" t="s">
        <v>3601</v>
      </c>
      <c r="C2796" t="s">
        <v>1684</v>
      </c>
      <c r="D2796" t="s">
        <v>3607</v>
      </c>
      <c r="E2796" t="s">
        <v>3608</v>
      </c>
    </row>
    <row r="2797" spans="1:5" x14ac:dyDescent="0.25">
      <c r="A2797" t="s">
        <v>3595</v>
      </c>
      <c r="B2797" t="s">
        <v>3601</v>
      </c>
      <c r="C2797" t="s">
        <v>2557</v>
      </c>
      <c r="D2797" t="s">
        <v>3606</v>
      </c>
      <c r="E2797" t="s">
        <v>3605</v>
      </c>
    </row>
    <row r="2798" spans="1:5" x14ac:dyDescent="0.25">
      <c r="A2798" t="s">
        <v>3595</v>
      </c>
      <c r="B2798" t="s">
        <v>3601</v>
      </c>
      <c r="C2798" t="s">
        <v>2414</v>
      </c>
      <c r="D2798" t="s">
        <v>3607</v>
      </c>
      <c r="E2798" t="s">
        <v>3608</v>
      </c>
    </row>
    <row r="2799" spans="1:5" x14ac:dyDescent="0.25">
      <c r="A2799" t="s">
        <v>3595</v>
      </c>
      <c r="B2799" t="s">
        <v>3601</v>
      </c>
      <c r="C2799" t="s">
        <v>2552</v>
      </c>
      <c r="D2799" t="s">
        <v>3606</v>
      </c>
      <c r="E2799" t="s">
        <v>3604</v>
      </c>
    </row>
    <row r="2800" spans="1:5" x14ac:dyDescent="0.25">
      <c r="A2800" t="s">
        <v>3595</v>
      </c>
      <c r="B2800" t="s">
        <v>3601</v>
      </c>
      <c r="C2800" t="s">
        <v>2052</v>
      </c>
      <c r="D2800" t="s">
        <v>3603</v>
      </c>
      <c r="E2800" t="s">
        <v>3603</v>
      </c>
    </row>
    <row r="2801" spans="1:5" x14ac:dyDescent="0.25">
      <c r="A2801" t="s">
        <v>3595</v>
      </c>
      <c r="B2801" t="s">
        <v>3601</v>
      </c>
      <c r="C2801" t="s">
        <v>1892</v>
      </c>
      <c r="D2801" t="s">
        <v>3606</v>
      </c>
      <c r="E2801" t="s">
        <v>3603</v>
      </c>
    </row>
    <row r="2802" spans="1:5" x14ac:dyDescent="0.25">
      <c r="A2802" t="s">
        <v>3595</v>
      </c>
      <c r="B2802" t="s">
        <v>3601</v>
      </c>
      <c r="C2802" t="s">
        <v>2086</v>
      </c>
      <c r="D2802" t="s">
        <v>3607</v>
      </c>
      <c r="E2802" t="s">
        <v>3608</v>
      </c>
    </row>
    <row r="2803" spans="1:5" x14ac:dyDescent="0.25">
      <c r="A2803" t="s">
        <v>3595</v>
      </c>
      <c r="B2803" t="s">
        <v>3601</v>
      </c>
      <c r="C2803" t="s">
        <v>2783</v>
      </c>
      <c r="D2803" t="s">
        <v>3603</v>
      </c>
      <c r="E2803" t="s">
        <v>3603</v>
      </c>
    </row>
    <row r="2804" spans="1:5" x14ac:dyDescent="0.25">
      <c r="A2804" t="s">
        <v>3595</v>
      </c>
      <c r="B2804" t="s">
        <v>3601</v>
      </c>
      <c r="C2804" t="s">
        <v>1791</v>
      </c>
      <c r="D2804" t="s">
        <v>3607</v>
      </c>
      <c r="E2804" t="s">
        <v>3608</v>
      </c>
    </row>
    <row r="2805" spans="1:5" x14ac:dyDescent="0.25">
      <c r="A2805" t="s">
        <v>3595</v>
      </c>
      <c r="B2805" t="s">
        <v>3601</v>
      </c>
      <c r="C2805" t="s">
        <v>2385</v>
      </c>
      <c r="D2805" t="s">
        <v>3606</v>
      </c>
      <c r="E2805" t="s">
        <v>3609</v>
      </c>
    </row>
    <row r="2806" spans="1:5" x14ac:dyDescent="0.25">
      <c r="A2806" t="s">
        <v>3595</v>
      </c>
      <c r="B2806" t="s">
        <v>3601</v>
      </c>
      <c r="C2806" t="s">
        <v>349</v>
      </c>
      <c r="D2806" t="s">
        <v>3603</v>
      </c>
      <c r="E2806" t="s">
        <v>3604</v>
      </c>
    </row>
    <row r="2807" spans="1:5" x14ac:dyDescent="0.25">
      <c r="A2807" t="s">
        <v>3595</v>
      </c>
      <c r="B2807" t="s">
        <v>3601</v>
      </c>
      <c r="C2807" t="s">
        <v>2602</v>
      </c>
      <c r="D2807" t="s">
        <v>3606</v>
      </c>
      <c r="E2807" t="s">
        <v>3605</v>
      </c>
    </row>
    <row r="2808" spans="1:5" x14ac:dyDescent="0.25">
      <c r="A2808" t="s">
        <v>3595</v>
      </c>
      <c r="B2808" t="s">
        <v>3601</v>
      </c>
      <c r="C2808" t="s">
        <v>2664</v>
      </c>
      <c r="D2808" t="s">
        <v>3602</v>
      </c>
      <c r="E2808" t="s">
        <v>3605</v>
      </c>
    </row>
    <row r="2809" spans="1:5" x14ac:dyDescent="0.25">
      <c r="A2809" t="s">
        <v>3595</v>
      </c>
      <c r="B2809" t="s">
        <v>3601</v>
      </c>
      <c r="C2809" t="s">
        <v>2709</v>
      </c>
      <c r="D2809" t="s">
        <v>3602</v>
      </c>
      <c r="E2809" t="s">
        <v>3609</v>
      </c>
    </row>
    <row r="2810" spans="1:5" x14ac:dyDescent="0.25">
      <c r="A2810" t="s">
        <v>3595</v>
      </c>
      <c r="B2810" t="s">
        <v>3601</v>
      </c>
      <c r="C2810" t="s">
        <v>846</v>
      </c>
      <c r="D2810" t="s">
        <v>3606</v>
      </c>
      <c r="E2810" t="s">
        <v>3609</v>
      </c>
    </row>
    <row r="2811" spans="1:5" x14ac:dyDescent="0.25">
      <c r="A2811" t="s">
        <v>3595</v>
      </c>
      <c r="B2811" t="s">
        <v>3601</v>
      </c>
      <c r="C2811" t="s">
        <v>1606</v>
      </c>
      <c r="D2811" t="s">
        <v>3603</v>
      </c>
      <c r="E2811" t="s">
        <v>3604</v>
      </c>
    </row>
    <row r="2812" spans="1:5" x14ac:dyDescent="0.25">
      <c r="A2812" t="s">
        <v>3595</v>
      </c>
      <c r="B2812" t="s">
        <v>3601</v>
      </c>
      <c r="C2812" t="s">
        <v>2583</v>
      </c>
      <c r="D2812" t="s">
        <v>3606</v>
      </c>
      <c r="E2812" t="s">
        <v>3605</v>
      </c>
    </row>
    <row r="2813" spans="1:5" x14ac:dyDescent="0.25">
      <c r="A2813" t="s">
        <v>3595</v>
      </c>
      <c r="B2813" t="s">
        <v>3601</v>
      </c>
      <c r="C2813" t="s">
        <v>2058</v>
      </c>
      <c r="D2813" t="s">
        <v>3607</v>
      </c>
      <c r="E2813" t="s">
        <v>3608</v>
      </c>
    </row>
    <row r="2814" spans="1:5" x14ac:dyDescent="0.25">
      <c r="A2814" t="s">
        <v>3595</v>
      </c>
      <c r="B2814" t="s">
        <v>3601</v>
      </c>
      <c r="C2814" t="s">
        <v>2479</v>
      </c>
      <c r="D2814" t="s">
        <v>3607</v>
      </c>
      <c r="E2814" t="s">
        <v>3608</v>
      </c>
    </row>
    <row r="2815" spans="1:5" x14ac:dyDescent="0.25">
      <c r="A2815" t="s">
        <v>3595</v>
      </c>
      <c r="B2815" t="s">
        <v>3601</v>
      </c>
      <c r="C2815" t="s">
        <v>443</v>
      </c>
      <c r="D2815" t="s">
        <v>3606</v>
      </c>
      <c r="E2815" t="s">
        <v>3609</v>
      </c>
    </row>
    <row r="2816" spans="1:5" x14ac:dyDescent="0.25">
      <c r="A2816" t="s">
        <v>3595</v>
      </c>
      <c r="B2816" t="s">
        <v>3601</v>
      </c>
      <c r="C2816" t="s">
        <v>2449</v>
      </c>
      <c r="D2816" t="s">
        <v>3606</v>
      </c>
      <c r="E2816" t="s">
        <v>3604</v>
      </c>
    </row>
    <row r="2817" spans="1:5" x14ac:dyDescent="0.25">
      <c r="A2817" t="s">
        <v>3595</v>
      </c>
      <c r="B2817" t="s">
        <v>3601</v>
      </c>
      <c r="C2817" t="s">
        <v>898</v>
      </c>
      <c r="D2817" t="s">
        <v>3602</v>
      </c>
      <c r="E2817" t="s">
        <v>3603</v>
      </c>
    </row>
    <row r="2818" spans="1:5" x14ac:dyDescent="0.25">
      <c r="A2818" t="s">
        <v>3595</v>
      </c>
      <c r="B2818" t="s">
        <v>3601</v>
      </c>
      <c r="C2818" t="s">
        <v>86</v>
      </c>
      <c r="D2818" t="s">
        <v>3602</v>
      </c>
      <c r="E2818" t="s">
        <v>3605</v>
      </c>
    </row>
    <row r="2819" spans="1:5" x14ac:dyDescent="0.25">
      <c r="A2819" t="s">
        <v>3595</v>
      </c>
      <c r="B2819" t="s">
        <v>3601</v>
      </c>
      <c r="C2819" t="s">
        <v>821</v>
      </c>
      <c r="D2819" t="s">
        <v>3602</v>
      </c>
      <c r="E2819" t="s">
        <v>3609</v>
      </c>
    </row>
    <row r="2820" spans="1:5" x14ac:dyDescent="0.25">
      <c r="A2820" t="s">
        <v>3595</v>
      </c>
      <c r="B2820" t="s">
        <v>3601</v>
      </c>
      <c r="C2820" t="s">
        <v>2738</v>
      </c>
      <c r="D2820" t="s">
        <v>3602</v>
      </c>
      <c r="E2820" t="s">
        <v>3603</v>
      </c>
    </row>
    <row r="2821" spans="1:5" x14ac:dyDescent="0.25">
      <c r="A2821" t="s">
        <v>3595</v>
      </c>
      <c r="B2821" t="s">
        <v>3601</v>
      </c>
      <c r="C2821" t="s">
        <v>1066</v>
      </c>
      <c r="D2821" t="s">
        <v>3607</v>
      </c>
      <c r="E2821" t="s">
        <v>3608</v>
      </c>
    </row>
    <row r="2822" spans="1:5" x14ac:dyDescent="0.25">
      <c r="A2822" t="s">
        <v>3595</v>
      </c>
      <c r="B2822" t="s">
        <v>3601</v>
      </c>
      <c r="C2822" t="s">
        <v>1145</v>
      </c>
      <c r="D2822" t="s">
        <v>3602</v>
      </c>
      <c r="E2822" t="s">
        <v>3604</v>
      </c>
    </row>
    <row r="2823" spans="1:5" x14ac:dyDescent="0.25">
      <c r="A2823" t="s">
        <v>3595</v>
      </c>
      <c r="B2823" t="s">
        <v>3601</v>
      </c>
      <c r="C2823" t="s">
        <v>1498</v>
      </c>
      <c r="D2823" t="s">
        <v>3602</v>
      </c>
      <c r="E2823" t="s">
        <v>3603</v>
      </c>
    </row>
    <row r="2824" spans="1:5" x14ac:dyDescent="0.25">
      <c r="A2824" t="s">
        <v>3595</v>
      </c>
      <c r="B2824" t="s">
        <v>3601</v>
      </c>
      <c r="C2824" t="s">
        <v>169</v>
      </c>
      <c r="D2824" t="s">
        <v>3607</v>
      </c>
      <c r="E2824" t="s">
        <v>3608</v>
      </c>
    </row>
    <row r="2825" spans="1:5" x14ac:dyDescent="0.25">
      <c r="A2825" t="s">
        <v>3595</v>
      </c>
      <c r="B2825" t="s">
        <v>3601</v>
      </c>
      <c r="C2825" t="s">
        <v>1473</v>
      </c>
      <c r="D2825" t="s">
        <v>3606</v>
      </c>
      <c r="E2825" t="s">
        <v>3605</v>
      </c>
    </row>
    <row r="2826" spans="1:5" x14ac:dyDescent="0.25">
      <c r="A2826" t="s">
        <v>3595</v>
      </c>
      <c r="B2826" t="s">
        <v>3601</v>
      </c>
      <c r="C2826" t="s">
        <v>2433</v>
      </c>
      <c r="D2826" t="s">
        <v>3603</v>
      </c>
      <c r="E2826" t="s">
        <v>3603</v>
      </c>
    </row>
    <row r="2827" spans="1:5" x14ac:dyDescent="0.25">
      <c r="A2827" t="s">
        <v>3595</v>
      </c>
      <c r="B2827" t="s">
        <v>3601</v>
      </c>
      <c r="C2827" t="s">
        <v>2394</v>
      </c>
      <c r="D2827" t="s">
        <v>3603</v>
      </c>
      <c r="E2827" t="s">
        <v>3605</v>
      </c>
    </row>
    <row r="2828" spans="1:5" x14ac:dyDescent="0.25">
      <c r="A2828" t="s">
        <v>3595</v>
      </c>
      <c r="B2828" t="s">
        <v>3601</v>
      </c>
      <c r="C2828" t="s">
        <v>2699</v>
      </c>
      <c r="D2828" t="s">
        <v>3602</v>
      </c>
      <c r="E2828" t="s">
        <v>3605</v>
      </c>
    </row>
    <row r="2829" spans="1:5" x14ac:dyDescent="0.25">
      <c r="A2829" t="s">
        <v>3595</v>
      </c>
      <c r="B2829" t="s">
        <v>3601</v>
      </c>
      <c r="C2829" t="s">
        <v>462</v>
      </c>
      <c r="D2829" t="s">
        <v>3606</v>
      </c>
      <c r="E2829" t="s">
        <v>3604</v>
      </c>
    </row>
    <row r="2830" spans="1:5" x14ac:dyDescent="0.25">
      <c r="A2830" t="s">
        <v>3595</v>
      </c>
      <c r="B2830" t="s">
        <v>3601</v>
      </c>
      <c r="C2830" t="s">
        <v>1211</v>
      </c>
      <c r="D2830" t="s">
        <v>3603</v>
      </c>
      <c r="E2830" t="s">
        <v>3605</v>
      </c>
    </row>
    <row r="2831" spans="1:5" x14ac:dyDescent="0.25">
      <c r="A2831" t="s">
        <v>3595</v>
      </c>
      <c r="B2831" t="s">
        <v>3610</v>
      </c>
      <c r="C2831" t="s">
        <v>2924</v>
      </c>
      <c r="D2831" t="s">
        <v>3607</v>
      </c>
      <c r="E2831" t="s">
        <v>3608</v>
      </c>
    </row>
    <row r="2832" spans="1:5" x14ac:dyDescent="0.25">
      <c r="A2832" t="s">
        <v>3595</v>
      </c>
      <c r="B2832" t="s">
        <v>3610</v>
      </c>
      <c r="C2832" t="s">
        <v>2960</v>
      </c>
      <c r="D2832" t="s">
        <v>3611</v>
      </c>
      <c r="E2832" t="s">
        <v>3608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30FC5-83A2-4FCA-A6E2-4E5DA817ACE7}">
  <dimension ref="A1:B9"/>
  <sheetViews>
    <sheetView workbookViewId="0">
      <selection activeCell="B5" sqref="B5"/>
    </sheetView>
  </sheetViews>
  <sheetFormatPr defaultRowHeight="15" x14ac:dyDescent="0.25"/>
  <cols>
    <col min="1" max="1" width="32.5703125" bestFit="1" customWidth="1"/>
  </cols>
  <sheetData>
    <row r="1" spans="1:2" x14ac:dyDescent="0.25">
      <c r="A1" s="5" t="s">
        <v>3630</v>
      </c>
      <c r="B1" s="5" t="s">
        <v>3614</v>
      </c>
    </row>
    <row r="2" spans="1:2" x14ac:dyDescent="0.25">
      <c r="A2" t="s">
        <v>3631</v>
      </c>
      <c r="B2">
        <f>COUNTA('Students Master'!A2:A501)</f>
        <v>500</v>
      </c>
    </row>
    <row r="3" spans="1:2" x14ac:dyDescent="0.25">
      <c r="A3" t="s">
        <v>3632</v>
      </c>
      <c r="B3">
        <f>COUNTA('Faculty Master'!A2:A21)</f>
        <v>20</v>
      </c>
    </row>
    <row r="4" spans="1:2" x14ac:dyDescent="0.25">
      <c r="A4" t="s">
        <v>3633</v>
      </c>
      <c r="B4">
        <f>COUNTIF('Semester Results'!I2:I2501,"Pass")</f>
        <v>1986</v>
      </c>
    </row>
    <row r="5" spans="1:2" x14ac:dyDescent="0.25">
      <c r="A5" t="s">
        <v>3634</v>
      </c>
      <c r="B5">
        <f>COUNTIF('Semester Results'!I2:I2501,"Fail")</f>
        <v>514</v>
      </c>
    </row>
    <row r="6" spans="1:2" x14ac:dyDescent="0.25">
      <c r="A6" t="s">
        <v>3625</v>
      </c>
      <c r="B6">
        <f>COUNTA('Events Master'!A2:A41)</f>
        <v>40</v>
      </c>
    </row>
    <row r="7" spans="1:2" x14ac:dyDescent="0.25">
      <c r="A7" t="s">
        <v>3635</v>
      </c>
      <c r="B7">
        <f>COUNTA('Event Participants'!A2:A2832)</f>
        <v>2831</v>
      </c>
    </row>
    <row r="8" spans="1:2" x14ac:dyDescent="0.25">
      <c r="A8" t="s">
        <v>3636</v>
      </c>
      <c r="B8">
        <f>AVERAGE('Semester Results'!E2:E2501)</f>
        <v>64.815600000000003</v>
      </c>
    </row>
    <row r="9" spans="1:2" x14ac:dyDescent="0.25">
      <c r="A9" t="s">
        <v>3637</v>
      </c>
      <c r="B9">
        <f>AVERAGE('Faculty Master'!J2:J21)</f>
        <v>10.050000000000001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L1103"/>
  <sheetViews>
    <sheetView workbookViewId="0">
      <selection activeCell="B37" sqref="B37:B39"/>
    </sheetView>
  </sheetViews>
  <sheetFormatPr defaultRowHeight="15" x14ac:dyDescent="0.25"/>
  <cols>
    <col min="1" max="1" width="12" customWidth="1"/>
    <col min="2" max="2" width="18.140625" customWidth="1"/>
    <col min="3" max="3" width="10" bestFit="1" customWidth="1"/>
    <col min="4" max="4" width="8.28515625" customWidth="1"/>
    <col min="5" max="5" width="11.42578125" bestFit="1" customWidth="1"/>
    <col min="6" max="6" width="5.7109375" customWidth="1"/>
    <col min="7" max="7" width="10.5703125" bestFit="1" customWidth="1"/>
    <col min="8" max="8" width="5.85546875" customWidth="1"/>
    <col min="9" max="9" width="7.5703125" customWidth="1"/>
    <col min="10" max="10" width="8.42578125" customWidth="1"/>
    <col min="11" max="11" width="5.5703125" customWidth="1"/>
    <col min="12" max="13" width="11.28515625" customWidth="1"/>
    <col min="14" max="15" width="16.140625" bestFit="1" customWidth="1"/>
  </cols>
  <sheetData>
    <row r="3" spans="1:12" x14ac:dyDescent="0.25">
      <c r="A3" s="3" t="s">
        <v>3616</v>
      </c>
      <c r="B3" t="s">
        <v>3617</v>
      </c>
    </row>
    <row r="4" spans="1:12" x14ac:dyDescent="0.25">
      <c r="A4" s="4" t="s">
        <v>106</v>
      </c>
      <c r="B4">
        <v>59</v>
      </c>
    </row>
    <row r="5" spans="1:12" x14ac:dyDescent="0.25">
      <c r="A5" s="4" t="s">
        <v>160</v>
      </c>
      <c r="B5">
        <v>69</v>
      </c>
    </row>
    <row r="6" spans="1:12" x14ac:dyDescent="0.25">
      <c r="A6" s="4" t="s">
        <v>76</v>
      </c>
      <c r="B6">
        <v>57</v>
      </c>
    </row>
    <row r="7" spans="1:12" x14ac:dyDescent="0.25">
      <c r="A7" s="4" t="s">
        <v>213</v>
      </c>
      <c r="B7">
        <v>61</v>
      </c>
      <c r="L7" s="4"/>
    </row>
    <row r="8" spans="1:12" x14ac:dyDescent="0.25">
      <c r="A8" s="4" t="s">
        <v>64</v>
      </c>
      <c r="B8">
        <v>64</v>
      </c>
      <c r="L8" s="6"/>
    </row>
    <row r="9" spans="1:12" x14ac:dyDescent="0.25">
      <c r="A9" s="4" t="s">
        <v>31</v>
      </c>
      <c r="B9">
        <v>72</v>
      </c>
      <c r="L9" s="7"/>
    </row>
    <row r="10" spans="1:12" x14ac:dyDescent="0.25">
      <c r="A10" s="4" t="s">
        <v>123</v>
      </c>
      <c r="B10">
        <v>52</v>
      </c>
      <c r="L10" s="8"/>
    </row>
    <row r="11" spans="1:12" x14ac:dyDescent="0.25">
      <c r="A11" s="4" t="s">
        <v>96</v>
      </c>
      <c r="B11">
        <v>66</v>
      </c>
      <c r="L11" s="9"/>
    </row>
    <row r="12" spans="1:12" x14ac:dyDescent="0.25">
      <c r="A12" s="4" t="s">
        <v>3613</v>
      </c>
      <c r="B12">
        <v>500</v>
      </c>
      <c r="L12" s="10"/>
    </row>
    <row r="13" spans="1:12" x14ac:dyDescent="0.25">
      <c r="L13" s="11"/>
    </row>
    <row r="14" spans="1:12" x14ac:dyDescent="0.25">
      <c r="L14" s="12"/>
    </row>
    <row r="15" spans="1:12" x14ac:dyDescent="0.25">
      <c r="L15" s="4"/>
    </row>
    <row r="16" spans="1:12" x14ac:dyDescent="0.25">
      <c r="L16" s="6"/>
    </row>
    <row r="17" spans="1:12" x14ac:dyDescent="0.25">
      <c r="L17" s="7"/>
    </row>
    <row r="18" spans="1:12" x14ac:dyDescent="0.25">
      <c r="L18" s="8"/>
    </row>
    <row r="19" spans="1:12" x14ac:dyDescent="0.25">
      <c r="L19" s="9"/>
    </row>
    <row r="20" spans="1:12" x14ac:dyDescent="0.25">
      <c r="L20" s="10"/>
    </row>
    <row r="21" spans="1:12" x14ac:dyDescent="0.25">
      <c r="L21" s="11"/>
    </row>
    <row r="22" spans="1:12" x14ac:dyDescent="0.25">
      <c r="A22" s="5" t="s">
        <v>3488</v>
      </c>
      <c r="B22" s="5" t="s">
        <v>3614</v>
      </c>
      <c r="L22" s="12"/>
    </row>
    <row r="23" spans="1:12" x14ac:dyDescent="0.25">
      <c r="A23" t="s">
        <v>3490</v>
      </c>
      <c r="B23">
        <f>COUNTIF('Semester Results'!I:I,A23)</f>
        <v>1986</v>
      </c>
      <c r="L23" s="4"/>
    </row>
    <row r="24" spans="1:12" x14ac:dyDescent="0.25">
      <c r="A24" t="s">
        <v>3492</v>
      </c>
      <c r="B24">
        <f>COUNTIF('Semester Results'!I:I,A24)</f>
        <v>514</v>
      </c>
      <c r="L24" s="6"/>
    </row>
    <row r="25" spans="1:12" x14ac:dyDescent="0.25">
      <c r="L25" s="7"/>
    </row>
    <row r="26" spans="1:12" x14ac:dyDescent="0.25">
      <c r="L26" s="8"/>
    </row>
    <row r="27" spans="1:12" x14ac:dyDescent="0.25">
      <c r="L27" s="9"/>
    </row>
    <row r="28" spans="1:12" x14ac:dyDescent="0.25">
      <c r="L28" s="10"/>
    </row>
    <row r="29" spans="1:12" x14ac:dyDescent="0.25">
      <c r="L29" s="11"/>
    </row>
    <row r="30" spans="1:12" x14ac:dyDescent="0.25">
      <c r="L30" s="12"/>
    </row>
    <row r="31" spans="1:12" x14ac:dyDescent="0.25">
      <c r="L31" s="4"/>
    </row>
    <row r="32" spans="1:12" x14ac:dyDescent="0.25">
      <c r="L32" s="6"/>
    </row>
    <row r="33" spans="1:12" x14ac:dyDescent="0.25">
      <c r="L33" s="7"/>
    </row>
    <row r="34" spans="1:12" x14ac:dyDescent="0.25">
      <c r="L34" s="8"/>
    </row>
    <row r="35" spans="1:12" x14ac:dyDescent="0.25">
      <c r="L35" s="9"/>
    </row>
    <row r="36" spans="1:12" x14ac:dyDescent="0.25">
      <c r="A36" t="s">
        <v>16</v>
      </c>
      <c r="B36" t="s">
        <v>3615</v>
      </c>
      <c r="L36" s="10"/>
    </row>
    <row r="37" spans="1:12" x14ac:dyDescent="0.25">
      <c r="A37">
        <v>1</v>
      </c>
      <c r="B37">
        <f>COUNTIF('Students Master'!Q:Q,A37)</f>
        <v>238</v>
      </c>
      <c r="L37" s="11"/>
    </row>
    <row r="38" spans="1:12" x14ac:dyDescent="0.25">
      <c r="A38">
        <v>2</v>
      </c>
      <c r="B38">
        <f>COUNTIF('Students Master'!Q:Q,A38)</f>
        <v>137</v>
      </c>
      <c r="L38" s="12"/>
    </row>
    <row r="39" spans="1:12" x14ac:dyDescent="0.25">
      <c r="A39">
        <v>3</v>
      </c>
      <c r="B39">
        <f>COUNTIF('Students Master'!Q:Q,A39)</f>
        <v>125</v>
      </c>
      <c r="L39" s="4"/>
    </row>
    <row r="40" spans="1:12" x14ac:dyDescent="0.25">
      <c r="L40" s="6"/>
    </row>
    <row r="41" spans="1:12" x14ac:dyDescent="0.25">
      <c r="L41" s="7"/>
    </row>
    <row r="42" spans="1:12" x14ac:dyDescent="0.25">
      <c r="L42" s="8"/>
    </row>
    <row r="43" spans="1:12" x14ac:dyDescent="0.25">
      <c r="L43" s="9"/>
    </row>
    <row r="44" spans="1:12" x14ac:dyDescent="0.25">
      <c r="L44" s="10"/>
    </row>
    <row r="45" spans="1:12" x14ac:dyDescent="0.25">
      <c r="L45" s="11"/>
    </row>
    <row r="46" spans="1:12" x14ac:dyDescent="0.25">
      <c r="L46" s="12"/>
    </row>
    <row r="47" spans="1:12" x14ac:dyDescent="0.25">
      <c r="L47" s="4"/>
    </row>
    <row r="48" spans="1:12" x14ac:dyDescent="0.25">
      <c r="L48" s="6"/>
    </row>
    <row r="51" spans="1:12" x14ac:dyDescent="0.25">
      <c r="A51" s="4"/>
    </row>
    <row r="52" spans="1:12" x14ac:dyDescent="0.25">
      <c r="A52" s="4"/>
    </row>
    <row r="53" spans="1:12" x14ac:dyDescent="0.25">
      <c r="A53" s="3" t="s">
        <v>9</v>
      </c>
      <c r="B53" t="s">
        <v>3617</v>
      </c>
    </row>
    <row r="54" spans="1:12" x14ac:dyDescent="0.25">
      <c r="A54" s="4" t="s">
        <v>25</v>
      </c>
      <c r="B54">
        <v>56</v>
      </c>
    </row>
    <row r="55" spans="1:12" x14ac:dyDescent="0.25">
      <c r="A55" s="4" t="s">
        <v>175</v>
      </c>
      <c r="B55">
        <v>58</v>
      </c>
    </row>
    <row r="56" spans="1:12" x14ac:dyDescent="0.25">
      <c r="A56" s="4" t="s">
        <v>40</v>
      </c>
      <c r="B56">
        <v>53</v>
      </c>
    </row>
    <row r="57" spans="1:12" x14ac:dyDescent="0.25">
      <c r="A57" s="4" t="s">
        <v>50</v>
      </c>
      <c r="B57">
        <v>74</v>
      </c>
    </row>
    <row r="58" spans="1:12" x14ac:dyDescent="0.25">
      <c r="A58" s="4" t="s">
        <v>139</v>
      </c>
      <c r="B58">
        <v>73</v>
      </c>
    </row>
    <row r="59" spans="1:12" x14ac:dyDescent="0.25">
      <c r="A59" s="4" t="s">
        <v>26</v>
      </c>
      <c r="B59">
        <v>67</v>
      </c>
    </row>
    <row r="60" spans="1:12" x14ac:dyDescent="0.25">
      <c r="A60" s="4" t="s">
        <v>201</v>
      </c>
      <c r="B60">
        <v>57</v>
      </c>
    </row>
    <row r="61" spans="1:12" x14ac:dyDescent="0.25">
      <c r="A61" s="4" t="s">
        <v>71</v>
      </c>
      <c r="B61">
        <v>62</v>
      </c>
    </row>
    <row r="62" spans="1:12" x14ac:dyDescent="0.25">
      <c r="A62" s="4" t="s">
        <v>3613</v>
      </c>
      <c r="B62">
        <v>500</v>
      </c>
    </row>
    <row r="64" spans="1:12" x14ac:dyDescent="0.25">
      <c r="L64" s="6"/>
    </row>
    <row r="65" spans="1:12" x14ac:dyDescent="0.25">
      <c r="L65" s="7"/>
    </row>
    <row r="66" spans="1:12" x14ac:dyDescent="0.25">
      <c r="L66" s="8"/>
    </row>
    <row r="67" spans="1:12" x14ac:dyDescent="0.25">
      <c r="L67" s="9"/>
    </row>
    <row r="68" spans="1:12" x14ac:dyDescent="0.25">
      <c r="L68" s="10"/>
    </row>
    <row r="69" spans="1:12" x14ac:dyDescent="0.25">
      <c r="L69" s="11"/>
    </row>
    <row r="70" spans="1:12" x14ac:dyDescent="0.25">
      <c r="L70" s="12"/>
    </row>
    <row r="71" spans="1:12" x14ac:dyDescent="0.25">
      <c r="A71" s="5" t="s">
        <v>2</v>
      </c>
      <c r="B71" s="5" t="s">
        <v>3617</v>
      </c>
      <c r="L71" s="4"/>
    </row>
    <row r="72" spans="1:12" x14ac:dyDescent="0.25">
      <c r="A72" t="s">
        <v>134</v>
      </c>
      <c r="B72">
        <f>COUNTIF('Students Master'!C:C,A72)</f>
        <v>253</v>
      </c>
      <c r="L72" s="6"/>
    </row>
    <row r="73" spans="1:12" x14ac:dyDescent="0.25">
      <c r="A73" t="s">
        <v>20</v>
      </c>
      <c r="B73">
        <f>COUNTIF('Students Master'!C:C,A73)</f>
        <v>241</v>
      </c>
      <c r="L73" s="7"/>
    </row>
    <row r="74" spans="1:12" x14ac:dyDescent="0.25">
      <c r="A74" t="s">
        <v>34</v>
      </c>
      <c r="B74">
        <f>COUNTIF('Students Master'!C:C,A74)</f>
        <v>6</v>
      </c>
      <c r="L74" s="8"/>
    </row>
    <row r="75" spans="1:12" x14ac:dyDescent="0.25">
      <c r="L75" s="9"/>
    </row>
    <row r="76" spans="1:12" x14ac:dyDescent="0.25">
      <c r="L76" s="10"/>
    </row>
    <row r="77" spans="1:12" x14ac:dyDescent="0.25">
      <c r="L77" s="11"/>
    </row>
    <row r="78" spans="1:12" x14ac:dyDescent="0.25">
      <c r="L78" s="12"/>
    </row>
    <row r="79" spans="1:12" x14ac:dyDescent="0.25">
      <c r="L79" s="4"/>
    </row>
    <row r="80" spans="1:12" x14ac:dyDescent="0.25">
      <c r="L80" s="6"/>
    </row>
    <row r="81" spans="1:12" x14ac:dyDescent="0.25">
      <c r="L81" s="7"/>
    </row>
    <row r="82" spans="1:12" x14ac:dyDescent="0.25">
      <c r="L82" s="8"/>
    </row>
    <row r="83" spans="1:12" x14ac:dyDescent="0.25">
      <c r="L83" s="9"/>
    </row>
    <row r="84" spans="1:12" x14ac:dyDescent="0.25">
      <c r="L84" s="10"/>
    </row>
    <row r="85" spans="1:12" x14ac:dyDescent="0.25">
      <c r="L85" s="11"/>
    </row>
    <row r="86" spans="1:12" x14ac:dyDescent="0.25">
      <c r="L86" s="12"/>
    </row>
    <row r="87" spans="1:12" x14ac:dyDescent="0.25">
      <c r="L87" s="4"/>
    </row>
    <row r="88" spans="1:12" x14ac:dyDescent="0.25">
      <c r="A88" s="15" t="s">
        <v>9</v>
      </c>
      <c r="B88" s="14" t="s">
        <v>3617</v>
      </c>
      <c r="L88" s="6"/>
    </row>
    <row r="89" spans="1:12" x14ac:dyDescent="0.25">
      <c r="A89" t="s">
        <v>26</v>
      </c>
      <c r="B89">
        <f>COUNTIF('Students Master'!J:J,A89)</f>
        <v>67</v>
      </c>
      <c r="L89" s="7"/>
    </row>
    <row r="90" spans="1:12" x14ac:dyDescent="0.25">
      <c r="A90" t="s">
        <v>40</v>
      </c>
      <c r="B90">
        <f>COUNTIF('Students Master'!J:J,A90)</f>
        <v>53</v>
      </c>
      <c r="L90" s="8"/>
    </row>
    <row r="91" spans="1:12" x14ac:dyDescent="0.25">
      <c r="A91" t="s">
        <v>50</v>
      </c>
      <c r="B91">
        <f>COUNTIF('Students Master'!J:J,A91)</f>
        <v>74</v>
      </c>
      <c r="L91" s="9"/>
    </row>
    <row r="92" spans="1:12" x14ac:dyDescent="0.25">
      <c r="A92" t="s">
        <v>25</v>
      </c>
      <c r="B92">
        <f>COUNTIF('Students Master'!J:J,A92)</f>
        <v>56</v>
      </c>
      <c r="L92" s="10"/>
    </row>
    <row r="93" spans="1:12" x14ac:dyDescent="0.25">
      <c r="A93" t="s">
        <v>71</v>
      </c>
      <c r="B93">
        <f>COUNTIF('Students Master'!J:J,A93)</f>
        <v>62</v>
      </c>
      <c r="L93" s="11"/>
    </row>
    <row r="94" spans="1:12" x14ac:dyDescent="0.25">
      <c r="A94" t="s">
        <v>139</v>
      </c>
      <c r="B94">
        <f>COUNTIF('Students Master'!J:J,A94)</f>
        <v>73</v>
      </c>
      <c r="L94" s="12"/>
    </row>
    <row r="95" spans="1:12" x14ac:dyDescent="0.25">
      <c r="A95" t="s">
        <v>175</v>
      </c>
      <c r="B95">
        <f>COUNTIF('Students Master'!J:J,A95)</f>
        <v>58</v>
      </c>
      <c r="L95" s="4"/>
    </row>
    <row r="96" spans="1:12" x14ac:dyDescent="0.25">
      <c r="A96" t="s">
        <v>201</v>
      </c>
      <c r="B96">
        <f>COUNTIF('Students Master'!J:J,A96)</f>
        <v>57</v>
      </c>
      <c r="L96" s="6"/>
    </row>
    <row r="97" spans="12:12" x14ac:dyDescent="0.25">
      <c r="L97" s="7"/>
    </row>
    <row r="98" spans="12:12" x14ac:dyDescent="0.25">
      <c r="L98" s="8"/>
    </row>
    <row r="99" spans="12:12" x14ac:dyDescent="0.25">
      <c r="L99" s="9"/>
    </row>
    <row r="100" spans="12:12" x14ac:dyDescent="0.25">
      <c r="L100" s="10"/>
    </row>
    <row r="101" spans="12:12" x14ac:dyDescent="0.25">
      <c r="L101" s="11"/>
    </row>
    <row r="102" spans="12:12" x14ac:dyDescent="0.25">
      <c r="L102" s="12"/>
    </row>
    <row r="103" spans="12:12" x14ac:dyDescent="0.25">
      <c r="L103" s="4"/>
    </row>
    <row r="104" spans="12:12" x14ac:dyDescent="0.25">
      <c r="L104" s="6"/>
    </row>
    <row r="105" spans="12:12" x14ac:dyDescent="0.25">
      <c r="L105" s="7"/>
    </row>
    <row r="106" spans="12:12" x14ac:dyDescent="0.25">
      <c r="L106" s="8"/>
    </row>
    <row r="107" spans="12:12" x14ac:dyDescent="0.25">
      <c r="L107" s="9"/>
    </row>
    <row r="108" spans="12:12" x14ac:dyDescent="0.25">
      <c r="L108" s="10"/>
    </row>
    <row r="109" spans="12:12" x14ac:dyDescent="0.25">
      <c r="L109" s="11"/>
    </row>
    <row r="110" spans="12:12" x14ac:dyDescent="0.25">
      <c r="L110" s="12"/>
    </row>
    <row r="111" spans="12:12" x14ac:dyDescent="0.25">
      <c r="L111" s="4"/>
    </row>
    <row r="112" spans="12:12" x14ac:dyDescent="0.25">
      <c r="L112" s="6"/>
    </row>
    <row r="113" spans="12:12" x14ac:dyDescent="0.25">
      <c r="L113" s="7"/>
    </row>
    <row r="114" spans="12:12" x14ac:dyDescent="0.25">
      <c r="L114" s="8"/>
    </row>
    <row r="115" spans="12:12" x14ac:dyDescent="0.25">
      <c r="L115" s="9"/>
    </row>
    <row r="116" spans="12:12" x14ac:dyDescent="0.25">
      <c r="L116" s="10"/>
    </row>
    <row r="117" spans="12:12" x14ac:dyDescent="0.25">
      <c r="L117" s="11"/>
    </row>
    <row r="118" spans="12:12" x14ac:dyDescent="0.25">
      <c r="L118" s="12"/>
    </row>
    <row r="119" spans="12:12" x14ac:dyDescent="0.25">
      <c r="L119" s="4"/>
    </row>
    <row r="120" spans="12:12" x14ac:dyDescent="0.25">
      <c r="L120" s="6"/>
    </row>
    <row r="121" spans="12:12" x14ac:dyDescent="0.25">
      <c r="L121" s="7"/>
    </row>
    <row r="122" spans="12:12" x14ac:dyDescent="0.25">
      <c r="L122" s="8"/>
    </row>
    <row r="123" spans="12:12" x14ac:dyDescent="0.25">
      <c r="L123" s="9"/>
    </row>
    <row r="124" spans="12:12" x14ac:dyDescent="0.25">
      <c r="L124" s="10"/>
    </row>
    <row r="125" spans="12:12" x14ac:dyDescent="0.25">
      <c r="L125" s="11"/>
    </row>
    <row r="126" spans="12:12" x14ac:dyDescent="0.25">
      <c r="L126" s="12"/>
    </row>
    <row r="127" spans="12:12" x14ac:dyDescent="0.25">
      <c r="L127" s="4"/>
    </row>
    <row r="128" spans="12:12" x14ac:dyDescent="0.25">
      <c r="L128" s="6"/>
    </row>
    <row r="129" spans="12:12" x14ac:dyDescent="0.25">
      <c r="L129" s="7"/>
    </row>
    <row r="130" spans="12:12" x14ac:dyDescent="0.25">
      <c r="L130" s="8"/>
    </row>
    <row r="131" spans="12:12" x14ac:dyDescent="0.25">
      <c r="L131" s="9"/>
    </row>
    <row r="132" spans="12:12" x14ac:dyDescent="0.25">
      <c r="L132" s="10"/>
    </row>
    <row r="133" spans="12:12" x14ac:dyDescent="0.25">
      <c r="L133" s="11"/>
    </row>
    <row r="134" spans="12:12" x14ac:dyDescent="0.25">
      <c r="L134" s="12"/>
    </row>
    <row r="135" spans="12:12" x14ac:dyDescent="0.25">
      <c r="L135" s="4"/>
    </row>
    <row r="136" spans="12:12" x14ac:dyDescent="0.25">
      <c r="L136" s="6"/>
    </row>
    <row r="137" spans="12:12" x14ac:dyDescent="0.25">
      <c r="L137" s="7"/>
    </row>
    <row r="138" spans="12:12" x14ac:dyDescent="0.25">
      <c r="L138" s="8"/>
    </row>
    <row r="139" spans="12:12" x14ac:dyDescent="0.25">
      <c r="L139" s="9"/>
    </row>
    <row r="140" spans="12:12" x14ac:dyDescent="0.25">
      <c r="L140" s="10"/>
    </row>
    <row r="141" spans="12:12" x14ac:dyDescent="0.25">
      <c r="L141" s="11"/>
    </row>
    <row r="142" spans="12:12" x14ac:dyDescent="0.25">
      <c r="L142" s="12"/>
    </row>
    <row r="143" spans="12:12" x14ac:dyDescent="0.25">
      <c r="L143" s="4"/>
    </row>
    <row r="144" spans="12:12" x14ac:dyDescent="0.25">
      <c r="L144" s="6"/>
    </row>
    <row r="145" spans="12:12" x14ac:dyDescent="0.25">
      <c r="L145" s="7"/>
    </row>
    <row r="146" spans="12:12" x14ac:dyDescent="0.25">
      <c r="L146" s="8"/>
    </row>
    <row r="147" spans="12:12" x14ac:dyDescent="0.25">
      <c r="L147" s="9"/>
    </row>
    <row r="148" spans="12:12" x14ac:dyDescent="0.25">
      <c r="L148" s="10"/>
    </row>
    <row r="149" spans="12:12" x14ac:dyDescent="0.25">
      <c r="L149" s="11"/>
    </row>
    <row r="150" spans="12:12" x14ac:dyDescent="0.25">
      <c r="L150" s="12"/>
    </row>
    <row r="151" spans="12:12" x14ac:dyDescent="0.25">
      <c r="L151" s="4"/>
    </row>
    <row r="152" spans="12:12" x14ac:dyDescent="0.25">
      <c r="L152" s="6"/>
    </row>
    <row r="153" spans="12:12" x14ac:dyDescent="0.25">
      <c r="L153" s="7"/>
    </row>
    <row r="154" spans="12:12" x14ac:dyDescent="0.25">
      <c r="L154" s="8"/>
    </row>
    <row r="155" spans="12:12" x14ac:dyDescent="0.25">
      <c r="L155" s="9"/>
    </row>
    <row r="156" spans="12:12" x14ac:dyDescent="0.25">
      <c r="L156" s="10"/>
    </row>
    <row r="157" spans="12:12" x14ac:dyDescent="0.25">
      <c r="L157" s="11"/>
    </row>
    <row r="158" spans="12:12" x14ac:dyDescent="0.25">
      <c r="L158" s="12"/>
    </row>
    <row r="159" spans="12:12" x14ac:dyDescent="0.25">
      <c r="L159" s="4"/>
    </row>
    <row r="160" spans="12:12" x14ac:dyDescent="0.25">
      <c r="L160" s="6"/>
    </row>
    <row r="161" spans="12:12" x14ac:dyDescent="0.25">
      <c r="L161" s="7"/>
    </row>
    <row r="162" spans="12:12" x14ac:dyDescent="0.25">
      <c r="L162" s="8"/>
    </row>
    <row r="163" spans="12:12" x14ac:dyDescent="0.25">
      <c r="L163" s="9"/>
    </row>
    <row r="164" spans="12:12" x14ac:dyDescent="0.25">
      <c r="L164" s="10"/>
    </row>
    <row r="165" spans="12:12" x14ac:dyDescent="0.25">
      <c r="L165" s="11"/>
    </row>
    <row r="166" spans="12:12" x14ac:dyDescent="0.25">
      <c r="L166" s="12"/>
    </row>
    <row r="167" spans="12:12" x14ac:dyDescent="0.25">
      <c r="L167" s="4"/>
    </row>
    <row r="168" spans="12:12" x14ac:dyDescent="0.25">
      <c r="L168" s="6"/>
    </row>
    <row r="169" spans="12:12" x14ac:dyDescent="0.25">
      <c r="L169" s="7"/>
    </row>
    <row r="170" spans="12:12" x14ac:dyDescent="0.25">
      <c r="L170" s="8"/>
    </row>
    <row r="171" spans="12:12" x14ac:dyDescent="0.25">
      <c r="L171" s="9"/>
    </row>
    <row r="172" spans="12:12" x14ac:dyDescent="0.25">
      <c r="L172" s="10"/>
    </row>
    <row r="173" spans="12:12" x14ac:dyDescent="0.25">
      <c r="L173" s="11"/>
    </row>
    <row r="174" spans="12:12" x14ac:dyDescent="0.25">
      <c r="L174" s="12"/>
    </row>
    <row r="175" spans="12:12" x14ac:dyDescent="0.25">
      <c r="L175" s="4"/>
    </row>
    <row r="176" spans="12:12" x14ac:dyDescent="0.25">
      <c r="L176" s="6"/>
    </row>
    <row r="177" spans="12:12" x14ac:dyDescent="0.25">
      <c r="L177" s="7"/>
    </row>
    <row r="178" spans="12:12" x14ac:dyDescent="0.25">
      <c r="L178" s="8"/>
    </row>
    <row r="179" spans="12:12" x14ac:dyDescent="0.25">
      <c r="L179" s="9"/>
    </row>
    <row r="180" spans="12:12" x14ac:dyDescent="0.25">
      <c r="L180" s="10"/>
    </row>
    <row r="181" spans="12:12" x14ac:dyDescent="0.25">
      <c r="L181" s="11"/>
    </row>
    <row r="182" spans="12:12" x14ac:dyDescent="0.25">
      <c r="L182" s="12"/>
    </row>
    <row r="183" spans="12:12" x14ac:dyDescent="0.25">
      <c r="L183" s="4"/>
    </row>
    <row r="184" spans="12:12" x14ac:dyDescent="0.25">
      <c r="L184" s="6"/>
    </row>
    <row r="185" spans="12:12" x14ac:dyDescent="0.25">
      <c r="L185" s="7"/>
    </row>
    <row r="186" spans="12:12" x14ac:dyDescent="0.25">
      <c r="L186" s="8"/>
    </row>
    <row r="187" spans="12:12" x14ac:dyDescent="0.25">
      <c r="L187" s="9"/>
    </row>
    <row r="188" spans="12:12" x14ac:dyDescent="0.25">
      <c r="L188" s="10"/>
    </row>
    <row r="189" spans="12:12" x14ac:dyDescent="0.25">
      <c r="L189" s="11"/>
    </row>
    <row r="190" spans="12:12" x14ac:dyDescent="0.25">
      <c r="L190" s="12"/>
    </row>
    <row r="191" spans="12:12" x14ac:dyDescent="0.25">
      <c r="L191" s="4"/>
    </row>
    <row r="192" spans="12:12" x14ac:dyDescent="0.25">
      <c r="L192" s="6"/>
    </row>
    <row r="193" spans="12:12" x14ac:dyDescent="0.25">
      <c r="L193" s="7"/>
    </row>
    <row r="194" spans="12:12" x14ac:dyDescent="0.25">
      <c r="L194" s="8"/>
    </row>
    <row r="195" spans="12:12" x14ac:dyDescent="0.25">
      <c r="L195" s="9"/>
    </row>
    <row r="196" spans="12:12" x14ac:dyDescent="0.25">
      <c r="L196" s="10"/>
    </row>
    <row r="197" spans="12:12" x14ac:dyDescent="0.25">
      <c r="L197" s="11"/>
    </row>
    <row r="198" spans="12:12" x14ac:dyDescent="0.25">
      <c r="L198" s="12"/>
    </row>
    <row r="199" spans="12:12" x14ac:dyDescent="0.25">
      <c r="L199" s="4"/>
    </row>
    <row r="200" spans="12:12" x14ac:dyDescent="0.25">
      <c r="L200" s="6"/>
    </row>
    <row r="201" spans="12:12" x14ac:dyDescent="0.25">
      <c r="L201" s="7"/>
    </row>
    <row r="202" spans="12:12" x14ac:dyDescent="0.25">
      <c r="L202" s="8"/>
    </row>
    <row r="203" spans="12:12" x14ac:dyDescent="0.25">
      <c r="L203" s="9"/>
    </row>
    <row r="204" spans="12:12" x14ac:dyDescent="0.25">
      <c r="L204" s="10"/>
    </row>
    <row r="205" spans="12:12" x14ac:dyDescent="0.25">
      <c r="L205" s="11"/>
    </row>
    <row r="206" spans="12:12" x14ac:dyDescent="0.25">
      <c r="L206" s="12"/>
    </row>
    <row r="207" spans="12:12" x14ac:dyDescent="0.25">
      <c r="L207" s="4"/>
    </row>
    <row r="208" spans="12:12" x14ac:dyDescent="0.25">
      <c r="L208" s="6"/>
    </row>
    <row r="209" spans="12:12" x14ac:dyDescent="0.25">
      <c r="L209" s="7"/>
    </row>
    <row r="210" spans="12:12" x14ac:dyDescent="0.25">
      <c r="L210" s="8"/>
    </row>
    <row r="211" spans="12:12" x14ac:dyDescent="0.25">
      <c r="L211" s="9"/>
    </row>
    <row r="212" spans="12:12" x14ac:dyDescent="0.25">
      <c r="L212" s="10"/>
    </row>
    <row r="213" spans="12:12" x14ac:dyDescent="0.25">
      <c r="L213" s="11"/>
    </row>
    <row r="214" spans="12:12" x14ac:dyDescent="0.25">
      <c r="L214" s="12"/>
    </row>
    <row r="215" spans="12:12" x14ac:dyDescent="0.25">
      <c r="L215" s="4"/>
    </row>
    <row r="216" spans="12:12" x14ac:dyDescent="0.25">
      <c r="L216" s="6"/>
    </row>
    <row r="217" spans="12:12" x14ac:dyDescent="0.25">
      <c r="L217" s="7"/>
    </row>
    <row r="218" spans="12:12" x14ac:dyDescent="0.25">
      <c r="L218" s="8"/>
    </row>
    <row r="219" spans="12:12" x14ac:dyDescent="0.25">
      <c r="L219" s="9"/>
    </row>
    <row r="220" spans="12:12" x14ac:dyDescent="0.25">
      <c r="L220" s="10"/>
    </row>
    <row r="221" spans="12:12" x14ac:dyDescent="0.25">
      <c r="L221" s="11"/>
    </row>
    <row r="222" spans="12:12" x14ac:dyDescent="0.25">
      <c r="L222" s="12"/>
    </row>
    <row r="223" spans="12:12" x14ac:dyDescent="0.25">
      <c r="L223" s="4"/>
    </row>
    <row r="224" spans="12:12" x14ac:dyDescent="0.25">
      <c r="L224" s="6"/>
    </row>
    <row r="225" spans="12:12" x14ac:dyDescent="0.25">
      <c r="L225" s="7"/>
    </row>
    <row r="226" spans="12:12" x14ac:dyDescent="0.25">
      <c r="L226" s="8"/>
    </row>
    <row r="227" spans="12:12" x14ac:dyDescent="0.25">
      <c r="L227" s="9"/>
    </row>
    <row r="228" spans="12:12" x14ac:dyDescent="0.25">
      <c r="L228" s="10"/>
    </row>
    <row r="229" spans="12:12" x14ac:dyDescent="0.25">
      <c r="L229" s="11"/>
    </row>
    <row r="230" spans="12:12" x14ac:dyDescent="0.25">
      <c r="L230" s="12"/>
    </row>
    <row r="231" spans="12:12" x14ac:dyDescent="0.25">
      <c r="L231" s="4"/>
    </row>
    <row r="232" spans="12:12" x14ac:dyDescent="0.25">
      <c r="L232" s="6"/>
    </row>
    <row r="233" spans="12:12" x14ac:dyDescent="0.25">
      <c r="L233" s="7"/>
    </row>
    <row r="234" spans="12:12" x14ac:dyDescent="0.25">
      <c r="L234" s="8"/>
    </row>
    <row r="235" spans="12:12" x14ac:dyDescent="0.25">
      <c r="L235" s="9"/>
    </row>
    <row r="236" spans="12:12" x14ac:dyDescent="0.25">
      <c r="L236" s="10"/>
    </row>
    <row r="237" spans="12:12" x14ac:dyDescent="0.25">
      <c r="L237" s="11"/>
    </row>
    <row r="238" spans="12:12" x14ac:dyDescent="0.25">
      <c r="L238" s="12"/>
    </row>
    <row r="239" spans="12:12" x14ac:dyDescent="0.25">
      <c r="L239" s="4"/>
    </row>
    <row r="240" spans="12:12" x14ac:dyDescent="0.25">
      <c r="L240" s="6"/>
    </row>
    <row r="241" spans="12:12" x14ac:dyDescent="0.25">
      <c r="L241" s="7"/>
    </row>
    <row r="242" spans="12:12" x14ac:dyDescent="0.25">
      <c r="L242" s="8"/>
    </row>
    <row r="243" spans="12:12" x14ac:dyDescent="0.25">
      <c r="L243" s="9"/>
    </row>
    <row r="244" spans="12:12" x14ac:dyDescent="0.25">
      <c r="L244" s="10"/>
    </row>
    <row r="245" spans="12:12" x14ac:dyDescent="0.25">
      <c r="L245" s="11"/>
    </row>
    <row r="246" spans="12:12" x14ac:dyDescent="0.25">
      <c r="L246" s="12"/>
    </row>
    <row r="247" spans="12:12" x14ac:dyDescent="0.25">
      <c r="L247" s="4"/>
    </row>
    <row r="248" spans="12:12" x14ac:dyDescent="0.25">
      <c r="L248" s="6"/>
    </row>
    <row r="249" spans="12:12" x14ac:dyDescent="0.25">
      <c r="L249" s="7"/>
    </row>
    <row r="250" spans="12:12" x14ac:dyDescent="0.25">
      <c r="L250" s="8"/>
    </row>
    <row r="251" spans="12:12" x14ac:dyDescent="0.25">
      <c r="L251" s="9"/>
    </row>
    <row r="252" spans="12:12" x14ac:dyDescent="0.25">
      <c r="L252" s="10"/>
    </row>
    <row r="253" spans="12:12" x14ac:dyDescent="0.25">
      <c r="L253" s="11"/>
    </row>
    <row r="254" spans="12:12" x14ac:dyDescent="0.25">
      <c r="L254" s="12"/>
    </row>
    <row r="255" spans="12:12" x14ac:dyDescent="0.25">
      <c r="L255" s="4"/>
    </row>
    <row r="256" spans="12:12" x14ac:dyDescent="0.25">
      <c r="L256" s="6"/>
    </row>
    <row r="257" spans="12:12" x14ac:dyDescent="0.25">
      <c r="L257" s="7"/>
    </row>
    <row r="258" spans="12:12" x14ac:dyDescent="0.25">
      <c r="L258" s="8"/>
    </row>
    <row r="259" spans="12:12" x14ac:dyDescent="0.25">
      <c r="L259" s="9"/>
    </row>
    <row r="260" spans="12:12" x14ac:dyDescent="0.25">
      <c r="L260" s="10"/>
    </row>
    <row r="261" spans="12:12" x14ac:dyDescent="0.25">
      <c r="L261" s="11"/>
    </row>
    <row r="262" spans="12:12" x14ac:dyDescent="0.25">
      <c r="L262" s="12"/>
    </row>
    <row r="263" spans="12:12" x14ac:dyDescent="0.25">
      <c r="L263" s="4"/>
    </row>
    <row r="264" spans="12:12" x14ac:dyDescent="0.25">
      <c r="L264" s="6"/>
    </row>
    <row r="265" spans="12:12" x14ac:dyDescent="0.25">
      <c r="L265" s="7"/>
    </row>
    <row r="266" spans="12:12" x14ac:dyDescent="0.25">
      <c r="L266" s="8"/>
    </row>
    <row r="267" spans="12:12" x14ac:dyDescent="0.25">
      <c r="L267" s="9"/>
    </row>
    <row r="268" spans="12:12" x14ac:dyDescent="0.25">
      <c r="L268" s="10"/>
    </row>
    <row r="269" spans="12:12" x14ac:dyDescent="0.25">
      <c r="L269" s="11"/>
    </row>
    <row r="270" spans="12:12" x14ac:dyDescent="0.25">
      <c r="L270" s="12"/>
    </row>
    <row r="271" spans="12:12" x14ac:dyDescent="0.25">
      <c r="L271" s="4"/>
    </row>
    <row r="272" spans="12:12" x14ac:dyDescent="0.25">
      <c r="L272" s="6"/>
    </row>
    <row r="273" spans="12:12" x14ac:dyDescent="0.25">
      <c r="L273" s="7"/>
    </row>
    <row r="274" spans="12:12" x14ac:dyDescent="0.25">
      <c r="L274" s="8"/>
    </row>
    <row r="275" spans="12:12" x14ac:dyDescent="0.25">
      <c r="L275" s="9"/>
    </row>
    <row r="276" spans="12:12" x14ac:dyDescent="0.25">
      <c r="L276" s="10"/>
    </row>
    <row r="277" spans="12:12" x14ac:dyDescent="0.25">
      <c r="L277" s="11"/>
    </row>
    <row r="278" spans="12:12" x14ac:dyDescent="0.25">
      <c r="L278" s="12"/>
    </row>
    <row r="279" spans="12:12" x14ac:dyDescent="0.25">
      <c r="L279" s="4"/>
    </row>
    <row r="280" spans="12:12" x14ac:dyDescent="0.25">
      <c r="L280" s="6"/>
    </row>
    <row r="281" spans="12:12" x14ac:dyDescent="0.25">
      <c r="L281" s="7"/>
    </row>
    <row r="282" spans="12:12" x14ac:dyDescent="0.25">
      <c r="L282" s="8"/>
    </row>
    <row r="283" spans="12:12" x14ac:dyDescent="0.25">
      <c r="L283" s="9"/>
    </row>
    <row r="284" spans="12:12" x14ac:dyDescent="0.25">
      <c r="L284" s="10"/>
    </row>
    <row r="285" spans="12:12" x14ac:dyDescent="0.25">
      <c r="L285" s="11"/>
    </row>
    <row r="286" spans="12:12" x14ac:dyDescent="0.25">
      <c r="L286" s="12"/>
    </row>
    <row r="287" spans="12:12" x14ac:dyDescent="0.25">
      <c r="L287" s="4"/>
    </row>
    <row r="288" spans="12:12" x14ac:dyDescent="0.25">
      <c r="L288" s="6"/>
    </row>
    <row r="289" spans="12:12" x14ac:dyDescent="0.25">
      <c r="L289" s="7"/>
    </row>
    <row r="290" spans="12:12" x14ac:dyDescent="0.25">
      <c r="L290" s="8"/>
    </row>
    <row r="291" spans="12:12" x14ac:dyDescent="0.25">
      <c r="L291" s="9"/>
    </row>
    <row r="292" spans="12:12" x14ac:dyDescent="0.25">
      <c r="L292" s="10"/>
    </row>
    <row r="293" spans="12:12" x14ac:dyDescent="0.25">
      <c r="L293" s="11"/>
    </row>
    <row r="294" spans="12:12" x14ac:dyDescent="0.25">
      <c r="L294" s="12"/>
    </row>
    <row r="295" spans="12:12" x14ac:dyDescent="0.25">
      <c r="L295" s="4"/>
    </row>
    <row r="296" spans="12:12" x14ac:dyDescent="0.25">
      <c r="L296" s="6"/>
    </row>
    <row r="297" spans="12:12" x14ac:dyDescent="0.25">
      <c r="L297" s="7"/>
    </row>
    <row r="298" spans="12:12" x14ac:dyDescent="0.25">
      <c r="L298" s="8"/>
    </row>
    <row r="299" spans="12:12" x14ac:dyDescent="0.25">
      <c r="L299" s="9"/>
    </row>
    <row r="300" spans="12:12" x14ac:dyDescent="0.25">
      <c r="L300" s="10"/>
    </row>
    <row r="301" spans="12:12" x14ac:dyDescent="0.25">
      <c r="L301" s="11"/>
    </row>
    <row r="302" spans="12:12" x14ac:dyDescent="0.25">
      <c r="L302" s="12"/>
    </row>
    <row r="303" spans="12:12" x14ac:dyDescent="0.25">
      <c r="L303" s="4"/>
    </row>
    <row r="304" spans="12:12" x14ac:dyDescent="0.25">
      <c r="L304" s="6"/>
    </row>
    <row r="305" spans="12:12" x14ac:dyDescent="0.25">
      <c r="L305" s="7"/>
    </row>
    <row r="306" spans="12:12" x14ac:dyDescent="0.25">
      <c r="L306" s="8"/>
    </row>
    <row r="307" spans="12:12" x14ac:dyDescent="0.25">
      <c r="L307" s="9"/>
    </row>
    <row r="308" spans="12:12" x14ac:dyDescent="0.25">
      <c r="L308" s="10"/>
    </row>
    <row r="309" spans="12:12" x14ac:dyDescent="0.25">
      <c r="L309" s="11"/>
    </row>
    <row r="310" spans="12:12" x14ac:dyDescent="0.25">
      <c r="L310" s="12"/>
    </row>
    <row r="311" spans="12:12" x14ac:dyDescent="0.25">
      <c r="L311" s="4"/>
    </row>
    <row r="312" spans="12:12" x14ac:dyDescent="0.25">
      <c r="L312" s="6"/>
    </row>
    <row r="313" spans="12:12" x14ac:dyDescent="0.25">
      <c r="L313" s="7"/>
    </row>
    <row r="314" spans="12:12" x14ac:dyDescent="0.25">
      <c r="L314" s="8"/>
    </row>
    <row r="315" spans="12:12" x14ac:dyDescent="0.25">
      <c r="L315" s="9"/>
    </row>
    <row r="316" spans="12:12" x14ac:dyDescent="0.25">
      <c r="L316" s="10"/>
    </row>
    <row r="317" spans="12:12" x14ac:dyDescent="0.25">
      <c r="L317" s="11"/>
    </row>
    <row r="318" spans="12:12" x14ac:dyDescent="0.25">
      <c r="L318" s="12"/>
    </row>
    <row r="319" spans="12:12" x14ac:dyDescent="0.25">
      <c r="L319" s="4"/>
    </row>
    <row r="320" spans="12:12" x14ac:dyDescent="0.25">
      <c r="L320" s="6"/>
    </row>
    <row r="321" spans="12:12" x14ac:dyDescent="0.25">
      <c r="L321" s="7"/>
    </row>
    <row r="322" spans="12:12" x14ac:dyDescent="0.25">
      <c r="L322" s="8"/>
    </row>
    <row r="323" spans="12:12" x14ac:dyDescent="0.25">
      <c r="L323" s="9"/>
    </row>
    <row r="324" spans="12:12" x14ac:dyDescent="0.25">
      <c r="L324" s="10"/>
    </row>
    <row r="325" spans="12:12" x14ac:dyDescent="0.25">
      <c r="L325" s="11"/>
    </row>
    <row r="326" spans="12:12" x14ac:dyDescent="0.25">
      <c r="L326" s="12"/>
    </row>
    <row r="327" spans="12:12" x14ac:dyDescent="0.25">
      <c r="L327" s="4"/>
    </row>
    <row r="328" spans="12:12" x14ac:dyDescent="0.25">
      <c r="L328" s="6"/>
    </row>
    <row r="329" spans="12:12" x14ac:dyDescent="0.25">
      <c r="L329" s="7"/>
    </row>
    <row r="330" spans="12:12" x14ac:dyDescent="0.25">
      <c r="L330" s="8"/>
    </row>
    <row r="331" spans="12:12" x14ac:dyDescent="0.25">
      <c r="L331" s="9"/>
    </row>
    <row r="332" spans="12:12" x14ac:dyDescent="0.25">
      <c r="L332" s="10"/>
    </row>
    <row r="333" spans="12:12" x14ac:dyDescent="0.25">
      <c r="L333" s="11"/>
    </row>
    <row r="334" spans="12:12" x14ac:dyDescent="0.25">
      <c r="L334" s="12"/>
    </row>
    <row r="335" spans="12:12" x14ac:dyDescent="0.25">
      <c r="L335" s="4"/>
    </row>
    <row r="336" spans="12:12" x14ac:dyDescent="0.25">
      <c r="L336" s="6"/>
    </row>
    <row r="337" spans="12:12" x14ac:dyDescent="0.25">
      <c r="L337" s="7"/>
    </row>
    <row r="338" spans="12:12" x14ac:dyDescent="0.25">
      <c r="L338" s="8"/>
    </row>
    <row r="339" spans="12:12" x14ac:dyDescent="0.25">
      <c r="L339" s="9"/>
    </row>
    <row r="340" spans="12:12" x14ac:dyDescent="0.25">
      <c r="L340" s="10"/>
    </row>
    <row r="341" spans="12:12" x14ac:dyDescent="0.25">
      <c r="L341" s="11"/>
    </row>
    <row r="342" spans="12:12" x14ac:dyDescent="0.25">
      <c r="L342" s="12"/>
    </row>
    <row r="343" spans="12:12" x14ac:dyDescent="0.25">
      <c r="L343" s="4"/>
    </row>
    <row r="344" spans="12:12" x14ac:dyDescent="0.25">
      <c r="L344" s="6"/>
    </row>
    <row r="345" spans="12:12" x14ac:dyDescent="0.25">
      <c r="L345" s="7"/>
    </row>
    <row r="346" spans="12:12" x14ac:dyDescent="0.25">
      <c r="L346" s="8"/>
    </row>
    <row r="347" spans="12:12" x14ac:dyDescent="0.25">
      <c r="L347" s="9"/>
    </row>
    <row r="348" spans="12:12" x14ac:dyDescent="0.25">
      <c r="L348" s="10"/>
    </row>
    <row r="349" spans="12:12" x14ac:dyDescent="0.25">
      <c r="L349" s="11"/>
    </row>
    <row r="350" spans="12:12" x14ac:dyDescent="0.25">
      <c r="L350" s="12"/>
    </row>
    <row r="351" spans="12:12" x14ac:dyDescent="0.25">
      <c r="L351" s="4"/>
    </row>
    <row r="352" spans="12:12" x14ac:dyDescent="0.25">
      <c r="L352" s="6"/>
    </row>
    <row r="353" spans="12:12" x14ac:dyDescent="0.25">
      <c r="L353" s="7"/>
    </row>
    <row r="354" spans="12:12" x14ac:dyDescent="0.25">
      <c r="L354" s="8"/>
    </row>
    <row r="355" spans="12:12" x14ac:dyDescent="0.25">
      <c r="L355" s="9"/>
    </row>
    <row r="356" spans="12:12" x14ac:dyDescent="0.25">
      <c r="L356" s="10"/>
    </row>
    <row r="357" spans="12:12" x14ac:dyDescent="0.25">
      <c r="L357" s="11"/>
    </row>
    <row r="358" spans="12:12" x14ac:dyDescent="0.25">
      <c r="L358" s="12"/>
    </row>
    <row r="359" spans="12:12" x14ac:dyDescent="0.25">
      <c r="L359" s="4"/>
    </row>
    <row r="360" spans="12:12" x14ac:dyDescent="0.25">
      <c r="L360" s="6"/>
    </row>
    <row r="361" spans="12:12" x14ac:dyDescent="0.25">
      <c r="L361" s="7"/>
    </row>
    <row r="362" spans="12:12" x14ac:dyDescent="0.25">
      <c r="L362" s="8"/>
    </row>
    <row r="363" spans="12:12" x14ac:dyDescent="0.25">
      <c r="L363" s="9"/>
    </row>
    <row r="364" spans="12:12" x14ac:dyDescent="0.25">
      <c r="L364" s="10"/>
    </row>
    <row r="365" spans="12:12" x14ac:dyDescent="0.25">
      <c r="L365" s="11"/>
    </row>
    <row r="366" spans="12:12" x14ac:dyDescent="0.25">
      <c r="L366" s="12"/>
    </row>
    <row r="367" spans="12:12" x14ac:dyDescent="0.25">
      <c r="L367" s="4"/>
    </row>
    <row r="368" spans="12:12" x14ac:dyDescent="0.25">
      <c r="L368" s="6"/>
    </row>
    <row r="369" spans="12:12" x14ac:dyDescent="0.25">
      <c r="L369" s="7"/>
    </row>
    <row r="370" spans="12:12" x14ac:dyDescent="0.25">
      <c r="L370" s="8"/>
    </row>
    <row r="371" spans="12:12" x14ac:dyDescent="0.25">
      <c r="L371" s="9"/>
    </row>
    <row r="372" spans="12:12" x14ac:dyDescent="0.25">
      <c r="L372" s="10"/>
    </row>
    <row r="373" spans="12:12" x14ac:dyDescent="0.25">
      <c r="L373" s="11"/>
    </row>
    <row r="374" spans="12:12" x14ac:dyDescent="0.25">
      <c r="L374" s="12"/>
    </row>
    <row r="375" spans="12:12" x14ac:dyDescent="0.25">
      <c r="L375" s="4"/>
    </row>
    <row r="376" spans="12:12" x14ac:dyDescent="0.25">
      <c r="L376" s="6"/>
    </row>
    <row r="377" spans="12:12" x14ac:dyDescent="0.25">
      <c r="L377" s="7"/>
    </row>
    <row r="378" spans="12:12" x14ac:dyDescent="0.25">
      <c r="L378" s="8"/>
    </row>
    <row r="379" spans="12:12" x14ac:dyDescent="0.25">
      <c r="L379" s="9"/>
    </row>
    <row r="380" spans="12:12" x14ac:dyDescent="0.25">
      <c r="L380" s="10"/>
    </row>
    <row r="381" spans="12:12" x14ac:dyDescent="0.25">
      <c r="L381" s="11"/>
    </row>
    <row r="382" spans="12:12" x14ac:dyDescent="0.25">
      <c r="L382" s="12"/>
    </row>
    <row r="383" spans="12:12" x14ac:dyDescent="0.25">
      <c r="L383" s="4"/>
    </row>
    <row r="384" spans="12:12" x14ac:dyDescent="0.25">
      <c r="L384" s="6"/>
    </row>
    <row r="385" spans="12:12" x14ac:dyDescent="0.25">
      <c r="L385" s="7"/>
    </row>
    <row r="386" spans="12:12" x14ac:dyDescent="0.25">
      <c r="L386" s="8"/>
    </row>
    <row r="387" spans="12:12" x14ac:dyDescent="0.25">
      <c r="L387" s="9"/>
    </row>
    <row r="388" spans="12:12" x14ac:dyDescent="0.25">
      <c r="L388" s="10"/>
    </row>
    <row r="389" spans="12:12" x14ac:dyDescent="0.25">
      <c r="L389" s="11"/>
    </row>
    <row r="390" spans="12:12" x14ac:dyDescent="0.25">
      <c r="L390" s="12"/>
    </row>
    <row r="391" spans="12:12" x14ac:dyDescent="0.25">
      <c r="L391" s="4"/>
    </row>
    <row r="392" spans="12:12" x14ac:dyDescent="0.25">
      <c r="L392" s="6"/>
    </row>
    <row r="393" spans="12:12" x14ac:dyDescent="0.25">
      <c r="L393" s="7"/>
    </row>
    <row r="394" spans="12:12" x14ac:dyDescent="0.25">
      <c r="L394" s="8"/>
    </row>
    <row r="395" spans="12:12" x14ac:dyDescent="0.25">
      <c r="L395" s="9"/>
    </row>
    <row r="396" spans="12:12" x14ac:dyDescent="0.25">
      <c r="L396" s="10"/>
    </row>
    <row r="397" spans="12:12" x14ac:dyDescent="0.25">
      <c r="L397" s="11"/>
    </row>
    <row r="398" spans="12:12" x14ac:dyDescent="0.25">
      <c r="L398" s="12"/>
    </row>
    <row r="399" spans="12:12" x14ac:dyDescent="0.25">
      <c r="L399" s="4"/>
    </row>
    <row r="400" spans="12:12" x14ac:dyDescent="0.25">
      <c r="L400" s="6"/>
    </row>
    <row r="401" spans="12:12" x14ac:dyDescent="0.25">
      <c r="L401" s="7"/>
    </row>
    <row r="402" spans="12:12" x14ac:dyDescent="0.25">
      <c r="L402" s="8"/>
    </row>
    <row r="403" spans="12:12" x14ac:dyDescent="0.25">
      <c r="L403" s="9"/>
    </row>
    <row r="404" spans="12:12" x14ac:dyDescent="0.25">
      <c r="L404" s="10"/>
    </row>
    <row r="405" spans="12:12" x14ac:dyDescent="0.25">
      <c r="L405" s="11"/>
    </row>
    <row r="406" spans="12:12" x14ac:dyDescent="0.25">
      <c r="L406" s="12"/>
    </row>
    <row r="407" spans="12:12" x14ac:dyDescent="0.25">
      <c r="L407" s="4"/>
    </row>
    <row r="408" spans="12:12" x14ac:dyDescent="0.25">
      <c r="L408" s="6"/>
    </row>
    <row r="409" spans="12:12" x14ac:dyDescent="0.25">
      <c r="L409" s="7"/>
    </row>
    <row r="410" spans="12:12" x14ac:dyDescent="0.25">
      <c r="L410" s="8"/>
    </row>
    <row r="411" spans="12:12" x14ac:dyDescent="0.25">
      <c r="L411" s="9"/>
    </row>
    <row r="412" spans="12:12" x14ac:dyDescent="0.25">
      <c r="L412" s="10"/>
    </row>
    <row r="413" spans="12:12" x14ac:dyDescent="0.25">
      <c r="L413" s="11"/>
    </row>
    <row r="414" spans="12:12" x14ac:dyDescent="0.25">
      <c r="L414" s="12"/>
    </row>
    <row r="415" spans="12:12" x14ac:dyDescent="0.25">
      <c r="L415" s="4"/>
    </row>
    <row r="416" spans="12:12" x14ac:dyDescent="0.25">
      <c r="L416" s="6"/>
    </row>
    <row r="417" spans="12:12" x14ac:dyDescent="0.25">
      <c r="L417" s="7"/>
    </row>
    <row r="418" spans="12:12" x14ac:dyDescent="0.25">
      <c r="L418" s="8"/>
    </row>
    <row r="419" spans="12:12" x14ac:dyDescent="0.25">
      <c r="L419" s="9"/>
    </row>
    <row r="420" spans="12:12" x14ac:dyDescent="0.25">
      <c r="L420" s="10"/>
    </row>
    <row r="421" spans="12:12" x14ac:dyDescent="0.25">
      <c r="L421" s="11"/>
    </row>
    <row r="422" spans="12:12" x14ac:dyDescent="0.25">
      <c r="L422" s="12"/>
    </row>
    <row r="423" spans="12:12" x14ac:dyDescent="0.25">
      <c r="L423" s="4"/>
    </row>
    <row r="424" spans="12:12" x14ac:dyDescent="0.25">
      <c r="L424" s="6"/>
    </row>
    <row r="425" spans="12:12" x14ac:dyDescent="0.25">
      <c r="L425" s="7"/>
    </row>
    <row r="426" spans="12:12" x14ac:dyDescent="0.25">
      <c r="L426" s="8"/>
    </row>
    <row r="427" spans="12:12" x14ac:dyDescent="0.25">
      <c r="L427" s="9"/>
    </row>
    <row r="428" spans="12:12" x14ac:dyDescent="0.25">
      <c r="L428" s="10"/>
    </row>
    <row r="429" spans="12:12" x14ac:dyDescent="0.25">
      <c r="L429" s="11"/>
    </row>
    <row r="430" spans="12:12" x14ac:dyDescent="0.25">
      <c r="L430" s="12"/>
    </row>
    <row r="431" spans="12:12" x14ac:dyDescent="0.25">
      <c r="L431" s="4"/>
    </row>
    <row r="432" spans="12:12" x14ac:dyDescent="0.25">
      <c r="L432" s="6"/>
    </row>
    <row r="433" spans="12:12" x14ac:dyDescent="0.25">
      <c r="L433" s="7"/>
    </row>
    <row r="434" spans="12:12" x14ac:dyDescent="0.25">
      <c r="L434" s="8"/>
    </row>
    <row r="435" spans="12:12" x14ac:dyDescent="0.25">
      <c r="L435" s="9"/>
    </row>
    <row r="436" spans="12:12" x14ac:dyDescent="0.25">
      <c r="L436" s="10"/>
    </row>
    <row r="437" spans="12:12" x14ac:dyDescent="0.25">
      <c r="L437" s="11"/>
    </row>
    <row r="438" spans="12:12" x14ac:dyDescent="0.25">
      <c r="L438" s="12"/>
    </row>
    <row r="439" spans="12:12" x14ac:dyDescent="0.25">
      <c r="L439" s="4"/>
    </row>
    <row r="440" spans="12:12" x14ac:dyDescent="0.25">
      <c r="L440" s="6"/>
    </row>
    <row r="441" spans="12:12" x14ac:dyDescent="0.25">
      <c r="L441" s="7"/>
    </row>
    <row r="442" spans="12:12" x14ac:dyDescent="0.25">
      <c r="L442" s="8"/>
    </row>
    <row r="443" spans="12:12" x14ac:dyDescent="0.25">
      <c r="L443" s="9"/>
    </row>
    <row r="444" spans="12:12" x14ac:dyDescent="0.25">
      <c r="L444" s="10"/>
    </row>
    <row r="445" spans="12:12" x14ac:dyDescent="0.25">
      <c r="L445" s="11"/>
    </row>
    <row r="446" spans="12:12" x14ac:dyDescent="0.25">
      <c r="L446" s="12"/>
    </row>
    <row r="447" spans="12:12" x14ac:dyDescent="0.25">
      <c r="L447" s="4"/>
    </row>
    <row r="448" spans="12:12" x14ac:dyDescent="0.25">
      <c r="L448" s="6"/>
    </row>
    <row r="449" spans="12:12" x14ac:dyDescent="0.25">
      <c r="L449" s="7"/>
    </row>
    <row r="450" spans="12:12" x14ac:dyDescent="0.25">
      <c r="L450" s="8"/>
    </row>
    <row r="451" spans="12:12" x14ac:dyDescent="0.25">
      <c r="L451" s="9"/>
    </row>
    <row r="452" spans="12:12" x14ac:dyDescent="0.25">
      <c r="L452" s="10"/>
    </row>
    <row r="453" spans="12:12" x14ac:dyDescent="0.25">
      <c r="L453" s="11"/>
    </row>
    <row r="454" spans="12:12" x14ac:dyDescent="0.25">
      <c r="L454" s="12"/>
    </row>
    <row r="455" spans="12:12" x14ac:dyDescent="0.25">
      <c r="L455" s="4"/>
    </row>
    <row r="456" spans="12:12" x14ac:dyDescent="0.25">
      <c r="L456" s="6"/>
    </row>
    <row r="457" spans="12:12" x14ac:dyDescent="0.25">
      <c r="L457" s="7"/>
    </row>
    <row r="458" spans="12:12" x14ac:dyDescent="0.25">
      <c r="L458" s="8"/>
    </row>
    <row r="459" spans="12:12" x14ac:dyDescent="0.25">
      <c r="L459" s="9"/>
    </row>
    <row r="460" spans="12:12" x14ac:dyDescent="0.25">
      <c r="L460" s="10"/>
    </row>
    <row r="461" spans="12:12" x14ac:dyDescent="0.25">
      <c r="L461" s="11"/>
    </row>
    <row r="462" spans="12:12" x14ac:dyDescent="0.25">
      <c r="L462" s="12"/>
    </row>
    <row r="463" spans="12:12" x14ac:dyDescent="0.25">
      <c r="L463" s="4"/>
    </row>
    <row r="464" spans="12:12" x14ac:dyDescent="0.25">
      <c r="L464" s="6"/>
    </row>
    <row r="465" spans="12:12" x14ac:dyDescent="0.25">
      <c r="L465" s="7"/>
    </row>
    <row r="466" spans="12:12" x14ac:dyDescent="0.25">
      <c r="L466" s="8"/>
    </row>
    <row r="467" spans="12:12" x14ac:dyDescent="0.25">
      <c r="L467" s="9"/>
    </row>
    <row r="468" spans="12:12" x14ac:dyDescent="0.25">
      <c r="L468" s="10"/>
    </row>
    <row r="469" spans="12:12" x14ac:dyDescent="0.25">
      <c r="L469" s="11"/>
    </row>
    <row r="470" spans="12:12" x14ac:dyDescent="0.25">
      <c r="L470" s="12"/>
    </row>
    <row r="471" spans="12:12" x14ac:dyDescent="0.25">
      <c r="L471" s="4"/>
    </row>
    <row r="472" spans="12:12" x14ac:dyDescent="0.25">
      <c r="L472" s="6"/>
    </row>
    <row r="473" spans="12:12" x14ac:dyDescent="0.25">
      <c r="L473" s="7"/>
    </row>
    <row r="474" spans="12:12" x14ac:dyDescent="0.25">
      <c r="L474" s="8"/>
    </row>
    <row r="475" spans="12:12" x14ac:dyDescent="0.25">
      <c r="L475" s="9"/>
    </row>
    <row r="476" spans="12:12" x14ac:dyDescent="0.25">
      <c r="L476" s="10"/>
    </row>
    <row r="477" spans="12:12" x14ac:dyDescent="0.25">
      <c r="L477" s="11"/>
    </row>
    <row r="478" spans="12:12" x14ac:dyDescent="0.25">
      <c r="L478" s="12"/>
    </row>
    <row r="479" spans="12:12" x14ac:dyDescent="0.25">
      <c r="L479" s="4"/>
    </row>
    <row r="480" spans="12:12" x14ac:dyDescent="0.25">
      <c r="L480" s="6"/>
    </row>
    <row r="481" spans="12:12" x14ac:dyDescent="0.25">
      <c r="L481" s="7"/>
    </row>
    <row r="482" spans="12:12" x14ac:dyDescent="0.25">
      <c r="L482" s="8"/>
    </row>
    <row r="483" spans="12:12" x14ac:dyDescent="0.25">
      <c r="L483" s="9"/>
    </row>
    <row r="484" spans="12:12" x14ac:dyDescent="0.25">
      <c r="L484" s="10"/>
    </row>
    <row r="485" spans="12:12" x14ac:dyDescent="0.25">
      <c r="L485" s="11"/>
    </row>
    <row r="486" spans="12:12" x14ac:dyDescent="0.25">
      <c r="L486" s="12"/>
    </row>
    <row r="487" spans="12:12" x14ac:dyDescent="0.25">
      <c r="L487" s="4"/>
    </row>
    <row r="488" spans="12:12" x14ac:dyDescent="0.25">
      <c r="L488" s="6"/>
    </row>
    <row r="489" spans="12:12" x14ac:dyDescent="0.25">
      <c r="L489" s="7"/>
    </row>
    <row r="490" spans="12:12" x14ac:dyDescent="0.25">
      <c r="L490" s="8"/>
    </row>
    <row r="491" spans="12:12" x14ac:dyDescent="0.25">
      <c r="L491" s="9"/>
    </row>
    <row r="492" spans="12:12" x14ac:dyDescent="0.25">
      <c r="L492" s="10"/>
    </row>
    <row r="493" spans="12:12" x14ac:dyDescent="0.25">
      <c r="L493" s="11"/>
    </row>
    <row r="494" spans="12:12" x14ac:dyDescent="0.25">
      <c r="L494" s="12"/>
    </row>
    <row r="495" spans="12:12" x14ac:dyDescent="0.25">
      <c r="L495" s="4"/>
    </row>
    <row r="496" spans="12:12" x14ac:dyDescent="0.25">
      <c r="L496" s="6"/>
    </row>
    <row r="497" spans="12:12" x14ac:dyDescent="0.25">
      <c r="L497" s="7"/>
    </row>
    <row r="498" spans="12:12" x14ac:dyDescent="0.25">
      <c r="L498" s="8"/>
    </row>
    <row r="499" spans="12:12" x14ac:dyDescent="0.25">
      <c r="L499" s="9"/>
    </row>
    <row r="500" spans="12:12" x14ac:dyDescent="0.25">
      <c r="L500" s="10"/>
    </row>
    <row r="501" spans="12:12" x14ac:dyDescent="0.25">
      <c r="L501" s="11"/>
    </row>
    <row r="502" spans="12:12" x14ac:dyDescent="0.25">
      <c r="L502" s="12"/>
    </row>
    <row r="503" spans="12:12" x14ac:dyDescent="0.25">
      <c r="L503" s="4"/>
    </row>
    <row r="504" spans="12:12" x14ac:dyDescent="0.25">
      <c r="L504" s="6"/>
    </row>
    <row r="505" spans="12:12" x14ac:dyDescent="0.25">
      <c r="L505" s="7"/>
    </row>
    <row r="506" spans="12:12" x14ac:dyDescent="0.25">
      <c r="L506" s="8"/>
    </row>
    <row r="507" spans="12:12" x14ac:dyDescent="0.25">
      <c r="L507" s="9"/>
    </row>
    <row r="508" spans="12:12" x14ac:dyDescent="0.25">
      <c r="L508" s="10"/>
    </row>
    <row r="509" spans="12:12" x14ac:dyDescent="0.25">
      <c r="L509" s="11"/>
    </row>
    <row r="510" spans="12:12" x14ac:dyDescent="0.25">
      <c r="L510" s="12"/>
    </row>
    <row r="511" spans="12:12" x14ac:dyDescent="0.25">
      <c r="L511" s="4"/>
    </row>
    <row r="512" spans="12:12" x14ac:dyDescent="0.25">
      <c r="L512" s="6"/>
    </row>
    <row r="513" spans="12:12" x14ac:dyDescent="0.25">
      <c r="L513" s="7"/>
    </row>
    <row r="514" spans="12:12" x14ac:dyDescent="0.25">
      <c r="L514" s="8"/>
    </row>
    <row r="515" spans="12:12" x14ac:dyDescent="0.25">
      <c r="L515" s="9"/>
    </row>
    <row r="516" spans="12:12" x14ac:dyDescent="0.25">
      <c r="L516" s="10"/>
    </row>
    <row r="517" spans="12:12" x14ac:dyDescent="0.25">
      <c r="L517" s="11"/>
    </row>
    <row r="518" spans="12:12" x14ac:dyDescent="0.25">
      <c r="L518" s="12"/>
    </row>
    <row r="519" spans="12:12" x14ac:dyDescent="0.25">
      <c r="L519" s="4"/>
    </row>
    <row r="520" spans="12:12" x14ac:dyDescent="0.25">
      <c r="L520" s="6"/>
    </row>
    <row r="521" spans="12:12" x14ac:dyDescent="0.25">
      <c r="L521" s="7"/>
    </row>
    <row r="522" spans="12:12" x14ac:dyDescent="0.25">
      <c r="L522" s="8"/>
    </row>
    <row r="523" spans="12:12" x14ac:dyDescent="0.25">
      <c r="L523" s="9"/>
    </row>
    <row r="524" spans="12:12" x14ac:dyDescent="0.25">
      <c r="L524" s="10"/>
    </row>
    <row r="525" spans="12:12" x14ac:dyDescent="0.25">
      <c r="L525" s="11"/>
    </row>
    <row r="526" spans="12:12" x14ac:dyDescent="0.25">
      <c r="L526" s="12"/>
    </row>
    <row r="527" spans="12:12" x14ac:dyDescent="0.25">
      <c r="L527" s="4"/>
    </row>
    <row r="528" spans="12:12" x14ac:dyDescent="0.25">
      <c r="L528" s="6"/>
    </row>
    <row r="529" spans="12:12" x14ac:dyDescent="0.25">
      <c r="L529" s="7"/>
    </row>
    <row r="530" spans="12:12" x14ac:dyDescent="0.25">
      <c r="L530" s="8"/>
    </row>
    <row r="531" spans="12:12" x14ac:dyDescent="0.25">
      <c r="L531" s="9"/>
    </row>
    <row r="532" spans="12:12" x14ac:dyDescent="0.25">
      <c r="L532" s="10"/>
    </row>
    <row r="533" spans="12:12" x14ac:dyDescent="0.25">
      <c r="L533" s="11"/>
    </row>
    <row r="534" spans="12:12" x14ac:dyDescent="0.25">
      <c r="L534" s="12"/>
    </row>
    <row r="535" spans="12:12" x14ac:dyDescent="0.25">
      <c r="L535" s="4"/>
    </row>
    <row r="536" spans="12:12" x14ac:dyDescent="0.25">
      <c r="L536" s="6"/>
    </row>
    <row r="537" spans="12:12" x14ac:dyDescent="0.25">
      <c r="L537" s="7"/>
    </row>
    <row r="538" spans="12:12" x14ac:dyDescent="0.25">
      <c r="L538" s="8"/>
    </row>
    <row r="539" spans="12:12" x14ac:dyDescent="0.25">
      <c r="L539" s="9"/>
    </row>
    <row r="540" spans="12:12" x14ac:dyDescent="0.25">
      <c r="L540" s="10"/>
    </row>
    <row r="541" spans="12:12" x14ac:dyDescent="0.25">
      <c r="L541" s="11"/>
    </row>
    <row r="542" spans="12:12" x14ac:dyDescent="0.25">
      <c r="L542" s="12"/>
    </row>
    <row r="543" spans="12:12" x14ac:dyDescent="0.25">
      <c r="L543" s="4"/>
    </row>
    <row r="544" spans="12:12" x14ac:dyDescent="0.25">
      <c r="L544" s="6"/>
    </row>
    <row r="545" spans="12:12" x14ac:dyDescent="0.25">
      <c r="L545" s="7"/>
    </row>
    <row r="546" spans="12:12" x14ac:dyDescent="0.25">
      <c r="L546" s="8"/>
    </row>
    <row r="547" spans="12:12" x14ac:dyDescent="0.25">
      <c r="L547" s="9"/>
    </row>
    <row r="548" spans="12:12" x14ac:dyDescent="0.25">
      <c r="L548" s="10"/>
    </row>
    <row r="549" spans="12:12" x14ac:dyDescent="0.25">
      <c r="L549" s="11"/>
    </row>
    <row r="550" spans="12:12" x14ac:dyDescent="0.25">
      <c r="L550" s="12"/>
    </row>
    <row r="551" spans="12:12" x14ac:dyDescent="0.25">
      <c r="L551" s="4"/>
    </row>
    <row r="552" spans="12:12" x14ac:dyDescent="0.25">
      <c r="L552" s="6"/>
    </row>
    <row r="553" spans="12:12" x14ac:dyDescent="0.25">
      <c r="L553" s="7"/>
    </row>
    <row r="554" spans="12:12" x14ac:dyDescent="0.25">
      <c r="L554" s="8"/>
    </row>
    <row r="555" spans="12:12" x14ac:dyDescent="0.25">
      <c r="L555" s="9"/>
    </row>
    <row r="556" spans="12:12" x14ac:dyDescent="0.25">
      <c r="L556" s="10"/>
    </row>
    <row r="557" spans="12:12" x14ac:dyDescent="0.25">
      <c r="L557" s="11"/>
    </row>
    <row r="558" spans="12:12" x14ac:dyDescent="0.25">
      <c r="L558" s="12"/>
    </row>
    <row r="559" spans="12:12" x14ac:dyDescent="0.25">
      <c r="L559" s="4"/>
    </row>
    <row r="560" spans="12:12" x14ac:dyDescent="0.25">
      <c r="L560" s="6"/>
    </row>
    <row r="561" spans="12:12" x14ac:dyDescent="0.25">
      <c r="L561" s="7"/>
    </row>
    <row r="562" spans="12:12" x14ac:dyDescent="0.25">
      <c r="L562" s="8"/>
    </row>
    <row r="563" spans="12:12" x14ac:dyDescent="0.25">
      <c r="L563" s="9"/>
    </row>
    <row r="564" spans="12:12" x14ac:dyDescent="0.25">
      <c r="L564" s="10"/>
    </row>
    <row r="565" spans="12:12" x14ac:dyDescent="0.25">
      <c r="L565" s="11"/>
    </row>
    <row r="566" spans="12:12" x14ac:dyDescent="0.25">
      <c r="L566" s="12"/>
    </row>
    <row r="567" spans="12:12" x14ac:dyDescent="0.25">
      <c r="L567" s="4"/>
    </row>
    <row r="568" spans="12:12" x14ac:dyDescent="0.25">
      <c r="L568" s="6"/>
    </row>
    <row r="569" spans="12:12" x14ac:dyDescent="0.25">
      <c r="L569" s="7"/>
    </row>
    <row r="570" spans="12:12" x14ac:dyDescent="0.25">
      <c r="L570" s="8"/>
    </row>
    <row r="571" spans="12:12" x14ac:dyDescent="0.25">
      <c r="L571" s="9"/>
    </row>
    <row r="572" spans="12:12" x14ac:dyDescent="0.25">
      <c r="L572" s="10"/>
    </row>
    <row r="573" spans="12:12" x14ac:dyDescent="0.25">
      <c r="L573" s="11"/>
    </row>
    <row r="574" spans="12:12" x14ac:dyDescent="0.25">
      <c r="L574" s="12"/>
    </row>
    <row r="575" spans="12:12" x14ac:dyDescent="0.25">
      <c r="L575" s="4"/>
    </row>
    <row r="576" spans="12:12" x14ac:dyDescent="0.25">
      <c r="L576" s="6"/>
    </row>
    <row r="577" spans="12:12" x14ac:dyDescent="0.25">
      <c r="L577" s="7"/>
    </row>
    <row r="578" spans="12:12" x14ac:dyDescent="0.25">
      <c r="L578" s="8"/>
    </row>
    <row r="579" spans="12:12" x14ac:dyDescent="0.25">
      <c r="L579" s="9"/>
    </row>
    <row r="580" spans="12:12" x14ac:dyDescent="0.25">
      <c r="L580" s="10"/>
    </row>
    <row r="581" spans="12:12" x14ac:dyDescent="0.25">
      <c r="L581" s="11"/>
    </row>
    <row r="582" spans="12:12" x14ac:dyDescent="0.25">
      <c r="L582" s="12"/>
    </row>
    <row r="583" spans="12:12" x14ac:dyDescent="0.25">
      <c r="L583" s="4"/>
    </row>
    <row r="584" spans="12:12" x14ac:dyDescent="0.25">
      <c r="L584" s="6"/>
    </row>
    <row r="585" spans="12:12" x14ac:dyDescent="0.25">
      <c r="L585" s="7"/>
    </row>
    <row r="586" spans="12:12" x14ac:dyDescent="0.25">
      <c r="L586" s="8"/>
    </row>
    <row r="587" spans="12:12" x14ac:dyDescent="0.25">
      <c r="L587" s="9"/>
    </row>
    <row r="588" spans="12:12" x14ac:dyDescent="0.25">
      <c r="L588" s="10"/>
    </row>
    <row r="589" spans="12:12" x14ac:dyDescent="0.25">
      <c r="L589" s="11"/>
    </row>
    <row r="590" spans="12:12" x14ac:dyDescent="0.25">
      <c r="L590" s="12"/>
    </row>
    <row r="591" spans="12:12" x14ac:dyDescent="0.25">
      <c r="L591" s="4"/>
    </row>
    <row r="592" spans="12:12" x14ac:dyDescent="0.25">
      <c r="L592" s="6"/>
    </row>
    <row r="593" spans="12:12" x14ac:dyDescent="0.25">
      <c r="L593" s="7"/>
    </row>
    <row r="594" spans="12:12" x14ac:dyDescent="0.25">
      <c r="L594" s="8"/>
    </row>
    <row r="595" spans="12:12" x14ac:dyDescent="0.25">
      <c r="L595" s="9"/>
    </row>
    <row r="596" spans="12:12" x14ac:dyDescent="0.25">
      <c r="L596" s="10"/>
    </row>
    <row r="597" spans="12:12" x14ac:dyDescent="0.25">
      <c r="L597" s="11"/>
    </row>
    <row r="598" spans="12:12" x14ac:dyDescent="0.25">
      <c r="L598" s="12"/>
    </row>
    <row r="599" spans="12:12" x14ac:dyDescent="0.25">
      <c r="L599" s="4"/>
    </row>
    <row r="600" spans="12:12" x14ac:dyDescent="0.25">
      <c r="L600" s="6"/>
    </row>
    <row r="601" spans="12:12" x14ac:dyDescent="0.25">
      <c r="L601" s="7"/>
    </row>
    <row r="602" spans="12:12" x14ac:dyDescent="0.25">
      <c r="L602" s="8"/>
    </row>
    <row r="603" spans="12:12" x14ac:dyDescent="0.25">
      <c r="L603" s="9"/>
    </row>
    <row r="604" spans="12:12" x14ac:dyDescent="0.25">
      <c r="L604" s="10"/>
    </row>
    <row r="605" spans="12:12" x14ac:dyDescent="0.25">
      <c r="L605" s="11"/>
    </row>
    <row r="606" spans="12:12" x14ac:dyDescent="0.25">
      <c r="L606" s="12"/>
    </row>
    <row r="607" spans="12:12" x14ac:dyDescent="0.25">
      <c r="L607" s="4"/>
    </row>
    <row r="608" spans="12:12" x14ac:dyDescent="0.25">
      <c r="L608" s="6"/>
    </row>
    <row r="609" spans="12:12" x14ac:dyDescent="0.25">
      <c r="L609" s="7"/>
    </row>
    <row r="610" spans="12:12" x14ac:dyDescent="0.25">
      <c r="L610" s="8"/>
    </row>
    <row r="611" spans="12:12" x14ac:dyDescent="0.25">
      <c r="L611" s="9"/>
    </row>
    <row r="612" spans="12:12" x14ac:dyDescent="0.25">
      <c r="L612" s="10"/>
    </row>
    <row r="613" spans="12:12" x14ac:dyDescent="0.25">
      <c r="L613" s="11"/>
    </row>
    <row r="614" spans="12:12" x14ac:dyDescent="0.25">
      <c r="L614" s="12"/>
    </row>
    <row r="615" spans="12:12" x14ac:dyDescent="0.25">
      <c r="L615" s="4"/>
    </row>
    <row r="616" spans="12:12" x14ac:dyDescent="0.25">
      <c r="L616" s="6"/>
    </row>
    <row r="617" spans="12:12" x14ac:dyDescent="0.25">
      <c r="L617" s="7"/>
    </row>
    <row r="618" spans="12:12" x14ac:dyDescent="0.25">
      <c r="L618" s="8"/>
    </row>
    <row r="619" spans="12:12" x14ac:dyDescent="0.25">
      <c r="L619" s="9"/>
    </row>
    <row r="620" spans="12:12" x14ac:dyDescent="0.25">
      <c r="L620" s="10"/>
    </row>
    <row r="621" spans="12:12" x14ac:dyDescent="0.25">
      <c r="L621" s="11"/>
    </row>
    <row r="622" spans="12:12" x14ac:dyDescent="0.25">
      <c r="L622" s="12"/>
    </row>
    <row r="623" spans="12:12" x14ac:dyDescent="0.25">
      <c r="L623" s="4"/>
    </row>
    <row r="624" spans="12:12" x14ac:dyDescent="0.25">
      <c r="L624" s="6"/>
    </row>
    <row r="625" spans="12:12" x14ac:dyDescent="0.25">
      <c r="L625" s="7"/>
    </row>
    <row r="626" spans="12:12" x14ac:dyDescent="0.25">
      <c r="L626" s="8"/>
    </row>
    <row r="627" spans="12:12" x14ac:dyDescent="0.25">
      <c r="L627" s="9"/>
    </row>
    <row r="628" spans="12:12" x14ac:dyDescent="0.25">
      <c r="L628" s="10"/>
    </row>
    <row r="629" spans="12:12" x14ac:dyDescent="0.25">
      <c r="L629" s="11"/>
    </row>
    <row r="630" spans="12:12" x14ac:dyDescent="0.25">
      <c r="L630" s="12"/>
    </row>
    <row r="631" spans="12:12" x14ac:dyDescent="0.25">
      <c r="L631" s="4"/>
    </row>
    <row r="632" spans="12:12" x14ac:dyDescent="0.25">
      <c r="L632" s="6"/>
    </row>
    <row r="633" spans="12:12" x14ac:dyDescent="0.25">
      <c r="L633" s="7"/>
    </row>
    <row r="634" spans="12:12" x14ac:dyDescent="0.25">
      <c r="L634" s="8"/>
    </row>
    <row r="635" spans="12:12" x14ac:dyDescent="0.25">
      <c r="L635" s="9"/>
    </row>
    <row r="636" spans="12:12" x14ac:dyDescent="0.25">
      <c r="L636" s="10"/>
    </row>
    <row r="637" spans="12:12" x14ac:dyDescent="0.25">
      <c r="L637" s="11"/>
    </row>
    <row r="638" spans="12:12" x14ac:dyDescent="0.25">
      <c r="L638" s="12"/>
    </row>
    <row r="639" spans="12:12" x14ac:dyDescent="0.25">
      <c r="L639" s="4"/>
    </row>
    <row r="640" spans="12:12" x14ac:dyDescent="0.25">
      <c r="L640" s="6"/>
    </row>
    <row r="641" spans="12:12" x14ac:dyDescent="0.25">
      <c r="L641" s="7"/>
    </row>
    <row r="642" spans="12:12" x14ac:dyDescent="0.25">
      <c r="L642" s="8"/>
    </row>
    <row r="643" spans="12:12" x14ac:dyDescent="0.25">
      <c r="L643" s="9"/>
    </row>
    <row r="644" spans="12:12" x14ac:dyDescent="0.25">
      <c r="L644" s="10"/>
    </row>
    <row r="645" spans="12:12" x14ac:dyDescent="0.25">
      <c r="L645" s="11"/>
    </row>
    <row r="646" spans="12:12" x14ac:dyDescent="0.25">
      <c r="L646" s="12"/>
    </row>
    <row r="647" spans="12:12" x14ac:dyDescent="0.25">
      <c r="L647" s="4"/>
    </row>
    <row r="648" spans="12:12" x14ac:dyDescent="0.25">
      <c r="L648" s="6"/>
    </row>
    <row r="649" spans="12:12" x14ac:dyDescent="0.25">
      <c r="L649" s="7"/>
    </row>
    <row r="650" spans="12:12" x14ac:dyDescent="0.25">
      <c r="L650" s="8"/>
    </row>
    <row r="651" spans="12:12" x14ac:dyDescent="0.25">
      <c r="L651" s="9"/>
    </row>
    <row r="652" spans="12:12" x14ac:dyDescent="0.25">
      <c r="L652" s="10"/>
    </row>
    <row r="653" spans="12:12" x14ac:dyDescent="0.25">
      <c r="L653" s="11"/>
    </row>
    <row r="654" spans="12:12" x14ac:dyDescent="0.25">
      <c r="L654" s="12"/>
    </row>
    <row r="655" spans="12:12" x14ac:dyDescent="0.25">
      <c r="L655" s="4"/>
    </row>
    <row r="656" spans="12:12" x14ac:dyDescent="0.25">
      <c r="L656" s="6"/>
    </row>
    <row r="657" spans="12:12" x14ac:dyDescent="0.25">
      <c r="L657" s="7"/>
    </row>
    <row r="658" spans="12:12" x14ac:dyDescent="0.25">
      <c r="L658" s="8"/>
    </row>
    <row r="659" spans="12:12" x14ac:dyDescent="0.25">
      <c r="L659" s="9"/>
    </row>
    <row r="660" spans="12:12" x14ac:dyDescent="0.25">
      <c r="L660" s="10"/>
    </row>
    <row r="661" spans="12:12" x14ac:dyDescent="0.25">
      <c r="L661" s="11"/>
    </row>
    <row r="662" spans="12:12" x14ac:dyDescent="0.25">
      <c r="L662" s="12"/>
    </row>
    <row r="663" spans="12:12" x14ac:dyDescent="0.25">
      <c r="L663" s="4"/>
    </row>
    <row r="664" spans="12:12" x14ac:dyDescent="0.25">
      <c r="L664" s="6"/>
    </row>
    <row r="665" spans="12:12" x14ac:dyDescent="0.25">
      <c r="L665" s="7"/>
    </row>
    <row r="666" spans="12:12" x14ac:dyDescent="0.25">
      <c r="L666" s="8"/>
    </row>
    <row r="667" spans="12:12" x14ac:dyDescent="0.25">
      <c r="L667" s="9"/>
    </row>
    <row r="668" spans="12:12" x14ac:dyDescent="0.25">
      <c r="L668" s="10"/>
    </row>
    <row r="669" spans="12:12" x14ac:dyDescent="0.25">
      <c r="L669" s="11"/>
    </row>
    <row r="670" spans="12:12" x14ac:dyDescent="0.25">
      <c r="L670" s="12"/>
    </row>
    <row r="671" spans="12:12" x14ac:dyDescent="0.25">
      <c r="L671" s="4"/>
    </row>
    <row r="672" spans="12:12" x14ac:dyDescent="0.25">
      <c r="L672" s="6"/>
    </row>
    <row r="673" spans="12:12" x14ac:dyDescent="0.25">
      <c r="L673" s="7"/>
    </row>
    <row r="674" spans="12:12" x14ac:dyDescent="0.25">
      <c r="L674" s="8"/>
    </row>
    <row r="675" spans="12:12" x14ac:dyDescent="0.25">
      <c r="L675" s="9"/>
    </row>
    <row r="676" spans="12:12" x14ac:dyDescent="0.25">
      <c r="L676" s="10"/>
    </row>
    <row r="677" spans="12:12" x14ac:dyDescent="0.25">
      <c r="L677" s="11"/>
    </row>
    <row r="678" spans="12:12" x14ac:dyDescent="0.25">
      <c r="L678" s="12"/>
    </row>
    <row r="679" spans="12:12" x14ac:dyDescent="0.25">
      <c r="L679" s="4"/>
    </row>
    <row r="680" spans="12:12" x14ac:dyDescent="0.25">
      <c r="L680" s="6"/>
    </row>
    <row r="681" spans="12:12" x14ac:dyDescent="0.25">
      <c r="L681" s="7"/>
    </row>
    <row r="682" spans="12:12" x14ac:dyDescent="0.25">
      <c r="L682" s="8"/>
    </row>
    <row r="683" spans="12:12" x14ac:dyDescent="0.25">
      <c r="L683" s="9"/>
    </row>
    <row r="684" spans="12:12" x14ac:dyDescent="0.25">
      <c r="L684" s="10"/>
    </row>
    <row r="685" spans="12:12" x14ac:dyDescent="0.25">
      <c r="L685" s="11"/>
    </row>
    <row r="686" spans="12:12" x14ac:dyDescent="0.25">
      <c r="L686" s="12"/>
    </row>
    <row r="687" spans="12:12" x14ac:dyDescent="0.25">
      <c r="L687" s="4"/>
    </row>
    <row r="688" spans="12:12" x14ac:dyDescent="0.25">
      <c r="L688" s="6"/>
    </row>
    <row r="689" spans="12:12" x14ac:dyDescent="0.25">
      <c r="L689" s="7"/>
    </row>
    <row r="690" spans="12:12" x14ac:dyDescent="0.25">
      <c r="L690" s="8"/>
    </row>
    <row r="691" spans="12:12" x14ac:dyDescent="0.25">
      <c r="L691" s="9"/>
    </row>
    <row r="692" spans="12:12" x14ac:dyDescent="0.25">
      <c r="L692" s="10"/>
    </row>
    <row r="693" spans="12:12" x14ac:dyDescent="0.25">
      <c r="L693" s="11"/>
    </row>
    <row r="694" spans="12:12" x14ac:dyDescent="0.25">
      <c r="L694" s="12"/>
    </row>
    <row r="695" spans="12:12" x14ac:dyDescent="0.25">
      <c r="L695" s="4"/>
    </row>
    <row r="696" spans="12:12" x14ac:dyDescent="0.25">
      <c r="L696" s="6"/>
    </row>
    <row r="697" spans="12:12" x14ac:dyDescent="0.25">
      <c r="L697" s="7"/>
    </row>
    <row r="698" spans="12:12" x14ac:dyDescent="0.25">
      <c r="L698" s="8"/>
    </row>
    <row r="699" spans="12:12" x14ac:dyDescent="0.25">
      <c r="L699" s="9"/>
    </row>
    <row r="700" spans="12:12" x14ac:dyDescent="0.25">
      <c r="L700" s="10"/>
    </row>
    <row r="701" spans="12:12" x14ac:dyDescent="0.25">
      <c r="L701" s="11"/>
    </row>
    <row r="702" spans="12:12" x14ac:dyDescent="0.25">
      <c r="L702" s="12"/>
    </row>
    <row r="703" spans="12:12" x14ac:dyDescent="0.25">
      <c r="L703" s="4"/>
    </row>
    <row r="704" spans="12:12" x14ac:dyDescent="0.25">
      <c r="L704" s="6"/>
    </row>
    <row r="705" spans="12:12" x14ac:dyDescent="0.25">
      <c r="L705" s="7"/>
    </row>
    <row r="706" spans="12:12" x14ac:dyDescent="0.25">
      <c r="L706" s="8"/>
    </row>
    <row r="707" spans="12:12" x14ac:dyDescent="0.25">
      <c r="L707" s="9"/>
    </row>
    <row r="708" spans="12:12" x14ac:dyDescent="0.25">
      <c r="L708" s="10"/>
    </row>
    <row r="709" spans="12:12" x14ac:dyDescent="0.25">
      <c r="L709" s="11"/>
    </row>
    <row r="710" spans="12:12" x14ac:dyDescent="0.25">
      <c r="L710" s="12"/>
    </row>
    <row r="711" spans="12:12" x14ac:dyDescent="0.25">
      <c r="L711" s="4"/>
    </row>
    <row r="712" spans="12:12" x14ac:dyDescent="0.25">
      <c r="L712" s="6"/>
    </row>
    <row r="713" spans="12:12" x14ac:dyDescent="0.25">
      <c r="L713" s="7"/>
    </row>
    <row r="714" spans="12:12" x14ac:dyDescent="0.25">
      <c r="L714" s="8"/>
    </row>
    <row r="715" spans="12:12" x14ac:dyDescent="0.25">
      <c r="L715" s="9"/>
    </row>
    <row r="716" spans="12:12" x14ac:dyDescent="0.25">
      <c r="L716" s="10"/>
    </row>
    <row r="717" spans="12:12" x14ac:dyDescent="0.25">
      <c r="L717" s="11"/>
    </row>
    <row r="718" spans="12:12" x14ac:dyDescent="0.25">
      <c r="L718" s="12"/>
    </row>
    <row r="719" spans="12:12" x14ac:dyDescent="0.25">
      <c r="L719" s="4"/>
    </row>
    <row r="720" spans="12:12" x14ac:dyDescent="0.25">
      <c r="L720" s="6"/>
    </row>
    <row r="721" spans="12:12" x14ac:dyDescent="0.25">
      <c r="L721" s="7"/>
    </row>
    <row r="722" spans="12:12" x14ac:dyDescent="0.25">
      <c r="L722" s="8"/>
    </row>
    <row r="723" spans="12:12" x14ac:dyDescent="0.25">
      <c r="L723" s="9"/>
    </row>
    <row r="724" spans="12:12" x14ac:dyDescent="0.25">
      <c r="L724" s="10"/>
    </row>
    <row r="725" spans="12:12" x14ac:dyDescent="0.25">
      <c r="L725" s="11"/>
    </row>
    <row r="726" spans="12:12" x14ac:dyDescent="0.25">
      <c r="L726" s="12"/>
    </row>
    <row r="727" spans="12:12" x14ac:dyDescent="0.25">
      <c r="L727" s="4"/>
    </row>
    <row r="728" spans="12:12" x14ac:dyDescent="0.25">
      <c r="L728" s="6"/>
    </row>
    <row r="729" spans="12:12" x14ac:dyDescent="0.25">
      <c r="L729" s="7"/>
    </row>
    <row r="730" spans="12:12" x14ac:dyDescent="0.25">
      <c r="L730" s="8"/>
    </row>
    <row r="731" spans="12:12" x14ac:dyDescent="0.25">
      <c r="L731" s="9"/>
    </row>
    <row r="732" spans="12:12" x14ac:dyDescent="0.25">
      <c r="L732" s="10"/>
    </row>
    <row r="733" spans="12:12" x14ac:dyDescent="0.25">
      <c r="L733" s="11"/>
    </row>
    <row r="734" spans="12:12" x14ac:dyDescent="0.25">
      <c r="L734" s="12"/>
    </row>
    <row r="735" spans="12:12" x14ac:dyDescent="0.25">
      <c r="L735" s="4"/>
    </row>
    <row r="736" spans="12:12" x14ac:dyDescent="0.25">
      <c r="L736" s="6"/>
    </row>
    <row r="737" spans="12:12" x14ac:dyDescent="0.25">
      <c r="L737" s="7"/>
    </row>
    <row r="738" spans="12:12" x14ac:dyDescent="0.25">
      <c r="L738" s="8"/>
    </row>
    <row r="739" spans="12:12" x14ac:dyDescent="0.25">
      <c r="L739" s="9"/>
    </row>
    <row r="740" spans="12:12" x14ac:dyDescent="0.25">
      <c r="L740" s="10"/>
    </row>
    <row r="741" spans="12:12" x14ac:dyDescent="0.25">
      <c r="L741" s="11"/>
    </row>
    <row r="742" spans="12:12" x14ac:dyDescent="0.25">
      <c r="L742" s="12"/>
    </row>
    <row r="743" spans="12:12" x14ac:dyDescent="0.25">
      <c r="L743" s="4"/>
    </row>
    <row r="744" spans="12:12" x14ac:dyDescent="0.25">
      <c r="L744" s="6"/>
    </row>
    <row r="745" spans="12:12" x14ac:dyDescent="0.25">
      <c r="L745" s="7"/>
    </row>
    <row r="746" spans="12:12" x14ac:dyDescent="0.25">
      <c r="L746" s="8"/>
    </row>
    <row r="747" spans="12:12" x14ac:dyDescent="0.25">
      <c r="L747" s="9"/>
    </row>
    <row r="748" spans="12:12" x14ac:dyDescent="0.25">
      <c r="L748" s="10"/>
    </row>
    <row r="749" spans="12:12" x14ac:dyDescent="0.25">
      <c r="L749" s="11"/>
    </row>
    <row r="750" spans="12:12" x14ac:dyDescent="0.25">
      <c r="L750" s="12"/>
    </row>
    <row r="751" spans="12:12" x14ac:dyDescent="0.25">
      <c r="L751" s="4"/>
    </row>
    <row r="752" spans="12:12" x14ac:dyDescent="0.25">
      <c r="L752" s="6"/>
    </row>
    <row r="753" spans="12:12" x14ac:dyDescent="0.25">
      <c r="L753" s="7"/>
    </row>
    <row r="754" spans="12:12" x14ac:dyDescent="0.25">
      <c r="L754" s="8"/>
    </row>
    <row r="755" spans="12:12" x14ac:dyDescent="0.25">
      <c r="L755" s="9"/>
    </row>
    <row r="756" spans="12:12" x14ac:dyDescent="0.25">
      <c r="L756" s="10"/>
    </row>
    <row r="757" spans="12:12" x14ac:dyDescent="0.25">
      <c r="L757" s="11"/>
    </row>
    <row r="758" spans="12:12" x14ac:dyDescent="0.25">
      <c r="L758" s="12"/>
    </row>
    <row r="759" spans="12:12" x14ac:dyDescent="0.25">
      <c r="L759" s="4"/>
    </row>
    <row r="760" spans="12:12" x14ac:dyDescent="0.25">
      <c r="L760" s="6"/>
    </row>
    <row r="761" spans="12:12" x14ac:dyDescent="0.25">
      <c r="L761" s="7"/>
    </row>
    <row r="762" spans="12:12" x14ac:dyDescent="0.25">
      <c r="L762" s="8"/>
    </row>
    <row r="763" spans="12:12" x14ac:dyDescent="0.25">
      <c r="L763" s="9"/>
    </row>
    <row r="764" spans="12:12" x14ac:dyDescent="0.25">
      <c r="L764" s="10"/>
    </row>
    <row r="765" spans="12:12" x14ac:dyDescent="0.25">
      <c r="L765" s="11"/>
    </row>
    <row r="766" spans="12:12" x14ac:dyDescent="0.25">
      <c r="L766" s="12"/>
    </row>
    <row r="767" spans="12:12" x14ac:dyDescent="0.25">
      <c r="L767" s="4"/>
    </row>
    <row r="768" spans="12:12" x14ac:dyDescent="0.25">
      <c r="L768" s="6"/>
    </row>
    <row r="769" spans="12:12" x14ac:dyDescent="0.25">
      <c r="L769" s="7"/>
    </row>
    <row r="770" spans="12:12" x14ac:dyDescent="0.25">
      <c r="L770" s="8"/>
    </row>
    <row r="771" spans="12:12" x14ac:dyDescent="0.25">
      <c r="L771" s="9"/>
    </row>
    <row r="772" spans="12:12" x14ac:dyDescent="0.25">
      <c r="L772" s="10"/>
    </row>
    <row r="773" spans="12:12" x14ac:dyDescent="0.25">
      <c r="L773" s="11"/>
    </row>
    <row r="774" spans="12:12" x14ac:dyDescent="0.25">
      <c r="L774" s="12"/>
    </row>
    <row r="775" spans="12:12" x14ac:dyDescent="0.25">
      <c r="L775" s="4"/>
    </row>
    <row r="776" spans="12:12" x14ac:dyDescent="0.25">
      <c r="L776" s="6"/>
    </row>
    <row r="777" spans="12:12" x14ac:dyDescent="0.25">
      <c r="L777" s="7"/>
    </row>
    <row r="778" spans="12:12" x14ac:dyDescent="0.25">
      <c r="L778" s="8"/>
    </row>
    <row r="779" spans="12:12" x14ac:dyDescent="0.25">
      <c r="L779" s="9"/>
    </row>
    <row r="780" spans="12:12" x14ac:dyDescent="0.25">
      <c r="L780" s="10"/>
    </row>
    <row r="781" spans="12:12" x14ac:dyDescent="0.25">
      <c r="L781" s="11"/>
    </row>
    <row r="782" spans="12:12" x14ac:dyDescent="0.25">
      <c r="L782" s="12"/>
    </row>
    <row r="783" spans="12:12" x14ac:dyDescent="0.25">
      <c r="L783" s="4"/>
    </row>
    <row r="784" spans="12:12" x14ac:dyDescent="0.25">
      <c r="L784" s="6"/>
    </row>
    <row r="785" spans="12:12" x14ac:dyDescent="0.25">
      <c r="L785" s="7"/>
    </row>
    <row r="786" spans="12:12" x14ac:dyDescent="0.25">
      <c r="L786" s="8"/>
    </row>
    <row r="787" spans="12:12" x14ac:dyDescent="0.25">
      <c r="L787" s="9"/>
    </row>
    <row r="788" spans="12:12" x14ac:dyDescent="0.25">
      <c r="L788" s="10"/>
    </row>
    <row r="789" spans="12:12" x14ac:dyDescent="0.25">
      <c r="L789" s="11"/>
    </row>
    <row r="790" spans="12:12" x14ac:dyDescent="0.25">
      <c r="L790" s="12"/>
    </row>
    <row r="791" spans="12:12" x14ac:dyDescent="0.25">
      <c r="L791" s="4"/>
    </row>
    <row r="792" spans="12:12" x14ac:dyDescent="0.25">
      <c r="L792" s="6"/>
    </row>
    <row r="793" spans="12:12" x14ac:dyDescent="0.25">
      <c r="L793" s="7"/>
    </row>
    <row r="794" spans="12:12" x14ac:dyDescent="0.25">
      <c r="L794" s="8"/>
    </row>
    <row r="795" spans="12:12" x14ac:dyDescent="0.25">
      <c r="L795" s="9"/>
    </row>
    <row r="796" spans="12:12" x14ac:dyDescent="0.25">
      <c r="L796" s="10"/>
    </row>
    <row r="797" spans="12:12" x14ac:dyDescent="0.25">
      <c r="L797" s="11"/>
    </row>
    <row r="798" spans="12:12" x14ac:dyDescent="0.25">
      <c r="L798" s="12"/>
    </row>
    <row r="799" spans="12:12" x14ac:dyDescent="0.25">
      <c r="L799" s="4"/>
    </row>
    <row r="800" spans="12:12" x14ac:dyDescent="0.25">
      <c r="L800" s="6"/>
    </row>
    <row r="801" spans="12:12" x14ac:dyDescent="0.25">
      <c r="L801" s="7"/>
    </row>
    <row r="802" spans="12:12" x14ac:dyDescent="0.25">
      <c r="L802" s="8"/>
    </row>
    <row r="803" spans="12:12" x14ac:dyDescent="0.25">
      <c r="L803" s="9"/>
    </row>
    <row r="804" spans="12:12" x14ac:dyDescent="0.25">
      <c r="L804" s="10"/>
    </row>
    <row r="805" spans="12:12" x14ac:dyDescent="0.25">
      <c r="L805" s="11"/>
    </row>
    <row r="806" spans="12:12" x14ac:dyDescent="0.25">
      <c r="L806" s="12"/>
    </row>
    <row r="807" spans="12:12" x14ac:dyDescent="0.25">
      <c r="L807" s="4"/>
    </row>
    <row r="808" spans="12:12" x14ac:dyDescent="0.25">
      <c r="L808" s="6"/>
    </row>
    <row r="809" spans="12:12" x14ac:dyDescent="0.25">
      <c r="L809" s="7"/>
    </row>
    <row r="810" spans="12:12" x14ac:dyDescent="0.25">
      <c r="L810" s="8"/>
    </row>
    <row r="811" spans="12:12" x14ac:dyDescent="0.25">
      <c r="L811" s="9"/>
    </row>
    <row r="812" spans="12:12" x14ac:dyDescent="0.25">
      <c r="L812" s="10"/>
    </row>
    <row r="813" spans="12:12" x14ac:dyDescent="0.25">
      <c r="L813" s="11"/>
    </row>
    <row r="814" spans="12:12" x14ac:dyDescent="0.25">
      <c r="L814" s="12"/>
    </row>
    <row r="815" spans="12:12" x14ac:dyDescent="0.25">
      <c r="L815" s="4"/>
    </row>
    <row r="816" spans="12:12" x14ac:dyDescent="0.25">
      <c r="L816" s="6"/>
    </row>
    <row r="817" spans="12:12" x14ac:dyDescent="0.25">
      <c r="L817" s="7"/>
    </row>
    <row r="818" spans="12:12" x14ac:dyDescent="0.25">
      <c r="L818" s="8"/>
    </row>
    <row r="819" spans="12:12" x14ac:dyDescent="0.25">
      <c r="L819" s="9"/>
    </row>
    <row r="820" spans="12:12" x14ac:dyDescent="0.25">
      <c r="L820" s="10"/>
    </row>
    <row r="821" spans="12:12" x14ac:dyDescent="0.25">
      <c r="L821" s="11"/>
    </row>
    <row r="822" spans="12:12" x14ac:dyDescent="0.25">
      <c r="L822" s="12"/>
    </row>
    <row r="823" spans="12:12" x14ac:dyDescent="0.25">
      <c r="L823" s="4"/>
    </row>
    <row r="824" spans="12:12" x14ac:dyDescent="0.25">
      <c r="L824" s="6"/>
    </row>
    <row r="825" spans="12:12" x14ac:dyDescent="0.25">
      <c r="L825" s="7"/>
    </row>
    <row r="826" spans="12:12" x14ac:dyDescent="0.25">
      <c r="L826" s="8"/>
    </row>
    <row r="827" spans="12:12" x14ac:dyDescent="0.25">
      <c r="L827" s="9"/>
    </row>
    <row r="828" spans="12:12" x14ac:dyDescent="0.25">
      <c r="L828" s="10"/>
    </row>
    <row r="829" spans="12:12" x14ac:dyDescent="0.25">
      <c r="L829" s="11"/>
    </row>
    <row r="830" spans="12:12" x14ac:dyDescent="0.25">
      <c r="L830" s="12"/>
    </row>
    <row r="831" spans="12:12" x14ac:dyDescent="0.25">
      <c r="L831" s="4"/>
    </row>
    <row r="832" spans="12:12" x14ac:dyDescent="0.25">
      <c r="L832" s="6"/>
    </row>
    <row r="833" spans="12:12" x14ac:dyDescent="0.25">
      <c r="L833" s="7"/>
    </row>
    <row r="834" spans="12:12" x14ac:dyDescent="0.25">
      <c r="L834" s="8"/>
    </row>
    <row r="835" spans="12:12" x14ac:dyDescent="0.25">
      <c r="L835" s="9"/>
    </row>
    <row r="836" spans="12:12" x14ac:dyDescent="0.25">
      <c r="L836" s="10"/>
    </row>
    <row r="837" spans="12:12" x14ac:dyDescent="0.25">
      <c r="L837" s="11"/>
    </row>
    <row r="838" spans="12:12" x14ac:dyDescent="0.25">
      <c r="L838" s="12"/>
    </row>
    <row r="839" spans="12:12" x14ac:dyDescent="0.25">
      <c r="L839" s="4"/>
    </row>
    <row r="840" spans="12:12" x14ac:dyDescent="0.25">
      <c r="L840" s="6"/>
    </row>
    <row r="841" spans="12:12" x14ac:dyDescent="0.25">
      <c r="L841" s="7"/>
    </row>
    <row r="842" spans="12:12" x14ac:dyDescent="0.25">
      <c r="L842" s="8"/>
    </row>
    <row r="843" spans="12:12" x14ac:dyDescent="0.25">
      <c r="L843" s="9"/>
    </row>
    <row r="844" spans="12:12" x14ac:dyDescent="0.25">
      <c r="L844" s="10"/>
    </row>
    <row r="845" spans="12:12" x14ac:dyDescent="0.25">
      <c r="L845" s="11"/>
    </row>
    <row r="846" spans="12:12" x14ac:dyDescent="0.25">
      <c r="L846" s="12"/>
    </row>
    <row r="847" spans="12:12" x14ac:dyDescent="0.25">
      <c r="L847" s="4"/>
    </row>
    <row r="848" spans="12:12" x14ac:dyDescent="0.25">
      <c r="L848" s="6"/>
    </row>
    <row r="849" spans="12:12" x14ac:dyDescent="0.25">
      <c r="L849" s="7"/>
    </row>
    <row r="850" spans="12:12" x14ac:dyDescent="0.25">
      <c r="L850" s="8"/>
    </row>
    <row r="851" spans="12:12" x14ac:dyDescent="0.25">
      <c r="L851" s="9"/>
    </row>
    <row r="852" spans="12:12" x14ac:dyDescent="0.25">
      <c r="L852" s="10"/>
    </row>
    <row r="853" spans="12:12" x14ac:dyDescent="0.25">
      <c r="L853" s="11"/>
    </row>
    <row r="854" spans="12:12" x14ac:dyDescent="0.25">
      <c r="L854" s="12"/>
    </row>
    <row r="855" spans="12:12" x14ac:dyDescent="0.25">
      <c r="L855" s="4"/>
    </row>
    <row r="856" spans="12:12" x14ac:dyDescent="0.25">
      <c r="L856" s="6"/>
    </row>
    <row r="857" spans="12:12" x14ac:dyDescent="0.25">
      <c r="L857" s="7"/>
    </row>
    <row r="858" spans="12:12" x14ac:dyDescent="0.25">
      <c r="L858" s="8"/>
    </row>
    <row r="859" spans="12:12" x14ac:dyDescent="0.25">
      <c r="L859" s="9"/>
    </row>
    <row r="860" spans="12:12" x14ac:dyDescent="0.25">
      <c r="L860" s="10"/>
    </row>
    <row r="861" spans="12:12" x14ac:dyDescent="0.25">
      <c r="L861" s="11"/>
    </row>
    <row r="862" spans="12:12" x14ac:dyDescent="0.25">
      <c r="L862" s="12"/>
    </row>
    <row r="863" spans="12:12" x14ac:dyDescent="0.25">
      <c r="L863" s="4"/>
    </row>
    <row r="864" spans="12:12" x14ac:dyDescent="0.25">
      <c r="L864" s="6"/>
    </row>
    <row r="865" spans="12:12" x14ac:dyDescent="0.25">
      <c r="L865" s="7"/>
    </row>
    <row r="866" spans="12:12" x14ac:dyDescent="0.25">
      <c r="L866" s="8"/>
    </row>
    <row r="867" spans="12:12" x14ac:dyDescent="0.25">
      <c r="L867" s="9"/>
    </row>
    <row r="868" spans="12:12" x14ac:dyDescent="0.25">
      <c r="L868" s="10"/>
    </row>
    <row r="869" spans="12:12" x14ac:dyDescent="0.25">
      <c r="L869" s="11"/>
    </row>
    <row r="870" spans="12:12" x14ac:dyDescent="0.25">
      <c r="L870" s="12"/>
    </row>
    <row r="871" spans="12:12" x14ac:dyDescent="0.25">
      <c r="L871" s="4"/>
    </row>
    <row r="872" spans="12:12" x14ac:dyDescent="0.25">
      <c r="L872" s="6"/>
    </row>
    <row r="873" spans="12:12" x14ac:dyDescent="0.25">
      <c r="L873" s="7"/>
    </row>
    <row r="874" spans="12:12" x14ac:dyDescent="0.25">
      <c r="L874" s="8"/>
    </row>
    <row r="875" spans="12:12" x14ac:dyDescent="0.25">
      <c r="L875" s="9"/>
    </row>
    <row r="876" spans="12:12" x14ac:dyDescent="0.25">
      <c r="L876" s="10"/>
    </row>
    <row r="877" spans="12:12" x14ac:dyDescent="0.25">
      <c r="L877" s="11"/>
    </row>
    <row r="878" spans="12:12" x14ac:dyDescent="0.25">
      <c r="L878" s="12"/>
    </row>
    <row r="879" spans="12:12" x14ac:dyDescent="0.25">
      <c r="L879" s="4"/>
    </row>
    <row r="880" spans="12:12" x14ac:dyDescent="0.25">
      <c r="L880" s="6"/>
    </row>
    <row r="881" spans="12:12" x14ac:dyDescent="0.25">
      <c r="L881" s="7"/>
    </row>
    <row r="882" spans="12:12" x14ac:dyDescent="0.25">
      <c r="L882" s="8"/>
    </row>
    <row r="883" spans="12:12" x14ac:dyDescent="0.25">
      <c r="L883" s="9"/>
    </row>
    <row r="884" spans="12:12" x14ac:dyDescent="0.25">
      <c r="L884" s="10"/>
    </row>
    <row r="885" spans="12:12" x14ac:dyDescent="0.25">
      <c r="L885" s="11"/>
    </row>
    <row r="886" spans="12:12" x14ac:dyDescent="0.25">
      <c r="L886" s="12"/>
    </row>
    <row r="887" spans="12:12" x14ac:dyDescent="0.25">
      <c r="L887" s="4"/>
    </row>
    <row r="888" spans="12:12" x14ac:dyDescent="0.25">
      <c r="L888" s="6"/>
    </row>
    <row r="889" spans="12:12" x14ac:dyDescent="0.25">
      <c r="L889" s="7"/>
    </row>
    <row r="890" spans="12:12" x14ac:dyDescent="0.25">
      <c r="L890" s="8"/>
    </row>
    <row r="891" spans="12:12" x14ac:dyDescent="0.25">
      <c r="L891" s="9"/>
    </row>
    <row r="892" spans="12:12" x14ac:dyDescent="0.25">
      <c r="L892" s="10"/>
    </row>
    <row r="893" spans="12:12" x14ac:dyDescent="0.25">
      <c r="L893" s="11"/>
    </row>
    <row r="894" spans="12:12" x14ac:dyDescent="0.25">
      <c r="L894" s="12"/>
    </row>
    <row r="895" spans="12:12" x14ac:dyDescent="0.25">
      <c r="L895" s="4"/>
    </row>
    <row r="896" spans="12:12" x14ac:dyDescent="0.25">
      <c r="L896" s="6"/>
    </row>
    <row r="897" spans="12:12" x14ac:dyDescent="0.25">
      <c r="L897" s="7"/>
    </row>
    <row r="898" spans="12:12" x14ac:dyDescent="0.25">
      <c r="L898" s="8"/>
    </row>
    <row r="899" spans="12:12" x14ac:dyDescent="0.25">
      <c r="L899" s="9"/>
    </row>
    <row r="900" spans="12:12" x14ac:dyDescent="0.25">
      <c r="L900" s="10"/>
    </row>
    <row r="901" spans="12:12" x14ac:dyDescent="0.25">
      <c r="L901" s="11"/>
    </row>
    <row r="902" spans="12:12" x14ac:dyDescent="0.25">
      <c r="L902" s="12"/>
    </row>
    <row r="903" spans="12:12" x14ac:dyDescent="0.25">
      <c r="L903" s="4"/>
    </row>
    <row r="904" spans="12:12" x14ac:dyDescent="0.25">
      <c r="L904" s="6"/>
    </row>
    <row r="905" spans="12:12" x14ac:dyDescent="0.25">
      <c r="L905" s="7"/>
    </row>
    <row r="906" spans="12:12" x14ac:dyDescent="0.25">
      <c r="L906" s="8"/>
    </row>
    <row r="907" spans="12:12" x14ac:dyDescent="0.25">
      <c r="L907" s="9"/>
    </row>
    <row r="908" spans="12:12" x14ac:dyDescent="0.25">
      <c r="L908" s="10"/>
    </row>
    <row r="909" spans="12:12" x14ac:dyDescent="0.25">
      <c r="L909" s="11"/>
    </row>
    <row r="910" spans="12:12" x14ac:dyDescent="0.25">
      <c r="L910" s="12"/>
    </row>
    <row r="911" spans="12:12" x14ac:dyDescent="0.25">
      <c r="L911" s="4"/>
    </row>
    <row r="912" spans="12:12" x14ac:dyDescent="0.25">
      <c r="L912" s="6"/>
    </row>
    <row r="913" spans="12:12" x14ac:dyDescent="0.25">
      <c r="L913" s="7"/>
    </row>
    <row r="914" spans="12:12" x14ac:dyDescent="0.25">
      <c r="L914" s="8"/>
    </row>
    <row r="915" spans="12:12" x14ac:dyDescent="0.25">
      <c r="L915" s="9"/>
    </row>
    <row r="916" spans="12:12" x14ac:dyDescent="0.25">
      <c r="L916" s="10"/>
    </row>
    <row r="917" spans="12:12" x14ac:dyDescent="0.25">
      <c r="L917" s="11"/>
    </row>
    <row r="918" spans="12:12" x14ac:dyDescent="0.25">
      <c r="L918" s="12"/>
    </row>
    <row r="919" spans="12:12" x14ac:dyDescent="0.25">
      <c r="L919" s="4"/>
    </row>
    <row r="920" spans="12:12" x14ac:dyDescent="0.25">
      <c r="L920" s="6"/>
    </row>
    <row r="921" spans="12:12" x14ac:dyDescent="0.25">
      <c r="L921" s="7"/>
    </row>
    <row r="922" spans="12:12" x14ac:dyDescent="0.25">
      <c r="L922" s="8"/>
    </row>
    <row r="923" spans="12:12" x14ac:dyDescent="0.25">
      <c r="L923" s="9"/>
    </row>
    <row r="924" spans="12:12" x14ac:dyDescent="0.25">
      <c r="L924" s="10"/>
    </row>
    <row r="925" spans="12:12" x14ac:dyDescent="0.25">
      <c r="L925" s="11"/>
    </row>
    <row r="926" spans="12:12" x14ac:dyDescent="0.25">
      <c r="L926" s="12"/>
    </row>
    <row r="927" spans="12:12" x14ac:dyDescent="0.25">
      <c r="L927" s="4"/>
    </row>
    <row r="928" spans="12:12" x14ac:dyDescent="0.25">
      <c r="L928" s="6"/>
    </row>
    <row r="929" spans="12:12" x14ac:dyDescent="0.25">
      <c r="L929" s="7"/>
    </row>
    <row r="930" spans="12:12" x14ac:dyDescent="0.25">
      <c r="L930" s="8"/>
    </row>
    <row r="931" spans="12:12" x14ac:dyDescent="0.25">
      <c r="L931" s="9"/>
    </row>
    <row r="932" spans="12:12" x14ac:dyDescent="0.25">
      <c r="L932" s="10"/>
    </row>
    <row r="933" spans="12:12" x14ac:dyDescent="0.25">
      <c r="L933" s="11"/>
    </row>
    <row r="934" spans="12:12" x14ac:dyDescent="0.25">
      <c r="L934" s="12"/>
    </row>
    <row r="935" spans="12:12" x14ac:dyDescent="0.25">
      <c r="L935" s="4"/>
    </row>
    <row r="936" spans="12:12" x14ac:dyDescent="0.25">
      <c r="L936" s="6"/>
    </row>
    <row r="937" spans="12:12" x14ac:dyDescent="0.25">
      <c r="L937" s="7"/>
    </row>
    <row r="938" spans="12:12" x14ac:dyDescent="0.25">
      <c r="L938" s="8"/>
    </row>
    <row r="939" spans="12:12" x14ac:dyDescent="0.25">
      <c r="L939" s="9"/>
    </row>
    <row r="940" spans="12:12" x14ac:dyDescent="0.25">
      <c r="L940" s="10"/>
    </row>
    <row r="941" spans="12:12" x14ac:dyDescent="0.25">
      <c r="L941" s="11"/>
    </row>
    <row r="942" spans="12:12" x14ac:dyDescent="0.25">
      <c r="L942" s="12"/>
    </row>
    <row r="943" spans="12:12" x14ac:dyDescent="0.25">
      <c r="L943" s="4"/>
    </row>
    <row r="944" spans="12:12" x14ac:dyDescent="0.25">
      <c r="L944" s="6"/>
    </row>
    <row r="945" spans="12:12" x14ac:dyDescent="0.25">
      <c r="L945" s="7"/>
    </row>
    <row r="946" spans="12:12" x14ac:dyDescent="0.25">
      <c r="L946" s="8"/>
    </row>
    <row r="947" spans="12:12" x14ac:dyDescent="0.25">
      <c r="L947" s="9"/>
    </row>
    <row r="948" spans="12:12" x14ac:dyDescent="0.25">
      <c r="L948" s="10"/>
    </row>
    <row r="949" spans="12:12" x14ac:dyDescent="0.25">
      <c r="L949" s="11"/>
    </row>
    <row r="950" spans="12:12" x14ac:dyDescent="0.25">
      <c r="L950" s="12"/>
    </row>
    <row r="951" spans="12:12" x14ac:dyDescent="0.25">
      <c r="L951" s="4"/>
    </row>
    <row r="952" spans="12:12" x14ac:dyDescent="0.25">
      <c r="L952" s="6"/>
    </row>
    <row r="953" spans="12:12" x14ac:dyDescent="0.25">
      <c r="L953" s="7"/>
    </row>
    <row r="954" spans="12:12" x14ac:dyDescent="0.25">
      <c r="L954" s="8"/>
    </row>
    <row r="955" spans="12:12" x14ac:dyDescent="0.25">
      <c r="L955" s="9"/>
    </row>
    <row r="956" spans="12:12" x14ac:dyDescent="0.25">
      <c r="L956" s="10"/>
    </row>
    <row r="957" spans="12:12" x14ac:dyDescent="0.25">
      <c r="L957" s="11"/>
    </row>
    <row r="958" spans="12:12" x14ac:dyDescent="0.25">
      <c r="L958" s="12"/>
    </row>
    <row r="959" spans="12:12" x14ac:dyDescent="0.25">
      <c r="L959" s="4"/>
    </row>
    <row r="960" spans="12:12" x14ac:dyDescent="0.25">
      <c r="L960" s="6"/>
    </row>
    <row r="961" spans="12:12" x14ac:dyDescent="0.25">
      <c r="L961" s="7"/>
    </row>
    <row r="962" spans="12:12" x14ac:dyDescent="0.25">
      <c r="L962" s="8"/>
    </row>
    <row r="963" spans="12:12" x14ac:dyDescent="0.25">
      <c r="L963" s="9"/>
    </row>
    <row r="964" spans="12:12" x14ac:dyDescent="0.25">
      <c r="L964" s="10"/>
    </row>
    <row r="965" spans="12:12" x14ac:dyDescent="0.25">
      <c r="L965" s="11"/>
    </row>
    <row r="966" spans="12:12" x14ac:dyDescent="0.25">
      <c r="L966" s="12"/>
    </row>
    <row r="967" spans="12:12" x14ac:dyDescent="0.25">
      <c r="L967" s="4"/>
    </row>
    <row r="968" spans="12:12" x14ac:dyDescent="0.25">
      <c r="L968" s="6"/>
    </row>
    <row r="969" spans="12:12" x14ac:dyDescent="0.25">
      <c r="L969" s="7"/>
    </row>
    <row r="970" spans="12:12" x14ac:dyDescent="0.25">
      <c r="L970" s="8"/>
    </row>
    <row r="971" spans="12:12" x14ac:dyDescent="0.25">
      <c r="L971" s="9"/>
    </row>
    <row r="972" spans="12:12" x14ac:dyDescent="0.25">
      <c r="L972" s="10"/>
    </row>
    <row r="973" spans="12:12" x14ac:dyDescent="0.25">
      <c r="L973" s="11"/>
    </row>
    <row r="974" spans="12:12" x14ac:dyDescent="0.25">
      <c r="L974" s="12"/>
    </row>
    <row r="975" spans="12:12" x14ac:dyDescent="0.25">
      <c r="L975" s="4"/>
    </row>
    <row r="976" spans="12:12" x14ac:dyDescent="0.25">
      <c r="L976" s="6"/>
    </row>
    <row r="977" spans="12:12" x14ac:dyDescent="0.25">
      <c r="L977" s="7"/>
    </row>
    <row r="978" spans="12:12" x14ac:dyDescent="0.25">
      <c r="L978" s="8"/>
    </row>
    <row r="979" spans="12:12" x14ac:dyDescent="0.25">
      <c r="L979" s="9"/>
    </row>
    <row r="980" spans="12:12" x14ac:dyDescent="0.25">
      <c r="L980" s="10"/>
    </row>
    <row r="981" spans="12:12" x14ac:dyDescent="0.25">
      <c r="L981" s="11"/>
    </row>
    <row r="982" spans="12:12" x14ac:dyDescent="0.25">
      <c r="L982" s="12"/>
    </row>
    <row r="983" spans="12:12" x14ac:dyDescent="0.25">
      <c r="L983" s="4"/>
    </row>
    <row r="984" spans="12:12" x14ac:dyDescent="0.25">
      <c r="L984" s="6"/>
    </row>
    <row r="985" spans="12:12" x14ac:dyDescent="0.25">
      <c r="L985" s="7"/>
    </row>
    <row r="986" spans="12:12" x14ac:dyDescent="0.25">
      <c r="L986" s="8"/>
    </row>
    <row r="987" spans="12:12" x14ac:dyDescent="0.25">
      <c r="L987" s="9"/>
    </row>
    <row r="988" spans="12:12" x14ac:dyDescent="0.25">
      <c r="L988" s="10"/>
    </row>
    <row r="989" spans="12:12" x14ac:dyDescent="0.25">
      <c r="L989" s="11"/>
    </row>
    <row r="990" spans="12:12" x14ac:dyDescent="0.25">
      <c r="L990" s="12"/>
    </row>
    <row r="991" spans="12:12" x14ac:dyDescent="0.25">
      <c r="L991" s="4"/>
    </row>
    <row r="992" spans="12:12" x14ac:dyDescent="0.25">
      <c r="L992" s="6"/>
    </row>
    <row r="993" spans="12:12" x14ac:dyDescent="0.25">
      <c r="L993" s="7"/>
    </row>
    <row r="994" spans="12:12" x14ac:dyDescent="0.25">
      <c r="L994" s="8"/>
    </row>
    <row r="995" spans="12:12" x14ac:dyDescent="0.25">
      <c r="L995" s="9"/>
    </row>
    <row r="996" spans="12:12" x14ac:dyDescent="0.25">
      <c r="L996" s="10"/>
    </row>
    <row r="997" spans="12:12" x14ac:dyDescent="0.25">
      <c r="L997" s="11"/>
    </row>
    <row r="998" spans="12:12" x14ac:dyDescent="0.25">
      <c r="L998" s="12"/>
    </row>
    <row r="999" spans="12:12" x14ac:dyDescent="0.25">
      <c r="L999" s="4"/>
    </row>
    <row r="1000" spans="12:12" x14ac:dyDescent="0.25">
      <c r="L1000" s="6"/>
    </row>
    <row r="1001" spans="12:12" x14ac:dyDescent="0.25">
      <c r="L1001" s="7"/>
    </row>
    <row r="1002" spans="12:12" x14ac:dyDescent="0.25">
      <c r="L1002" s="8"/>
    </row>
    <row r="1003" spans="12:12" x14ac:dyDescent="0.25">
      <c r="L1003" s="9"/>
    </row>
    <row r="1004" spans="12:12" x14ac:dyDescent="0.25">
      <c r="L1004" s="10"/>
    </row>
    <row r="1005" spans="12:12" x14ac:dyDescent="0.25">
      <c r="L1005" s="11"/>
    </row>
    <row r="1006" spans="12:12" x14ac:dyDescent="0.25">
      <c r="L1006" s="12"/>
    </row>
    <row r="1007" spans="12:12" x14ac:dyDescent="0.25">
      <c r="L1007" s="4"/>
    </row>
    <row r="1008" spans="12:12" x14ac:dyDescent="0.25">
      <c r="L1008" s="6"/>
    </row>
    <row r="1009" spans="12:12" x14ac:dyDescent="0.25">
      <c r="L1009" s="7"/>
    </row>
    <row r="1010" spans="12:12" x14ac:dyDescent="0.25">
      <c r="L1010" s="8"/>
    </row>
    <row r="1011" spans="12:12" x14ac:dyDescent="0.25">
      <c r="L1011" s="9"/>
    </row>
    <row r="1012" spans="12:12" x14ac:dyDescent="0.25">
      <c r="L1012" s="10"/>
    </row>
    <row r="1013" spans="12:12" x14ac:dyDescent="0.25">
      <c r="L1013" s="11"/>
    </row>
    <row r="1014" spans="12:12" x14ac:dyDescent="0.25">
      <c r="L1014" s="12"/>
    </row>
    <row r="1015" spans="12:12" x14ac:dyDescent="0.25">
      <c r="L1015" s="4"/>
    </row>
    <row r="1016" spans="12:12" x14ac:dyDescent="0.25">
      <c r="L1016" s="6"/>
    </row>
    <row r="1017" spans="12:12" x14ac:dyDescent="0.25">
      <c r="L1017" s="7"/>
    </row>
    <row r="1018" spans="12:12" x14ac:dyDescent="0.25">
      <c r="L1018" s="8"/>
    </row>
    <row r="1019" spans="12:12" x14ac:dyDescent="0.25">
      <c r="L1019" s="9"/>
    </row>
    <row r="1020" spans="12:12" x14ac:dyDescent="0.25">
      <c r="L1020" s="10"/>
    </row>
    <row r="1021" spans="12:12" x14ac:dyDescent="0.25">
      <c r="L1021" s="11"/>
    </row>
    <row r="1022" spans="12:12" x14ac:dyDescent="0.25">
      <c r="L1022" s="12"/>
    </row>
    <row r="1023" spans="12:12" x14ac:dyDescent="0.25">
      <c r="L1023" s="4"/>
    </row>
    <row r="1024" spans="12:12" x14ac:dyDescent="0.25">
      <c r="L1024" s="6"/>
    </row>
    <row r="1025" spans="12:12" x14ac:dyDescent="0.25">
      <c r="L1025" s="7"/>
    </row>
    <row r="1026" spans="12:12" x14ac:dyDescent="0.25">
      <c r="L1026" s="8"/>
    </row>
    <row r="1027" spans="12:12" x14ac:dyDescent="0.25">
      <c r="L1027" s="9"/>
    </row>
    <row r="1028" spans="12:12" x14ac:dyDescent="0.25">
      <c r="L1028" s="10"/>
    </row>
    <row r="1029" spans="12:12" x14ac:dyDescent="0.25">
      <c r="L1029" s="11"/>
    </row>
    <row r="1030" spans="12:12" x14ac:dyDescent="0.25">
      <c r="L1030" s="12"/>
    </row>
    <row r="1031" spans="12:12" x14ac:dyDescent="0.25">
      <c r="L1031" s="4"/>
    </row>
    <row r="1032" spans="12:12" x14ac:dyDescent="0.25">
      <c r="L1032" s="6"/>
    </row>
    <row r="1033" spans="12:12" x14ac:dyDescent="0.25">
      <c r="L1033" s="7"/>
    </row>
    <row r="1034" spans="12:12" x14ac:dyDescent="0.25">
      <c r="L1034" s="8"/>
    </row>
    <row r="1035" spans="12:12" x14ac:dyDescent="0.25">
      <c r="L1035" s="9"/>
    </row>
    <row r="1036" spans="12:12" x14ac:dyDescent="0.25">
      <c r="L1036" s="10"/>
    </row>
    <row r="1037" spans="12:12" x14ac:dyDescent="0.25">
      <c r="L1037" s="11"/>
    </row>
    <row r="1038" spans="12:12" x14ac:dyDescent="0.25">
      <c r="L1038" s="12"/>
    </row>
    <row r="1039" spans="12:12" x14ac:dyDescent="0.25">
      <c r="L1039" s="4"/>
    </row>
    <row r="1040" spans="12:12" x14ac:dyDescent="0.25">
      <c r="L1040" s="6"/>
    </row>
    <row r="1041" spans="12:12" x14ac:dyDescent="0.25">
      <c r="L1041" s="7"/>
    </row>
    <row r="1042" spans="12:12" x14ac:dyDescent="0.25">
      <c r="L1042" s="8"/>
    </row>
    <row r="1043" spans="12:12" x14ac:dyDescent="0.25">
      <c r="L1043" s="9"/>
    </row>
    <row r="1044" spans="12:12" x14ac:dyDescent="0.25">
      <c r="L1044" s="10"/>
    </row>
    <row r="1045" spans="12:12" x14ac:dyDescent="0.25">
      <c r="L1045" s="11"/>
    </row>
    <row r="1046" spans="12:12" x14ac:dyDescent="0.25">
      <c r="L1046" s="12"/>
    </row>
    <row r="1047" spans="12:12" x14ac:dyDescent="0.25">
      <c r="L1047" s="4"/>
    </row>
    <row r="1048" spans="12:12" x14ac:dyDescent="0.25">
      <c r="L1048" s="6"/>
    </row>
    <row r="1049" spans="12:12" x14ac:dyDescent="0.25">
      <c r="L1049" s="7"/>
    </row>
    <row r="1050" spans="12:12" x14ac:dyDescent="0.25">
      <c r="L1050" s="8"/>
    </row>
    <row r="1051" spans="12:12" x14ac:dyDescent="0.25">
      <c r="L1051" s="9"/>
    </row>
    <row r="1052" spans="12:12" x14ac:dyDescent="0.25">
      <c r="L1052" s="10"/>
    </row>
    <row r="1053" spans="12:12" x14ac:dyDescent="0.25">
      <c r="L1053" s="11"/>
    </row>
    <row r="1054" spans="12:12" x14ac:dyDescent="0.25">
      <c r="L1054" s="12"/>
    </row>
    <row r="1055" spans="12:12" x14ac:dyDescent="0.25">
      <c r="L1055" s="4"/>
    </row>
    <row r="1056" spans="12:12" x14ac:dyDescent="0.25">
      <c r="L1056" s="6"/>
    </row>
    <row r="1057" spans="12:12" x14ac:dyDescent="0.25">
      <c r="L1057" s="7"/>
    </row>
    <row r="1058" spans="12:12" x14ac:dyDescent="0.25">
      <c r="L1058" s="8"/>
    </row>
    <row r="1059" spans="12:12" x14ac:dyDescent="0.25">
      <c r="L1059" s="9"/>
    </row>
    <row r="1060" spans="12:12" x14ac:dyDescent="0.25">
      <c r="L1060" s="10"/>
    </row>
    <row r="1061" spans="12:12" x14ac:dyDescent="0.25">
      <c r="L1061" s="11"/>
    </row>
    <row r="1062" spans="12:12" x14ac:dyDescent="0.25">
      <c r="L1062" s="12"/>
    </row>
    <row r="1063" spans="12:12" x14ac:dyDescent="0.25">
      <c r="L1063" s="4"/>
    </row>
    <row r="1064" spans="12:12" x14ac:dyDescent="0.25">
      <c r="L1064" s="6"/>
    </row>
    <row r="1065" spans="12:12" x14ac:dyDescent="0.25">
      <c r="L1065" s="7"/>
    </row>
    <row r="1066" spans="12:12" x14ac:dyDescent="0.25">
      <c r="L1066" s="8"/>
    </row>
    <row r="1067" spans="12:12" x14ac:dyDescent="0.25">
      <c r="L1067" s="9"/>
    </row>
    <row r="1068" spans="12:12" x14ac:dyDescent="0.25">
      <c r="L1068" s="10"/>
    </row>
    <row r="1069" spans="12:12" x14ac:dyDescent="0.25">
      <c r="L1069" s="11"/>
    </row>
    <row r="1070" spans="12:12" x14ac:dyDescent="0.25">
      <c r="L1070" s="12"/>
    </row>
    <row r="1071" spans="12:12" x14ac:dyDescent="0.25">
      <c r="L1071" s="4"/>
    </row>
    <row r="1072" spans="12:12" x14ac:dyDescent="0.25">
      <c r="L1072" s="6"/>
    </row>
    <row r="1073" spans="12:12" x14ac:dyDescent="0.25">
      <c r="L1073" s="7"/>
    </row>
    <row r="1074" spans="12:12" x14ac:dyDescent="0.25">
      <c r="L1074" s="8"/>
    </row>
    <row r="1075" spans="12:12" x14ac:dyDescent="0.25">
      <c r="L1075" s="9"/>
    </row>
    <row r="1076" spans="12:12" x14ac:dyDescent="0.25">
      <c r="L1076" s="10"/>
    </row>
    <row r="1077" spans="12:12" x14ac:dyDescent="0.25">
      <c r="L1077" s="11"/>
    </row>
    <row r="1078" spans="12:12" x14ac:dyDescent="0.25">
      <c r="L1078" s="12"/>
    </row>
    <row r="1079" spans="12:12" x14ac:dyDescent="0.25">
      <c r="L1079" s="4"/>
    </row>
    <row r="1080" spans="12:12" x14ac:dyDescent="0.25">
      <c r="L1080" s="6"/>
    </row>
    <row r="1081" spans="12:12" x14ac:dyDescent="0.25">
      <c r="L1081" s="7"/>
    </row>
    <row r="1082" spans="12:12" x14ac:dyDescent="0.25">
      <c r="L1082" s="8"/>
    </row>
    <row r="1083" spans="12:12" x14ac:dyDescent="0.25">
      <c r="L1083" s="9"/>
    </row>
    <row r="1084" spans="12:12" x14ac:dyDescent="0.25">
      <c r="L1084" s="10"/>
    </row>
    <row r="1085" spans="12:12" x14ac:dyDescent="0.25">
      <c r="L1085" s="11"/>
    </row>
    <row r="1086" spans="12:12" x14ac:dyDescent="0.25">
      <c r="L1086" s="12"/>
    </row>
    <row r="1087" spans="12:12" x14ac:dyDescent="0.25">
      <c r="L1087" s="4"/>
    </row>
    <row r="1088" spans="12:12" x14ac:dyDescent="0.25">
      <c r="L1088" s="6"/>
    </row>
    <row r="1089" spans="12:12" x14ac:dyDescent="0.25">
      <c r="L1089" s="7"/>
    </row>
    <row r="1090" spans="12:12" x14ac:dyDescent="0.25">
      <c r="L1090" s="8"/>
    </row>
    <row r="1091" spans="12:12" x14ac:dyDescent="0.25">
      <c r="L1091" s="9"/>
    </row>
    <row r="1092" spans="12:12" x14ac:dyDescent="0.25">
      <c r="L1092" s="10"/>
    </row>
    <row r="1093" spans="12:12" x14ac:dyDescent="0.25">
      <c r="L1093" s="11"/>
    </row>
    <row r="1094" spans="12:12" x14ac:dyDescent="0.25">
      <c r="L1094" s="12"/>
    </row>
    <row r="1095" spans="12:12" x14ac:dyDescent="0.25">
      <c r="L1095" s="4"/>
    </row>
    <row r="1096" spans="12:12" x14ac:dyDescent="0.25">
      <c r="L1096" s="6"/>
    </row>
    <row r="1097" spans="12:12" x14ac:dyDescent="0.25">
      <c r="L1097" s="7"/>
    </row>
    <row r="1098" spans="12:12" x14ac:dyDescent="0.25">
      <c r="L1098" s="8"/>
    </row>
    <row r="1099" spans="12:12" x14ac:dyDescent="0.25">
      <c r="L1099" s="9"/>
    </row>
    <row r="1100" spans="12:12" x14ac:dyDescent="0.25">
      <c r="L1100" s="10"/>
    </row>
    <row r="1101" spans="12:12" x14ac:dyDescent="0.25">
      <c r="L1101" s="11"/>
    </row>
    <row r="1102" spans="12:12" x14ac:dyDescent="0.25">
      <c r="L1102" s="12"/>
    </row>
    <row r="1103" spans="12:12" x14ac:dyDescent="0.25">
      <c r="L1103" s="4"/>
    </row>
  </sheetData>
  <pageMargins left="0.7" right="0.7" top="0.75" bottom="0.75" header="0.3" footer="0.3"/>
  <pageSetup orientation="portrait" r:id="rId3"/>
  <drawing r:id="rId4"/>
  <tableParts count="4">
    <tablePart r:id="rId5"/>
    <tablePart r:id="rId6"/>
    <tablePart r:id="rId7"/>
    <tablePart r:id="rId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47"/>
  <sheetViews>
    <sheetView workbookViewId="0">
      <selection sqref="A1:C21"/>
    </sheetView>
  </sheetViews>
  <sheetFormatPr defaultRowHeight="15" x14ac:dyDescent="0.25"/>
  <cols>
    <col min="1" max="1" width="14.5703125" customWidth="1"/>
    <col min="2" max="2" width="16.28515625" bestFit="1" customWidth="1"/>
    <col min="3" max="3" width="15.42578125" customWidth="1"/>
  </cols>
  <sheetData>
    <row r="1" spans="1:3" x14ac:dyDescent="0.25">
      <c r="A1" s="14" t="s">
        <v>3621</v>
      </c>
      <c r="B1" s="14" t="s">
        <v>3620</v>
      </c>
      <c r="C1" s="14" t="s">
        <v>3619</v>
      </c>
    </row>
    <row r="2" spans="1:3" x14ac:dyDescent="0.25">
      <c r="A2" t="s">
        <v>2887</v>
      </c>
      <c r="B2" t="s">
        <v>479</v>
      </c>
      <c r="C2">
        <f>COUNTIF('Faculty-Subject Map'!B:B,A2)</f>
        <v>11</v>
      </c>
    </row>
    <row r="3" spans="1:3" x14ac:dyDescent="0.25">
      <c r="A3" t="s">
        <v>2894</v>
      </c>
      <c r="B3" t="s">
        <v>334</v>
      </c>
      <c r="C3">
        <f>COUNTIF('Faculty-Subject Map'!B:B,A3)</f>
        <v>13</v>
      </c>
    </row>
    <row r="4" spans="1:3" x14ac:dyDescent="0.25">
      <c r="A4" t="s">
        <v>2900</v>
      </c>
      <c r="B4" t="s">
        <v>307</v>
      </c>
      <c r="C4">
        <f>COUNTIF('Faculty-Subject Map'!B:B,A4)</f>
        <v>11</v>
      </c>
    </row>
    <row r="5" spans="1:3" x14ac:dyDescent="0.25">
      <c r="A5" t="s">
        <v>2907</v>
      </c>
      <c r="B5" t="s">
        <v>916</v>
      </c>
      <c r="C5">
        <f>COUNTIF('Faculty-Subject Map'!B:B,A5)</f>
        <v>21</v>
      </c>
    </row>
    <row r="6" spans="1:3" x14ac:dyDescent="0.25">
      <c r="A6" t="s">
        <v>2913</v>
      </c>
      <c r="B6" t="s">
        <v>833</v>
      </c>
      <c r="C6">
        <f>COUNTIF('Faculty-Subject Map'!B:B,A6)</f>
        <v>15</v>
      </c>
    </row>
    <row r="7" spans="1:3" x14ac:dyDescent="0.25">
      <c r="A7" t="s">
        <v>2918</v>
      </c>
      <c r="B7" t="s">
        <v>1546</v>
      </c>
      <c r="C7">
        <f>COUNTIF('Faculty-Subject Map'!B:B,A7)</f>
        <v>9</v>
      </c>
    </row>
    <row r="8" spans="1:3" x14ac:dyDescent="0.25">
      <c r="A8" t="s">
        <v>2924</v>
      </c>
      <c r="B8" t="s">
        <v>1162</v>
      </c>
      <c r="C8">
        <f>COUNTIF('Faculty-Subject Map'!B:B,A8)</f>
        <v>14</v>
      </c>
    </row>
    <row r="9" spans="1:3" x14ac:dyDescent="0.25">
      <c r="A9" t="s">
        <v>2930</v>
      </c>
      <c r="B9" t="s">
        <v>833</v>
      </c>
      <c r="C9">
        <f>COUNTIF('Faculty-Subject Map'!B:B,A9)</f>
        <v>11</v>
      </c>
    </row>
    <row r="10" spans="1:3" x14ac:dyDescent="0.25">
      <c r="A10" t="s">
        <v>2937</v>
      </c>
      <c r="B10" t="s">
        <v>1122</v>
      </c>
      <c r="C10">
        <f>COUNTIF('Faculty-Subject Map'!B:B,A10)</f>
        <v>16</v>
      </c>
    </row>
    <row r="11" spans="1:3" x14ac:dyDescent="0.25">
      <c r="A11" t="s">
        <v>2943</v>
      </c>
      <c r="B11" t="s">
        <v>804</v>
      </c>
      <c r="C11">
        <f>COUNTIF('Faculty-Subject Map'!B:B,A11)</f>
        <v>16</v>
      </c>
    </row>
    <row r="12" spans="1:3" x14ac:dyDescent="0.25">
      <c r="A12" t="s">
        <v>2948</v>
      </c>
      <c r="B12" t="s">
        <v>1985</v>
      </c>
      <c r="C12">
        <f>COUNTIF('Faculty-Subject Map'!B:B,A12)</f>
        <v>11</v>
      </c>
    </row>
    <row r="13" spans="1:3" x14ac:dyDescent="0.25">
      <c r="A13" t="s">
        <v>2954</v>
      </c>
      <c r="B13" t="s">
        <v>2955</v>
      </c>
      <c r="C13">
        <f>COUNTIF('Faculty-Subject Map'!B:B,A13)</f>
        <v>7</v>
      </c>
    </row>
    <row r="14" spans="1:3" x14ac:dyDescent="0.25">
      <c r="A14" t="s">
        <v>2960</v>
      </c>
      <c r="B14" t="s">
        <v>1283</v>
      </c>
      <c r="C14">
        <f>COUNTIF('Faculty-Subject Map'!B:B,A14)</f>
        <v>9</v>
      </c>
    </row>
    <row r="15" spans="1:3" x14ac:dyDescent="0.25">
      <c r="A15" t="s">
        <v>2965</v>
      </c>
      <c r="B15" t="s">
        <v>693</v>
      </c>
      <c r="C15">
        <f>COUNTIF('Faculty-Subject Map'!B:B,A15)</f>
        <v>15</v>
      </c>
    </row>
    <row r="16" spans="1:3" x14ac:dyDescent="0.25">
      <c r="A16" t="s">
        <v>2970</v>
      </c>
      <c r="B16" t="s">
        <v>1306</v>
      </c>
      <c r="C16">
        <f>COUNTIF('Faculty-Subject Map'!B:B,A16)</f>
        <v>7</v>
      </c>
    </row>
    <row r="17" spans="1:3" x14ac:dyDescent="0.25">
      <c r="A17" t="s">
        <v>2975</v>
      </c>
      <c r="B17" t="s">
        <v>1389</v>
      </c>
      <c r="C17">
        <f>COUNTIF('Faculty-Subject Map'!B:B,A17)</f>
        <v>11</v>
      </c>
    </row>
    <row r="18" spans="1:3" x14ac:dyDescent="0.25">
      <c r="A18" t="s">
        <v>2980</v>
      </c>
      <c r="B18" t="s">
        <v>1348</v>
      </c>
      <c r="C18">
        <f>COUNTIF('Faculty-Subject Map'!B:B,A18)</f>
        <v>9</v>
      </c>
    </row>
    <row r="19" spans="1:3" x14ac:dyDescent="0.25">
      <c r="A19" t="s">
        <v>2985</v>
      </c>
      <c r="B19" t="s">
        <v>378</v>
      </c>
      <c r="C19">
        <f>COUNTIF('Faculty-Subject Map'!B:B,A19)</f>
        <v>12</v>
      </c>
    </row>
    <row r="20" spans="1:3" x14ac:dyDescent="0.25">
      <c r="A20" t="s">
        <v>2990</v>
      </c>
      <c r="B20" t="s">
        <v>924</v>
      </c>
      <c r="C20">
        <f>COUNTIF('Faculty-Subject Map'!B:B,A20)</f>
        <v>15</v>
      </c>
    </row>
    <row r="21" spans="1:3" x14ac:dyDescent="0.25">
      <c r="A21" t="s">
        <v>2995</v>
      </c>
      <c r="B21" t="s">
        <v>57</v>
      </c>
      <c r="C21">
        <f>COUNTIF('Faculty-Subject Map'!B:B,A21)</f>
        <v>7</v>
      </c>
    </row>
    <row r="25" spans="1:3" x14ac:dyDescent="0.25">
      <c r="A25" s="15" t="s">
        <v>2883</v>
      </c>
      <c r="B25" s="14" t="s">
        <v>3622</v>
      </c>
    </row>
    <row r="26" spans="1:3" x14ac:dyDescent="0.25">
      <c r="A26" t="s">
        <v>2888</v>
      </c>
      <c r="B26">
        <f>COUNTIF('Faculty Master'!E:E,A26)</f>
        <v>6</v>
      </c>
    </row>
    <row r="27" spans="1:3" x14ac:dyDescent="0.25">
      <c r="A27" t="s">
        <v>2901</v>
      </c>
      <c r="B27">
        <f>COUNTIF('Faculty Master'!E:E,A27)</f>
        <v>1</v>
      </c>
    </row>
    <row r="28" spans="1:3" x14ac:dyDescent="0.25">
      <c r="A28" t="s">
        <v>2925</v>
      </c>
      <c r="B28">
        <f>COUNTIF('Faculty Master'!E:E,A28)</f>
        <v>1</v>
      </c>
    </row>
    <row r="29" spans="1:3" x14ac:dyDescent="0.25">
      <c r="A29" t="s">
        <v>2931</v>
      </c>
      <c r="B29">
        <f>COUNTIF('Faculty Master'!E:E,A29)</f>
        <v>4</v>
      </c>
    </row>
    <row r="30" spans="1:3" x14ac:dyDescent="0.25">
      <c r="A30" t="s">
        <v>2938</v>
      </c>
      <c r="B30">
        <f>COUNTIF('Faculty Master'!E:E,A30)</f>
        <v>2</v>
      </c>
    </row>
    <row r="31" spans="1:3" x14ac:dyDescent="0.25">
      <c r="A31" t="s">
        <v>2944</v>
      </c>
      <c r="B31">
        <f>COUNTIF('Faculty Master'!E:E,A31)</f>
        <v>4</v>
      </c>
    </row>
    <row r="32" spans="1:3" x14ac:dyDescent="0.25">
      <c r="A32" t="s">
        <v>2949</v>
      </c>
      <c r="B32">
        <f>COUNTIF('Faculty Master'!E:E,A32)</f>
        <v>2</v>
      </c>
    </row>
    <row r="44" spans="1:2" x14ac:dyDescent="0.25">
      <c r="A44" s="5" t="s">
        <v>2</v>
      </c>
      <c r="B44" s="5" t="s">
        <v>3622</v>
      </c>
    </row>
    <row r="45" spans="1:2" x14ac:dyDescent="0.25">
      <c r="A45" t="s">
        <v>134</v>
      </c>
      <c r="B45">
        <f>COUNTIF('Faculty Master'!C:C,A45)</f>
        <v>7</v>
      </c>
    </row>
    <row r="46" spans="1:2" x14ac:dyDescent="0.25">
      <c r="A46" t="s">
        <v>20</v>
      </c>
      <c r="B46">
        <f>COUNTIF('Faculty Master'!C:C,A46)</f>
        <v>10</v>
      </c>
    </row>
    <row r="47" spans="1:2" x14ac:dyDescent="0.25">
      <c r="A47" t="s">
        <v>34</v>
      </c>
      <c r="B47">
        <f>COUNTIF('Faculty Master'!C:C,A47)</f>
        <v>3</v>
      </c>
    </row>
  </sheetData>
  <pageMargins left="0.7" right="0.7" top="0.75" bottom="0.75" header="0.3" footer="0.3"/>
  <drawing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5:C65"/>
  <sheetViews>
    <sheetView topLeftCell="A2" workbookViewId="0">
      <selection activeCell="A5" sqref="A5:B13"/>
    </sheetView>
  </sheetViews>
  <sheetFormatPr defaultRowHeight="15" x14ac:dyDescent="0.25"/>
  <cols>
    <col min="1" max="1" width="21.42578125" bestFit="1" customWidth="1"/>
    <col min="2" max="2" width="24.85546875" style="16" bestFit="1" customWidth="1"/>
    <col min="3" max="3" width="13" customWidth="1"/>
  </cols>
  <sheetData>
    <row r="5" spans="1:2" x14ac:dyDescent="0.25">
      <c r="A5" s="15" t="s">
        <v>2884</v>
      </c>
      <c r="B5" s="17" t="s">
        <v>3623</v>
      </c>
    </row>
    <row r="6" spans="1:2" x14ac:dyDescent="0.25">
      <c r="A6" t="s">
        <v>2961</v>
      </c>
      <c r="B6" s="16">
        <f>AVERAGEIF('Faculty Master'!F:F,A6,'Faculty Master'!J:J)</f>
        <v>6</v>
      </c>
    </row>
    <row r="7" spans="1:2" x14ac:dyDescent="0.25">
      <c r="A7" t="s">
        <v>2902</v>
      </c>
      <c r="B7" s="16">
        <f>AVERAGEIF('Faculty Master'!F:F,A7,'Faculty Master'!J:J)</f>
        <v>5</v>
      </c>
    </row>
    <row r="8" spans="1:2" x14ac:dyDescent="0.25">
      <c r="A8" t="s">
        <v>2908</v>
      </c>
      <c r="B8" s="16">
        <f>AVERAGEIF('Faculty Master'!F:F,A8,'Faculty Master'!J:J)</f>
        <v>15.5</v>
      </c>
    </row>
    <row r="9" spans="1:2" x14ac:dyDescent="0.25">
      <c r="A9" t="s">
        <v>2889</v>
      </c>
      <c r="B9" s="16">
        <f>AVERAGEIF('Faculty Master'!F:F,A9,'Faculty Master'!J:J)</f>
        <v>12.333333333333334</v>
      </c>
    </row>
    <row r="10" spans="1:2" x14ac:dyDescent="0.25">
      <c r="A10" t="s">
        <v>2919</v>
      </c>
      <c r="B10" s="16">
        <f>AVERAGEIF('Faculty Master'!F:F,A10,'Faculty Master'!J:J)</f>
        <v>11</v>
      </c>
    </row>
    <row r="11" spans="1:2" x14ac:dyDescent="0.25">
      <c r="A11" t="s">
        <v>2895</v>
      </c>
      <c r="B11" s="16">
        <f>AVERAGEIF('Faculty Master'!F:F,A11,'Faculty Master'!J:J)</f>
        <v>10.75</v>
      </c>
    </row>
    <row r="12" spans="1:2" x14ac:dyDescent="0.25">
      <c r="A12" t="s">
        <v>2932</v>
      </c>
      <c r="B12" s="16">
        <f>AVERAGEIF('Faculty Master'!F:F,A12,'Faculty Master'!J:J)</f>
        <v>10.666666666666666</v>
      </c>
    </row>
    <row r="13" spans="1:2" x14ac:dyDescent="0.25">
      <c r="A13" t="s">
        <v>3001</v>
      </c>
      <c r="B13" s="16">
        <f>AVERAGEIF('Faculty Master'!F:F,A13,'Faculty Master'!J:J)</f>
        <v>8</v>
      </c>
    </row>
    <row r="25" spans="1:2" x14ac:dyDescent="0.25">
      <c r="A25" s="15" t="s">
        <v>2884</v>
      </c>
      <c r="B25" s="14" t="s">
        <v>3615</v>
      </c>
    </row>
    <row r="26" spans="1:2" x14ac:dyDescent="0.25">
      <c r="A26" t="s">
        <v>2961</v>
      </c>
      <c r="B26" s="16">
        <f>COUNTIF('Students Master'!S:S,A26)</f>
        <v>57</v>
      </c>
    </row>
    <row r="27" spans="1:2" x14ac:dyDescent="0.25">
      <c r="A27" t="s">
        <v>2902</v>
      </c>
      <c r="B27" s="16">
        <f>COUNTIF('Students Master'!S:S,A27)</f>
        <v>69</v>
      </c>
    </row>
    <row r="28" spans="1:2" x14ac:dyDescent="0.25">
      <c r="A28" t="s">
        <v>2908</v>
      </c>
      <c r="B28" s="16">
        <f>COUNTIF('Students Master'!S:S,A28)</f>
        <v>59</v>
      </c>
    </row>
    <row r="29" spans="1:2" x14ac:dyDescent="0.25">
      <c r="A29" t="s">
        <v>2889</v>
      </c>
      <c r="B29" s="16">
        <f>COUNTIF('Students Master'!S:S,A29)</f>
        <v>66</v>
      </c>
    </row>
    <row r="30" spans="1:2" x14ac:dyDescent="0.25">
      <c r="A30" t="s">
        <v>2919</v>
      </c>
      <c r="B30" s="16">
        <f>COUNTIF('Students Master'!S:S,A30)</f>
        <v>52</v>
      </c>
    </row>
    <row r="31" spans="1:2" x14ac:dyDescent="0.25">
      <c r="A31" t="s">
        <v>2895</v>
      </c>
      <c r="B31" s="16">
        <f>COUNTIF('Students Master'!S:S,A31)</f>
        <v>72</v>
      </c>
    </row>
    <row r="32" spans="1:2" x14ac:dyDescent="0.25">
      <c r="A32" t="s">
        <v>2932</v>
      </c>
      <c r="B32" s="16">
        <f>COUNTIF('Students Master'!S:S,A32)</f>
        <v>64</v>
      </c>
    </row>
    <row r="33" spans="1:2" x14ac:dyDescent="0.25">
      <c r="A33" t="s">
        <v>3001</v>
      </c>
      <c r="B33" s="16">
        <f>COUNTIF('Students Master'!S:S,A33)</f>
        <v>61</v>
      </c>
    </row>
    <row r="42" spans="1:2" x14ac:dyDescent="0.25">
      <c r="A42" s="15" t="s">
        <v>15</v>
      </c>
      <c r="B42" s="14" t="s">
        <v>3624</v>
      </c>
    </row>
    <row r="43" spans="1:2" x14ac:dyDescent="0.25">
      <c r="A43" t="s">
        <v>76</v>
      </c>
      <c r="B43" s="16">
        <f>COUNTIF('Students Master'!P:P,A43)</f>
        <v>57</v>
      </c>
    </row>
    <row r="44" spans="1:2" x14ac:dyDescent="0.25">
      <c r="A44" t="s">
        <v>160</v>
      </c>
      <c r="B44" s="16">
        <f>COUNTIF('Students Master'!P:P,A44)</f>
        <v>69</v>
      </c>
    </row>
    <row r="45" spans="1:2" x14ac:dyDescent="0.25">
      <c r="A45" t="s">
        <v>106</v>
      </c>
      <c r="B45" s="16">
        <f>COUNTIF('Students Master'!P:P,A45)</f>
        <v>59</v>
      </c>
    </row>
    <row r="46" spans="1:2" x14ac:dyDescent="0.25">
      <c r="A46" t="s">
        <v>96</v>
      </c>
      <c r="B46" s="16">
        <f>COUNTIF('Students Master'!P:P,A46)</f>
        <v>66</v>
      </c>
    </row>
    <row r="47" spans="1:2" x14ac:dyDescent="0.25">
      <c r="A47" t="s">
        <v>123</v>
      </c>
      <c r="B47" s="16">
        <f>COUNTIF('Students Master'!P:P,A47)</f>
        <v>52</v>
      </c>
    </row>
    <row r="48" spans="1:2" x14ac:dyDescent="0.25">
      <c r="A48" t="s">
        <v>31</v>
      </c>
      <c r="B48" s="16">
        <f>COUNTIF('Students Master'!P:P,A48)</f>
        <v>72</v>
      </c>
    </row>
    <row r="49" spans="1:3" x14ac:dyDescent="0.25">
      <c r="A49" t="s">
        <v>64</v>
      </c>
      <c r="B49" s="16">
        <f>COUNTIF('Students Master'!P:P,A49)</f>
        <v>64</v>
      </c>
    </row>
    <row r="50" spans="1:3" x14ac:dyDescent="0.25">
      <c r="A50" t="s">
        <v>213</v>
      </c>
      <c r="B50" s="16">
        <f>COUNTIF('Students Master'!P:P,A50)</f>
        <v>61</v>
      </c>
    </row>
    <row r="57" spans="1:3" x14ac:dyDescent="0.25">
      <c r="A57" s="15" t="s">
        <v>2884</v>
      </c>
      <c r="B57" s="14" t="s">
        <v>3490</v>
      </c>
      <c r="C57" s="14" t="s">
        <v>3492</v>
      </c>
    </row>
    <row r="58" spans="1:3" x14ac:dyDescent="0.25">
      <c r="A58" t="s">
        <v>2961</v>
      </c>
      <c r="B58" s="16">
        <f>COUNTIFS('Semester Results'!J:J,A58,'Semester Results'!I:I,"Pass")</f>
        <v>230</v>
      </c>
      <c r="C58">
        <f>COUNTIFS('Semester Results'!J:J,A58,'Semester Results'!I:I,"Fail")</f>
        <v>55</v>
      </c>
    </row>
    <row r="59" spans="1:3" x14ac:dyDescent="0.25">
      <c r="A59" t="s">
        <v>2902</v>
      </c>
      <c r="B59" s="16">
        <f>COUNTIFS('Semester Results'!J:J,A59,'Semester Results'!I:I,"Pass")</f>
        <v>278</v>
      </c>
      <c r="C59">
        <f>COUNTIFS('Semester Results'!J:J,A59,'Semester Results'!I:I,"Fail")</f>
        <v>67</v>
      </c>
    </row>
    <row r="60" spans="1:3" x14ac:dyDescent="0.25">
      <c r="A60" t="s">
        <v>2908</v>
      </c>
      <c r="B60" s="16">
        <f>COUNTIFS('Semester Results'!J:J,A60,'Semester Results'!I:I,"Pass")</f>
        <v>238</v>
      </c>
      <c r="C60">
        <f>COUNTIFS('Semester Results'!J:J,A60,'Semester Results'!I:I,"Fail")</f>
        <v>57</v>
      </c>
    </row>
    <row r="61" spans="1:3" x14ac:dyDescent="0.25">
      <c r="A61" t="s">
        <v>2889</v>
      </c>
      <c r="B61" s="16">
        <f>COUNTIFS('Semester Results'!J:J,A61,'Semester Results'!I:I,"Pass")</f>
        <v>268</v>
      </c>
      <c r="C61">
        <f>COUNTIFS('Semester Results'!J:J,A61,'Semester Results'!I:I,"Fail")</f>
        <v>62</v>
      </c>
    </row>
    <row r="62" spans="1:3" x14ac:dyDescent="0.25">
      <c r="A62" t="s">
        <v>2919</v>
      </c>
      <c r="B62" s="16">
        <f>COUNTIFS('Semester Results'!J:J,A62,'Semester Results'!I:I,"Pass")</f>
        <v>206</v>
      </c>
      <c r="C62">
        <f>COUNTIFS('Semester Results'!J:J,A62,'Semester Results'!I:I,"Fail")</f>
        <v>54</v>
      </c>
    </row>
    <row r="63" spans="1:3" x14ac:dyDescent="0.25">
      <c r="A63" t="s">
        <v>2895</v>
      </c>
      <c r="B63" s="16">
        <f>COUNTIFS('Semester Results'!J:J,A63,'Semester Results'!I:I,"Pass")</f>
        <v>279</v>
      </c>
      <c r="C63">
        <f>COUNTIFS('Semester Results'!J:J,A63,'Semester Results'!I:I,"Fail")</f>
        <v>81</v>
      </c>
    </row>
    <row r="64" spans="1:3" x14ac:dyDescent="0.25">
      <c r="A64" t="s">
        <v>2932</v>
      </c>
      <c r="B64" s="16">
        <f>COUNTIFS('Semester Results'!J:J,A64,'Semester Results'!I:I,"Pass")</f>
        <v>253</v>
      </c>
      <c r="C64">
        <f>COUNTIFS('Semester Results'!J:J,A64,'Semester Results'!I:I,"Fail")</f>
        <v>67</v>
      </c>
    </row>
    <row r="65" spans="1:3" x14ac:dyDescent="0.25">
      <c r="A65" t="s">
        <v>3001</v>
      </c>
      <c r="B65" s="16">
        <f>COUNTIFS('Semester Results'!J:J,A65,'Semester Results'!I:I,"Pass")</f>
        <v>234</v>
      </c>
      <c r="C65">
        <f>COUNTIFS('Semester Results'!J:J,A65,'Semester Results'!I:I,"Fail")</f>
        <v>71</v>
      </c>
    </row>
  </sheetData>
  <pageMargins left="0.7" right="0.7" top="0.75" bottom="0.75" header="0.3" footer="0.3"/>
  <drawing r:id="rId1"/>
  <tableParts count="4">
    <tablePart r:id="rId2"/>
    <tablePart r:id="rId3"/>
    <tablePart r:id="rId4"/>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4:B59"/>
  <sheetViews>
    <sheetView topLeftCell="A46" workbookViewId="0">
      <selection activeCell="O48" sqref="O48"/>
    </sheetView>
  </sheetViews>
  <sheetFormatPr defaultRowHeight="15" x14ac:dyDescent="0.25"/>
  <cols>
    <col min="1" max="1" width="18.85546875" bestFit="1" customWidth="1"/>
    <col min="2" max="2" width="11.7109375" bestFit="1" customWidth="1"/>
  </cols>
  <sheetData>
    <row r="4" spans="1:2" x14ac:dyDescent="0.25">
      <c r="A4" s="3" t="s">
        <v>3626</v>
      </c>
      <c r="B4" t="s">
        <v>3625</v>
      </c>
    </row>
    <row r="5" spans="1:2" x14ac:dyDescent="0.25">
      <c r="A5" s="4" t="s">
        <v>3541</v>
      </c>
      <c r="B5">
        <v>3</v>
      </c>
    </row>
    <row r="6" spans="1:2" x14ac:dyDescent="0.25">
      <c r="A6" s="4" t="s">
        <v>3515</v>
      </c>
      <c r="B6">
        <v>4</v>
      </c>
    </row>
    <row r="7" spans="1:2" x14ac:dyDescent="0.25">
      <c r="A7" s="4" t="s">
        <v>3536</v>
      </c>
      <c r="B7">
        <v>8</v>
      </c>
    </row>
    <row r="8" spans="1:2" x14ac:dyDescent="0.25">
      <c r="A8" s="4" t="s">
        <v>3531</v>
      </c>
      <c r="B8">
        <v>8</v>
      </c>
    </row>
    <row r="9" spans="1:2" x14ac:dyDescent="0.25">
      <c r="A9" s="4" t="s">
        <v>3549</v>
      </c>
      <c r="B9">
        <v>3</v>
      </c>
    </row>
    <row r="10" spans="1:2" x14ac:dyDescent="0.25">
      <c r="A10" s="4" t="s">
        <v>3525</v>
      </c>
      <c r="B10">
        <v>3</v>
      </c>
    </row>
    <row r="11" spans="1:2" x14ac:dyDescent="0.25">
      <c r="A11" s="4" t="s">
        <v>3508</v>
      </c>
      <c r="B11">
        <v>8</v>
      </c>
    </row>
    <row r="12" spans="1:2" x14ac:dyDescent="0.25">
      <c r="A12" s="4" t="s">
        <v>3553</v>
      </c>
      <c r="B12">
        <v>3</v>
      </c>
    </row>
    <row r="13" spans="1:2" x14ac:dyDescent="0.25">
      <c r="A13" s="4" t="s">
        <v>3613</v>
      </c>
      <c r="B13">
        <v>40</v>
      </c>
    </row>
    <row r="21" spans="1:2" x14ac:dyDescent="0.25">
      <c r="A21" s="15" t="s">
        <v>3504</v>
      </c>
      <c r="B21" s="14" t="s">
        <v>3627</v>
      </c>
    </row>
    <row r="22" spans="1:2" x14ac:dyDescent="0.25">
      <c r="A22" t="s">
        <v>3512</v>
      </c>
      <c r="B22">
        <f>SUMIF('Events Master'!I:I,A22,'Events Master'!J:J)</f>
        <v>2522304</v>
      </c>
    </row>
    <row r="23" spans="1:2" x14ac:dyDescent="0.25">
      <c r="A23" t="s">
        <v>3517</v>
      </c>
      <c r="B23">
        <f>SUMIF('Events Master'!I:I,A23,'Events Master'!J:J)</f>
        <v>934894</v>
      </c>
    </row>
    <row r="38" spans="1:2" x14ac:dyDescent="0.25">
      <c r="A38" s="15" t="s">
        <v>3499</v>
      </c>
      <c r="B38" s="14" t="s">
        <v>3628</v>
      </c>
    </row>
    <row r="39" spans="1:2" x14ac:dyDescent="0.25">
      <c r="A39" t="s">
        <v>3509</v>
      </c>
      <c r="B39">
        <f>COUNTIF('Events Master'!D:D,A39)</f>
        <v>21</v>
      </c>
    </row>
    <row r="40" spans="1:2" x14ac:dyDescent="0.25">
      <c r="A40" t="s">
        <v>3520</v>
      </c>
      <c r="B40">
        <f>COUNTIF('Events Master'!D:D,A40)</f>
        <v>19</v>
      </c>
    </row>
    <row r="55" spans="1:2" x14ac:dyDescent="0.25">
      <c r="A55" s="15" t="s">
        <v>3600</v>
      </c>
      <c r="B55" s="14" t="s">
        <v>3629</v>
      </c>
    </row>
    <row r="56" spans="1:2" x14ac:dyDescent="0.25">
      <c r="A56" t="s">
        <v>3603</v>
      </c>
      <c r="B56">
        <f>COUNTIF('Event Participants'!E:E,A56)</f>
        <v>523</v>
      </c>
    </row>
    <row r="57" spans="1:2" x14ac:dyDescent="0.25">
      <c r="A57" t="s">
        <v>3604</v>
      </c>
      <c r="B57">
        <f>COUNTIF('Event Participants'!E:E,A57)</f>
        <v>492</v>
      </c>
    </row>
    <row r="58" spans="1:2" x14ac:dyDescent="0.25">
      <c r="A58" t="s">
        <v>3605</v>
      </c>
      <c r="B58">
        <f>COUNTIF('Event Participants'!E:E,A58)</f>
        <v>528</v>
      </c>
    </row>
    <row r="59" spans="1:2" x14ac:dyDescent="0.25">
      <c r="A59" t="s">
        <v>3609</v>
      </c>
      <c r="B59">
        <f>COUNTIF('Event Participants'!E:E,A59)</f>
        <v>521</v>
      </c>
    </row>
  </sheetData>
  <pageMargins left="0.7" right="0.7" top="0.75" bottom="0.75" header="0.3" footer="0.3"/>
  <drawing r:id="rId2"/>
  <tableParts count="3">
    <tablePart r:id="rId3"/>
    <tablePart r:id="rId4"/>
    <tablePart r:id="rId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F0C6D-48D5-443F-8E3C-E29BBE495DBB}">
  <dimension ref="A1:J2501"/>
  <sheetViews>
    <sheetView workbookViewId="0">
      <selection activeCell="E2" sqref="E2:E2501"/>
    </sheetView>
  </sheetViews>
  <sheetFormatPr defaultRowHeight="15" x14ac:dyDescent="0.25"/>
  <cols>
    <col min="1" max="1" width="9.85546875" bestFit="1" customWidth="1"/>
    <col min="2" max="2" width="9" bestFit="1" customWidth="1"/>
    <col min="3" max="3" width="9.42578125" bestFit="1" customWidth="1"/>
    <col min="4" max="4" width="11.85546875" bestFit="1" customWidth="1"/>
    <col min="5" max="5" width="10.85546875" bestFit="1" customWidth="1"/>
    <col min="6" max="6" width="13.5703125" bestFit="1" customWidth="1"/>
    <col min="7" max="7" width="13.85546875" bestFit="1" customWidth="1"/>
    <col min="8" max="8" width="6.42578125" bestFit="1" customWidth="1"/>
    <col min="9" max="9" width="6.5703125" bestFit="1" customWidth="1"/>
    <col min="10" max="10" width="17.28515625" bestFit="1" customWidth="1"/>
  </cols>
  <sheetData>
    <row r="1" spans="1:10" x14ac:dyDescent="0.25">
      <c r="A1" s="1" t="s">
        <v>0</v>
      </c>
      <c r="B1" s="1" t="s">
        <v>14</v>
      </c>
      <c r="C1" s="1" t="s">
        <v>17</v>
      </c>
      <c r="D1" s="1" t="s">
        <v>3002</v>
      </c>
      <c r="E1" s="1" t="s">
        <v>3484</v>
      </c>
      <c r="F1" s="1" t="s">
        <v>3485</v>
      </c>
      <c r="G1" s="1" t="s">
        <v>3486</v>
      </c>
      <c r="H1" s="1" t="s">
        <v>3487</v>
      </c>
      <c r="I1" s="1" t="s">
        <v>3488</v>
      </c>
      <c r="J1" s="13" t="s">
        <v>2884</v>
      </c>
    </row>
    <row r="2" spans="1:10" x14ac:dyDescent="0.25">
      <c r="A2" t="s">
        <v>18</v>
      </c>
      <c r="B2" t="s">
        <v>30</v>
      </c>
      <c r="C2">
        <v>6</v>
      </c>
      <c r="D2" t="s">
        <v>3354</v>
      </c>
      <c r="E2">
        <v>69</v>
      </c>
      <c r="F2">
        <v>25</v>
      </c>
      <c r="G2">
        <v>44</v>
      </c>
      <c r="H2" t="s">
        <v>3489</v>
      </c>
      <c r="I2" t="s">
        <v>3490</v>
      </c>
      <c r="J2" t="s">
        <v>2895</v>
      </c>
    </row>
    <row r="3" spans="1:10" x14ac:dyDescent="0.25">
      <c r="A3" t="s">
        <v>18</v>
      </c>
      <c r="B3" t="s">
        <v>30</v>
      </c>
      <c r="C3">
        <v>6</v>
      </c>
      <c r="D3" t="s">
        <v>3356</v>
      </c>
      <c r="E3">
        <v>48</v>
      </c>
      <c r="F3">
        <v>18</v>
      </c>
      <c r="G3">
        <v>30</v>
      </c>
      <c r="H3" t="s">
        <v>3491</v>
      </c>
      <c r="I3" t="s">
        <v>3492</v>
      </c>
      <c r="J3" t="s">
        <v>2895</v>
      </c>
    </row>
    <row r="4" spans="1:10" x14ac:dyDescent="0.25">
      <c r="A4" t="s">
        <v>18</v>
      </c>
      <c r="B4" t="s">
        <v>30</v>
      </c>
      <c r="C4">
        <v>6</v>
      </c>
      <c r="D4" t="s">
        <v>3358</v>
      </c>
      <c r="E4">
        <v>59</v>
      </c>
      <c r="F4">
        <v>25</v>
      </c>
      <c r="G4">
        <v>34</v>
      </c>
      <c r="H4" t="s">
        <v>3493</v>
      </c>
      <c r="I4" t="s">
        <v>3490</v>
      </c>
      <c r="J4" t="s">
        <v>2895</v>
      </c>
    </row>
    <row r="5" spans="1:10" x14ac:dyDescent="0.25">
      <c r="A5" t="s">
        <v>18</v>
      </c>
      <c r="B5" t="s">
        <v>30</v>
      </c>
      <c r="C5">
        <v>6</v>
      </c>
      <c r="D5" t="s">
        <v>3360</v>
      </c>
      <c r="E5">
        <v>52</v>
      </c>
      <c r="F5">
        <v>24</v>
      </c>
      <c r="G5">
        <v>28</v>
      </c>
      <c r="H5" t="s">
        <v>3493</v>
      </c>
      <c r="I5" t="s">
        <v>3490</v>
      </c>
      <c r="J5" t="s">
        <v>2895</v>
      </c>
    </row>
    <row r="6" spans="1:10" x14ac:dyDescent="0.25">
      <c r="A6" t="s">
        <v>18</v>
      </c>
      <c r="B6" t="s">
        <v>30</v>
      </c>
      <c r="C6">
        <v>6</v>
      </c>
      <c r="D6" t="s">
        <v>3362</v>
      </c>
      <c r="E6">
        <v>79</v>
      </c>
      <c r="F6">
        <v>10</v>
      </c>
      <c r="G6">
        <v>69</v>
      </c>
      <c r="H6" t="s">
        <v>3494</v>
      </c>
      <c r="I6" t="s">
        <v>3490</v>
      </c>
      <c r="J6" t="s">
        <v>2895</v>
      </c>
    </row>
    <row r="7" spans="1:10" x14ac:dyDescent="0.25">
      <c r="A7" t="s">
        <v>32</v>
      </c>
      <c r="B7" t="s">
        <v>30</v>
      </c>
      <c r="C7">
        <v>4</v>
      </c>
      <c r="D7" t="s">
        <v>3334</v>
      </c>
      <c r="E7">
        <v>78</v>
      </c>
      <c r="F7">
        <v>17</v>
      </c>
      <c r="G7">
        <v>61</v>
      </c>
      <c r="H7" t="s">
        <v>3494</v>
      </c>
      <c r="I7" t="s">
        <v>3490</v>
      </c>
      <c r="J7" t="s">
        <v>2895</v>
      </c>
    </row>
    <row r="8" spans="1:10" x14ac:dyDescent="0.25">
      <c r="A8" t="s">
        <v>32</v>
      </c>
      <c r="B8" t="s">
        <v>30</v>
      </c>
      <c r="C8">
        <v>4</v>
      </c>
      <c r="D8" t="s">
        <v>3336</v>
      </c>
      <c r="E8">
        <v>69</v>
      </c>
      <c r="F8">
        <v>25</v>
      </c>
      <c r="G8">
        <v>44</v>
      </c>
      <c r="H8" t="s">
        <v>3489</v>
      </c>
      <c r="I8" t="s">
        <v>3490</v>
      </c>
      <c r="J8" t="s">
        <v>2895</v>
      </c>
    </row>
    <row r="9" spans="1:10" x14ac:dyDescent="0.25">
      <c r="A9" t="s">
        <v>32</v>
      </c>
      <c r="B9" t="s">
        <v>30</v>
      </c>
      <c r="C9">
        <v>4</v>
      </c>
      <c r="D9" t="s">
        <v>3338</v>
      </c>
      <c r="E9">
        <v>72</v>
      </c>
      <c r="F9">
        <v>17</v>
      </c>
      <c r="G9">
        <v>55</v>
      </c>
      <c r="H9" t="s">
        <v>3494</v>
      </c>
      <c r="I9" t="s">
        <v>3490</v>
      </c>
      <c r="J9" t="s">
        <v>2895</v>
      </c>
    </row>
    <row r="10" spans="1:10" x14ac:dyDescent="0.25">
      <c r="A10" t="s">
        <v>32</v>
      </c>
      <c r="B10" t="s">
        <v>30</v>
      </c>
      <c r="C10">
        <v>4</v>
      </c>
      <c r="D10" t="s">
        <v>3340</v>
      </c>
      <c r="E10">
        <v>87</v>
      </c>
      <c r="F10">
        <v>26</v>
      </c>
      <c r="G10">
        <v>61</v>
      </c>
      <c r="H10" t="s">
        <v>196</v>
      </c>
      <c r="I10" t="s">
        <v>3490</v>
      </c>
      <c r="J10" t="s">
        <v>2895</v>
      </c>
    </row>
    <row r="11" spans="1:10" x14ac:dyDescent="0.25">
      <c r="A11" t="s">
        <v>32</v>
      </c>
      <c r="B11" t="s">
        <v>30</v>
      </c>
      <c r="C11">
        <v>4</v>
      </c>
      <c r="D11" t="s">
        <v>3342</v>
      </c>
      <c r="E11">
        <v>41</v>
      </c>
      <c r="F11">
        <v>14</v>
      </c>
      <c r="G11">
        <v>27</v>
      </c>
      <c r="H11" t="s">
        <v>3491</v>
      </c>
      <c r="I11" t="s">
        <v>3492</v>
      </c>
      <c r="J11" t="s">
        <v>2895</v>
      </c>
    </row>
    <row r="12" spans="1:10" x14ac:dyDescent="0.25">
      <c r="A12" t="s">
        <v>44</v>
      </c>
      <c r="B12" t="s">
        <v>30</v>
      </c>
      <c r="C12">
        <v>4</v>
      </c>
      <c r="D12" t="s">
        <v>3334</v>
      </c>
      <c r="E12">
        <v>84</v>
      </c>
      <c r="F12">
        <v>18</v>
      </c>
      <c r="G12">
        <v>66</v>
      </c>
      <c r="H12" t="s">
        <v>196</v>
      </c>
      <c r="I12" t="s">
        <v>3490</v>
      </c>
      <c r="J12" t="s">
        <v>2895</v>
      </c>
    </row>
    <row r="13" spans="1:10" x14ac:dyDescent="0.25">
      <c r="A13" t="s">
        <v>44</v>
      </c>
      <c r="B13" t="s">
        <v>30</v>
      </c>
      <c r="C13">
        <v>4</v>
      </c>
      <c r="D13" t="s">
        <v>3336</v>
      </c>
      <c r="E13">
        <v>74</v>
      </c>
      <c r="F13">
        <v>21</v>
      </c>
      <c r="G13">
        <v>53</v>
      </c>
      <c r="H13" t="s">
        <v>3494</v>
      </c>
      <c r="I13" t="s">
        <v>3490</v>
      </c>
      <c r="J13" t="s">
        <v>2895</v>
      </c>
    </row>
    <row r="14" spans="1:10" x14ac:dyDescent="0.25">
      <c r="A14" t="s">
        <v>44</v>
      </c>
      <c r="B14" t="s">
        <v>30</v>
      </c>
      <c r="C14">
        <v>4</v>
      </c>
      <c r="D14" t="s">
        <v>3338</v>
      </c>
      <c r="E14">
        <v>82</v>
      </c>
      <c r="F14">
        <v>18</v>
      </c>
      <c r="G14">
        <v>64</v>
      </c>
      <c r="H14" t="s">
        <v>196</v>
      </c>
      <c r="I14" t="s">
        <v>3490</v>
      </c>
      <c r="J14" t="s">
        <v>2895</v>
      </c>
    </row>
    <row r="15" spans="1:10" x14ac:dyDescent="0.25">
      <c r="A15" t="s">
        <v>44</v>
      </c>
      <c r="B15" t="s">
        <v>30</v>
      </c>
      <c r="C15">
        <v>4</v>
      </c>
      <c r="D15" t="s">
        <v>3340</v>
      </c>
      <c r="E15">
        <v>50</v>
      </c>
      <c r="F15">
        <v>13</v>
      </c>
      <c r="G15">
        <v>37</v>
      </c>
      <c r="H15" t="s">
        <v>3493</v>
      </c>
      <c r="I15" t="s">
        <v>3490</v>
      </c>
      <c r="J15" t="s">
        <v>2895</v>
      </c>
    </row>
    <row r="16" spans="1:10" x14ac:dyDescent="0.25">
      <c r="A16" t="s">
        <v>44</v>
      </c>
      <c r="B16" t="s">
        <v>30</v>
      </c>
      <c r="C16">
        <v>4</v>
      </c>
      <c r="D16" t="s">
        <v>3342</v>
      </c>
      <c r="E16">
        <v>65</v>
      </c>
      <c r="F16">
        <v>26</v>
      </c>
      <c r="G16">
        <v>39</v>
      </c>
      <c r="H16" t="s">
        <v>3489</v>
      </c>
      <c r="I16" t="s">
        <v>3490</v>
      </c>
      <c r="J16" t="s">
        <v>2895</v>
      </c>
    </row>
    <row r="17" spans="1:10" x14ac:dyDescent="0.25">
      <c r="A17" t="s">
        <v>54</v>
      </c>
      <c r="B17" t="s">
        <v>63</v>
      </c>
      <c r="C17">
        <v>6</v>
      </c>
      <c r="D17" t="s">
        <v>3414</v>
      </c>
      <c r="E17">
        <v>43</v>
      </c>
      <c r="F17">
        <v>22</v>
      </c>
      <c r="G17">
        <v>21</v>
      </c>
      <c r="H17" t="s">
        <v>3491</v>
      </c>
      <c r="I17" t="s">
        <v>3492</v>
      </c>
      <c r="J17" t="s">
        <v>2932</v>
      </c>
    </row>
    <row r="18" spans="1:10" x14ac:dyDescent="0.25">
      <c r="A18" t="s">
        <v>54</v>
      </c>
      <c r="B18" t="s">
        <v>63</v>
      </c>
      <c r="C18">
        <v>6</v>
      </c>
      <c r="D18" t="s">
        <v>3416</v>
      </c>
      <c r="E18">
        <v>68</v>
      </c>
      <c r="F18">
        <v>12</v>
      </c>
      <c r="G18">
        <v>56</v>
      </c>
      <c r="H18" t="s">
        <v>3489</v>
      </c>
      <c r="I18" t="s">
        <v>3490</v>
      </c>
      <c r="J18" t="s">
        <v>2932</v>
      </c>
    </row>
    <row r="19" spans="1:10" x14ac:dyDescent="0.25">
      <c r="A19" t="s">
        <v>54</v>
      </c>
      <c r="B19" t="s">
        <v>63</v>
      </c>
      <c r="C19">
        <v>6</v>
      </c>
      <c r="D19" t="s">
        <v>3418</v>
      </c>
      <c r="E19">
        <v>48</v>
      </c>
      <c r="F19">
        <v>13</v>
      </c>
      <c r="G19">
        <v>35</v>
      </c>
      <c r="H19" t="s">
        <v>3491</v>
      </c>
      <c r="I19" t="s">
        <v>3492</v>
      </c>
      <c r="J19" t="s">
        <v>2932</v>
      </c>
    </row>
    <row r="20" spans="1:10" x14ac:dyDescent="0.25">
      <c r="A20" t="s">
        <v>54</v>
      </c>
      <c r="B20" t="s">
        <v>63</v>
      </c>
      <c r="C20">
        <v>6</v>
      </c>
      <c r="D20" t="s">
        <v>3420</v>
      </c>
      <c r="E20">
        <v>55</v>
      </c>
      <c r="F20">
        <v>19</v>
      </c>
      <c r="G20">
        <v>36</v>
      </c>
      <c r="H20" t="s">
        <v>3493</v>
      </c>
      <c r="I20" t="s">
        <v>3490</v>
      </c>
      <c r="J20" t="s">
        <v>2932</v>
      </c>
    </row>
    <row r="21" spans="1:10" x14ac:dyDescent="0.25">
      <c r="A21" t="s">
        <v>54</v>
      </c>
      <c r="B21" t="s">
        <v>63</v>
      </c>
      <c r="C21">
        <v>6</v>
      </c>
      <c r="D21" t="s">
        <v>3422</v>
      </c>
      <c r="E21">
        <v>85</v>
      </c>
      <c r="F21">
        <v>17</v>
      </c>
      <c r="G21">
        <v>68</v>
      </c>
      <c r="H21" t="s">
        <v>196</v>
      </c>
      <c r="I21" t="s">
        <v>3490</v>
      </c>
      <c r="J21" t="s">
        <v>2932</v>
      </c>
    </row>
    <row r="22" spans="1:10" x14ac:dyDescent="0.25">
      <c r="A22" t="s">
        <v>65</v>
      </c>
      <c r="B22" t="s">
        <v>75</v>
      </c>
      <c r="C22">
        <v>8</v>
      </c>
      <c r="D22" t="s">
        <v>3054</v>
      </c>
      <c r="E22">
        <v>86</v>
      </c>
      <c r="F22">
        <v>27</v>
      </c>
      <c r="G22">
        <v>59</v>
      </c>
      <c r="H22" t="s">
        <v>196</v>
      </c>
      <c r="I22" t="s">
        <v>3490</v>
      </c>
      <c r="J22" t="s">
        <v>2961</v>
      </c>
    </row>
    <row r="23" spans="1:10" x14ac:dyDescent="0.25">
      <c r="A23" t="s">
        <v>65</v>
      </c>
      <c r="B23" t="s">
        <v>75</v>
      </c>
      <c r="C23">
        <v>8</v>
      </c>
      <c r="D23" t="s">
        <v>3056</v>
      </c>
      <c r="E23">
        <v>81</v>
      </c>
      <c r="F23">
        <v>28</v>
      </c>
      <c r="G23">
        <v>53</v>
      </c>
      <c r="H23" t="s">
        <v>196</v>
      </c>
      <c r="I23" t="s">
        <v>3490</v>
      </c>
      <c r="J23" t="s">
        <v>2961</v>
      </c>
    </row>
    <row r="24" spans="1:10" x14ac:dyDescent="0.25">
      <c r="A24" t="s">
        <v>65</v>
      </c>
      <c r="B24" t="s">
        <v>75</v>
      </c>
      <c r="C24">
        <v>8</v>
      </c>
      <c r="D24" t="s">
        <v>3058</v>
      </c>
      <c r="E24">
        <v>75</v>
      </c>
      <c r="F24">
        <v>15</v>
      </c>
      <c r="G24">
        <v>60</v>
      </c>
      <c r="H24" t="s">
        <v>3494</v>
      </c>
      <c r="I24" t="s">
        <v>3490</v>
      </c>
      <c r="J24" t="s">
        <v>2961</v>
      </c>
    </row>
    <row r="25" spans="1:10" x14ac:dyDescent="0.25">
      <c r="A25" t="s">
        <v>65</v>
      </c>
      <c r="B25" t="s">
        <v>75</v>
      </c>
      <c r="C25">
        <v>8</v>
      </c>
      <c r="D25" t="s">
        <v>3060</v>
      </c>
      <c r="E25">
        <v>78</v>
      </c>
      <c r="F25">
        <v>25</v>
      </c>
      <c r="G25">
        <v>53</v>
      </c>
      <c r="H25" t="s">
        <v>3494</v>
      </c>
      <c r="I25" t="s">
        <v>3490</v>
      </c>
      <c r="J25" t="s">
        <v>2961</v>
      </c>
    </row>
    <row r="26" spans="1:10" x14ac:dyDescent="0.25">
      <c r="A26" t="s">
        <v>65</v>
      </c>
      <c r="B26" t="s">
        <v>75</v>
      </c>
      <c r="C26">
        <v>8</v>
      </c>
      <c r="D26" t="s">
        <v>3062</v>
      </c>
      <c r="E26">
        <v>39</v>
      </c>
      <c r="F26">
        <v>10</v>
      </c>
      <c r="G26">
        <v>29</v>
      </c>
      <c r="H26" t="s">
        <v>3491</v>
      </c>
      <c r="I26" t="s">
        <v>3492</v>
      </c>
      <c r="J26" t="s">
        <v>2961</v>
      </c>
    </row>
    <row r="27" spans="1:10" x14ac:dyDescent="0.25">
      <c r="A27" t="s">
        <v>77</v>
      </c>
      <c r="B27" t="s">
        <v>63</v>
      </c>
      <c r="C27">
        <v>8</v>
      </c>
      <c r="D27" t="s">
        <v>3414</v>
      </c>
      <c r="E27">
        <v>50</v>
      </c>
      <c r="F27">
        <v>10</v>
      </c>
      <c r="G27">
        <v>40</v>
      </c>
      <c r="H27" t="s">
        <v>3493</v>
      </c>
      <c r="I27" t="s">
        <v>3490</v>
      </c>
      <c r="J27" t="s">
        <v>2932</v>
      </c>
    </row>
    <row r="28" spans="1:10" x14ac:dyDescent="0.25">
      <c r="A28" t="s">
        <v>77</v>
      </c>
      <c r="B28" t="s">
        <v>63</v>
      </c>
      <c r="C28">
        <v>8</v>
      </c>
      <c r="D28" t="s">
        <v>3416</v>
      </c>
      <c r="E28">
        <v>73</v>
      </c>
      <c r="F28">
        <v>27</v>
      </c>
      <c r="G28">
        <v>46</v>
      </c>
      <c r="H28" t="s">
        <v>3494</v>
      </c>
      <c r="I28" t="s">
        <v>3490</v>
      </c>
      <c r="J28" t="s">
        <v>2932</v>
      </c>
    </row>
    <row r="29" spans="1:10" x14ac:dyDescent="0.25">
      <c r="A29" t="s">
        <v>77</v>
      </c>
      <c r="B29" t="s">
        <v>63</v>
      </c>
      <c r="C29">
        <v>8</v>
      </c>
      <c r="D29" t="s">
        <v>3418</v>
      </c>
      <c r="E29">
        <v>69</v>
      </c>
      <c r="F29">
        <v>28</v>
      </c>
      <c r="G29">
        <v>41</v>
      </c>
      <c r="H29" t="s">
        <v>3489</v>
      </c>
      <c r="I29" t="s">
        <v>3490</v>
      </c>
      <c r="J29" t="s">
        <v>2932</v>
      </c>
    </row>
    <row r="30" spans="1:10" x14ac:dyDescent="0.25">
      <c r="A30" t="s">
        <v>77</v>
      </c>
      <c r="B30" t="s">
        <v>63</v>
      </c>
      <c r="C30">
        <v>8</v>
      </c>
      <c r="D30" t="s">
        <v>3420</v>
      </c>
      <c r="E30">
        <v>60</v>
      </c>
      <c r="F30">
        <v>10</v>
      </c>
      <c r="G30">
        <v>50</v>
      </c>
      <c r="H30" t="s">
        <v>3489</v>
      </c>
      <c r="I30" t="s">
        <v>3490</v>
      </c>
      <c r="J30" t="s">
        <v>2932</v>
      </c>
    </row>
    <row r="31" spans="1:10" x14ac:dyDescent="0.25">
      <c r="A31" t="s">
        <v>77</v>
      </c>
      <c r="B31" t="s">
        <v>63</v>
      </c>
      <c r="C31">
        <v>8</v>
      </c>
      <c r="D31" t="s">
        <v>3422</v>
      </c>
      <c r="E31">
        <v>47</v>
      </c>
      <c r="F31">
        <v>16</v>
      </c>
      <c r="G31">
        <v>31</v>
      </c>
      <c r="H31" t="s">
        <v>3491</v>
      </c>
      <c r="I31" t="s">
        <v>3492</v>
      </c>
      <c r="J31" t="s">
        <v>2932</v>
      </c>
    </row>
    <row r="32" spans="1:10" x14ac:dyDescent="0.25">
      <c r="A32" t="s">
        <v>86</v>
      </c>
      <c r="B32" t="s">
        <v>95</v>
      </c>
      <c r="C32">
        <v>8</v>
      </c>
      <c r="D32" t="s">
        <v>3234</v>
      </c>
      <c r="E32">
        <v>79</v>
      </c>
      <c r="F32">
        <v>13</v>
      </c>
      <c r="G32">
        <v>66</v>
      </c>
      <c r="H32" t="s">
        <v>3494</v>
      </c>
      <c r="I32" t="s">
        <v>3490</v>
      </c>
      <c r="J32" t="s">
        <v>2889</v>
      </c>
    </row>
    <row r="33" spans="1:10" x14ac:dyDescent="0.25">
      <c r="A33" t="s">
        <v>86</v>
      </c>
      <c r="B33" t="s">
        <v>95</v>
      </c>
      <c r="C33">
        <v>8</v>
      </c>
      <c r="D33" t="s">
        <v>3236</v>
      </c>
      <c r="E33">
        <v>85</v>
      </c>
      <c r="F33">
        <v>19</v>
      </c>
      <c r="G33">
        <v>66</v>
      </c>
      <c r="H33" t="s">
        <v>196</v>
      </c>
      <c r="I33" t="s">
        <v>3490</v>
      </c>
      <c r="J33" t="s">
        <v>2889</v>
      </c>
    </row>
    <row r="34" spans="1:10" x14ac:dyDescent="0.25">
      <c r="A34" t="s">
        <v>86</v>
      </c>
      <c r="B34" t="s">
        <v>95</v>
      </c>
      <c r="C34">
        <v>8</v>
      </c>
      <c r="D34" t="s">
        <v>3238</v>
      </c>
      <c r="E34">
        <v>59</v>
      </c>
      <c r="F34">
        <v>23</v>
      </c>
      <c r="G34">
        <v>36</v>
      </c>
      <c r="H34" t="s">
        <v>3493</v>
      </c>
      <c r="I34" t="s">
        <v>3490</v>
      </c>
      <c r="J34" t="s">
        <v>2889</v>
      </c>
    </row>
    <row r="35" spans="1:10" x14ac:dyDescent="0.25">
      <c r="A35" t="s">
        <v>86</v>
      </c>
      <c r="B35" t="s">
        <v>95</v>
      </c>
      <c r="C35">
        <v>8</v>
      </c>
      <c r="D35" t="s">
        <v>3240</v>
      </c>
      <c r="E35">
        <v>75</v>
      </c>
      <c r="F35">
        <v>18</v>
      </c>
      <c r="G35">
        <v>57</v>
      </c>
      <c r="H35" t="s">
        <v>3494</v>
      </c>
      <c r="I35" t="s">
        <v>3490</v>
      </c>
      <c r="J35" t="s">
        <v>2889</v>
      </c>
    </row>
    <row r="36" spans="1:10" x14ac:dyDescent="0.25">
      <c r="A36" t="s">
        <v>86</v>
      </c>
      <c r="B36" t="s">
        <v>95</v>
      </c>
      <c r="C36">
        <v>8</v>
      </c>
      <c r="D36" t="s">
        <v>3242</v>
      </c>
      <c r="E36">
        <v>76</v>
      </c>
      <c r="F36">
        <v>16</v>
      </c>
      <c r="G36">
        <v>60</v>
      </c>
      <c r="H36" t="s">
        <v>3494</v>
      </c>
      <c r="I36" t="s">
        <v>3490</v>
      </c>
      <c r="J36" t="s">
        <v>2889</v>
      </c>
    </row>
    <row r="37" spans="1:10" x14ac:dyDescent="0.25">
      <c r="A37" t="s">
        <v>97</v>
      </c>
      <c r="B37" t="s">
        <v>105</v>
      </c>
      <c r="C37">
        <v>8</v>
      </c>
      <c r="D37" t="s">
        <v>3174</v>
      </c>
      <c r="E37">
        <v>84</v>
      </c>
      <c r="F37">
        <v>22</v>
      </c>
      <c r="G37">
        <v>62</v>
      </c>
      <c r="H37" t="s">
        <v>196</v>
      </c>
      <c r="I37" t="s">
        <v>3490</v>
      </c>
      <c r="J37" t="s">
        <v>2908</v>
      </c>
    </row>
    <row r="38" spans="1:10" x14ac:dyDescent="0.25">
      <c r="A38" t="s">
        <v>97</v>
      </c>
      <c r="B38" t="s">
        <v>105</v>
      </c>
      <c r="C38">
        <v>8</v>
      </c>
      <c r="D38" t="s">
        <v>3176</v>
      </c>
      <c r="E38">
        <v>85</v>
      </c>
      <c r="F38">
        <v>29</v>
      </c>
      <c r="G38">
        <v>56</v>
      </c>
      <c r="H38" t="s">
        <v>196</v>
      </c>
      <c r="I38" t="s">
        <v>3490</v>
      </c>
      <c r="J38" t="s">
        <v>2908</v>
      </c>
    </row>
    <row r="39" spans="1:10" x14ac:dyDescent="0.25">
      <c r="A39" t="s">
        <v>97</v>
      </c>
      <c r="B39" t="s">
        <v>105</v>
      </c>
      <c r="C39">
        <v>8</v>
      </c>
      <c r="D39" t="s">
        <v>3178</v>
      </c>
      <c r="E39">
        <v>70</v>
      </c>
      <c r="F39">
        <v>28</v>
      </c>
      <c r="G39">
        <v>42</v>
      </c>
      <c r="H39" t="s">
        <v>3494</v>
      </c>
      <c r="I39" t="s">
        <v>3490</v>
      </c>
      <c r="J39" t="s">
        <v>2908</v>
      </c>
    </row>
    <row r="40" spans="1:10" x14ac:dyDescent="0.25">
      <c r="A40" t="s">
        <v>97</v>
      </c>
      <c r="B40" t="s">
        <v>105</v>
      </c>
      <c r="C40">
        <v>8</v>
      </c>
      <c r="D40" t="s">
        <v>3180</v>
      </c>
      <c r="E40">
        <v>57</v>
      </c>
      <c r="F40">
        <v>13</v>
      </c>
      <c r="G40">
        <v>44</v>
      </c>
      <c r="H40" t="s">
        <v>3493</v>
      </c>
      <c r="I40" t="s">
        <v>3490</v>
      </c>
      <c r="J40" t="s">
        <v>2908</v>
      </c>
    </row>
    <row r="41" spans="1:10" x14ac:dyDescent="0.25">
      <c r="A41" t="s">
        <v>97</v>
      </c>
      <c r="B41" t="s">
        <v>105</v>
      </c>
      <c r="C41">
        <v>8</v>
      </c>
      <c r="D41" t="s">
        <v>3182</v>
      </c>
      <c r="E41">
        <v>84</v>
      </c>
      <c r="F41">
        <v>25</v>
      </c>
      <c r="G41">
        <v>59</v>
      </c>
      <c r="H41" t="s">
        <v>196</v>
      </c>
      <c r="I41" t="s">
        <v>3490</v>
      </c>
      <c r="J41" t="s">
        <v>2908</v>
      </c>
    </row>
    <row r="42" spans="1:10" x14ac:dyDescent="0.25">
      <c r="A42" t="s">
        <v>107</v>
      </c>
      <c r="B42" t="s">
        <v>63</v>
      </c>
      <c r="C42">
        <v>4</v>
      </c>
      <c r="D42" t="s">
        <v>3394</v>
      </c>
      <c r="E42">
        <v>51</v>
      </c>
      <c r="F42">
        <v>16</v>
      </c>
      <c r="G42">
        <v>35</v>
      </c>
      <c r="H42" t="s">
        <v>3493</v>
      </c>
      <c r="I42" t="s">
        <v>3490</v>
      </c>
      <c r="J42" t="s">
        <v>2932</v>
      </c>
    </row>
    <row r="43" spans="1:10" x14ac:dyDescent="0.25">
      <c r="A43" t="s">
        <v>107</v>
      </c>
      <c r="B43" t="s">
        <v>63</v>
      </c>
      <c r="C43">
        <v>4</v>
      </c>
      <c r="D43" t="s">
        <v>3396</v>
      </c>
      <c r="E43">
        <v>42</v>
      </c>
      <c r="F43">
        <v>20</v>
      </c>
      <c r="G43">
        <v>22</v>
      </c>
      <c r="H43" t="s">
        <v>3491</v>
      </c>
      <c r="I43" t="s">
        <v>3492</v>
      </c>
      <c r="J43" t="s">
        <v>2932</v>
      </c>
    </row>
    <row r="44" spans="1:10" x14ac:dyDescent="0.25">
      <c r="A44" t="s">
        <v>107</v>
      </c>
      <c r="B44" t="s">
        <v>63</v>
      </c>
      <c r="C44">
        <v>4</v>
      </c>
      <c r="D44" t="s">
        <v>3398</v>
      </c>
      <c r="E44">
        <v>62</v>
      </c>
      <c r="F44">
        <v>20</v>
      </c>
      <c r="G44">
        <v>42</v>
      </c>
      <c r="H44" t="s">
        <v>3489</v>
      </c>
      <c r="I44" t="s">
        <v>3490</v>
      </c>
      <c r="J44" t="s">
        <v>2932</v>
      </c>
    </row>
    <row r="45" spans="1:10" x14ac:dyDescent="0.25">
      <c r="A45" t="s">
        <v>107</v>
      </c>
      <c r="B45" t="s">
        <v>63</v>
      </c>
      <c r="C45">
        <v>4</v>
      </c>
      <c r="D45" t="s">
        <v>3400</v>
      </c>
      <c r="E45">
        <v>93</v>
      </c>
      <c r="F45">
        <v>25</v>
      </c>
      <c r="G45">
        <v>68</v>
      </c>
      <c r="H45" t="s">
        <v>3495</v>
      </c>
      <c r="I45" t="s">
        <v>3490</v>
      </c>
      <c r="J45" t="s">
        <v>2932</v>
      </c>
    </row>
    <row r="46" spans="1:10" x14ac:dyDescent="0.25">
      <c r="A46" t="s">
        <v>107</v>
      </c>
      <c r="B46" t="s">
        <v>63</v>
      </c>
      <c r="C46">
        <v>4</v>
      </c>
      <c r="D46" t="s">
        <v>3402</v>
      </c>
      <c r="E46">
        <v>71</v>
      </c>
      <c r="F46">
        <v>17</v>
      </c>
      <c r="G46">
        <v>54</v>
      </c>
      <c r="H46" t="s">
        <v>3494</v>
      </c>
      <c r="I46" t="s">
        <v>3490</v>
      </c>
      <c r="J46" t="s">
        <v>2932</v>
      </c>
    </row>
    <row r="47" spans="1:10" x14ac:dyDescent="0.25">
      <c r="A47" t="s">
        <v>115</v>
      </c>
      <c r="B47" t="s">
        <v>122</v>
      </c>
      <c r="C47">
        <v>6</v>
      </c>
      <c r="D47" t="s">
        <v>3294</v>
      </c>
      <c r="E47">
        <v>71</v>
      </c>
      <c r="F47">
        <v>20</v>
      </c>
      <c r="G47">
        <v>51</v>
      </c>
      <c r="H47" t="s">
        <v>3494</v>
      </c>
      <c r="I47" t="s">
        <v>3490</v>
      </c>
      <c r="J47" t="s">
        <v>2919</v>
      </c>
    </row>
    <row r="48" spans="1:10" x14ac:dyDescent="0.25">
      <c r="A48" t="s">
        <v>115</v>
      </c>
      <c r="B48" t="s">
        <v>122</v>
      </c>
      <c r="C48">
        <v>6</v>
      </c>
      <c r="D48" t="s">
        <v>3296</v>
      </c>
      <c r="E48">
        <v>64</v>
      </c>
      <c r="F48">
        <v>17</v>
      </c>
      <c r="G48">
        <v>47</v>
      </c>
      <c r="H48" t="s">
        <v>3489</v>
      </c>
      <c r="I48" t="s">
        <v>3490</v>
      </c>
      <c r="J48" t="s">
        <v>2919</v>
      </c>
    </row>
    <row r="49" spans="1:10" x14ac:dyDescent="0.25">
      <c r="A49" t="s">
        <v>115</v>
      </c>
      <c r="B49" t="s">
        <v>122</v>
      </c>
      <c r="C49">
        <v>6</v>
      </c>
      <c r="D49" t="s">
        <v>3298</v>
      </c>
      <c r="E49">
        <v>48</v>
      </c>
      <c r="F49">
        <v>27</v>
      </c>
      <c r="G49">
        <v>21</v>
      </c>
      <c r="H49" t="s">
        <v>3491</v>
      </c>
      <c r="I49" t="s">
        <v>3492</v>
      </c>
      <c r="J49" t="s">
        <v>2919</v>
      </c>
    </row>
    <row r="50" spans="1:10" x14ac:dyDescent="0.25">
      <c r="A50" t="s">
        <v>115</v>
      </c>
      <c r="B50" t="s">
        <v>122</v>
      </c>
      <c r="C50">
        <v>6</v>
      </c>
      <c r="D50" t="s">
        <v>3300</v>
      </c>
      <c r="E50">
        <v>38</v>
      </c>
      <c r="F50">
        <v>12</v>
      </c>
      <c r="G50">
        <v>26</v>
      </c>
      <c r="H50" t="s">
        <v>3491</v>
      </c>
      <c r="I50" t="s">
        <v>3492</v>
      </c>
      <c r="J50" t="s">
        <v>2919</v>
      </c>
    </row>
    <row r="51" spans="1:10" x14ac:dyDescent="0.25">
      <c r="A51" t="s">
        <v>115</v>
      </c>
      <c r="B51" t="s">
        <v>122</v>
      </c>
      <c r="C51">
        <v>6</v>
      </c>
      <c r="D51" t="s">
        <v>3302</v>
      </c>
      <c r="E51">
        <v>56</v>
      </c>
      <c r="F51">
        <v>28</v>
      </c>
      <c r="G51">
        <v>28</v>
      </c>
      <c r="H51" t="s">
        <v>3493</v>
      </c>
      <c r="I51" t="s">
        <v>3490</v>
      </c>
      <c r="J51" t="s">
        <v>2919</v>
      </c>
    </row>
    <row r="52" spans="1:10" x14ac:dyDescent="0.25">
      <c r="A52" t="s">
        <v>124</v>
      </c>
      <c r="B52" t="s">
        <v>95</v>
      </c>
      <c r="C52">
        <v>8</v>
      </c>
      <c r="D52" t="s">
        <v>3234</v>
      </c>
      <c r="E52">
        <v>63</v>
      </c>
      <c r="F52">
        <v>17</v>
      </c>
      <c r="G52">
        <v>46</v>
      </c>
      <c r="H52" t="s">
        <v>3489</v>
      </c>
      <c r="I52" t="s">
        <v>3490</v>
      </c>
      <c r="J52" t="s">
        <v>2889</v>
      </c>
    </row>
    <row r="53" spans="1:10" x14ac:dyDescent="0.25">
      <c r="A53" t="s">
        <v>124</v>
      </c>
      <c r="B53" t="s">
        <v>95</v>
      </c>
      <c r="C53">
        <v>8</v>
      </c>
      <c r="D53" t="s">
        <v>3236</v>
      </c>
      <c r="E53">
        <v>44</v>
      </c>
      <c r="F53">
        <v>11</v>
      </c>
      <c r="G53">
        <v>33</v>
      </c>
      <c r="H53" t="s">
        <v>3491</v>
      </c>
      <c r="I53" t="s">
        <v>3492</v>
      </c>
      <c r="J53" t="s">
        <v>2889</v>
      </c>
    </row>
    <row r="54" spans="1:10" x14ac:dyDescent="0.25">
      <c r="A54" t="s">
        <v>124</v>
      </c>
      <c r="B54" t="s">
        <v>95</v>
      </c>
      <c r="C54">
        <v>8</v>
      </c>
      <c r="D54" t="s">
        <v>3238</v>
      </c>
      <c r="E54">
        <v>70</v>
      </c>
      <c r="F54">
        <v>24</v>
      </c>
      <c r="G54">
        <v>46</v>
      </c>
      <c r="H54" t="s">
        <v>3494</v>
      </c>
      <c r="I54" t="s">
        <v>3490</v>
      </c>
      <c r="J54" t="s">
        <v>2889</v>
      </c>
    </row>
    <row r="55" spans="1:10" x14ac:dyDescent="0.25">
      <c r="A55" t="s">
        <v>124</v>
      </c>
      <c r="B55" t="s">
        <v>95</v>
      </c>
      <c r="C55">
        <v>8</v>
      </c>
      <c r="D55" t="s">
        <v>3240</v>
      </c>
      <c r="E55">
        <v>94</v>
      </c>
      <c r="F55">
        <v>27</v>
      </c>
      <c r="G55">
        <v>67</v>
      </c>
      <c r="H55" t="s">
        <v>3495</v>
      </c>
      <c r="I55" t="s">
        <v>3490</v>
      </c>
      <c r="J55" t="s">
        <v>2889</v>
      </c>
    </row>
    <row r="56" spans="1:10" x14ac:dyDescent="0.25">
      <c r="A56" t="s">
        <v>124</v>
      </c>
      <c r="B56" t="s">
        <v>95</v>
      </c>
      <c r="C56">
        <v>8</v>
      </c>
      <c r="D56" t="s">
        <v>3242</v>
      </c>
      <c r="E56">
        <v>38</v>
      </c>
      <c r="F56">
        <v>12</v>
      </c>
      <c r="G56">
        <v>26</v>
      </c>
      <c r="H56" t="s">
        <v>3491</v>
      </c>
      <c r="I56" t="s">
        <v>3492</v>
      </c>
      <c r="J56" t="s">
        <v>2889</v>
      </c>
    </row>
    <row r="57" spans="1:10" x14ac:dyDescent="0.25">
      <c r="A57" t="s">
        <v>132</v>
      </c>
      <c r="B57" t="s">
        <v>30</v>
      </c>
      <c r="C57">
        <v>8</v>
      </c>
      <c r="D57" t="s">
        <v>3354</v>
      </c>
      <c r="E57">
        <v>75</v>
      </c>
      <c r="F57">
        <v>27</v>
      </c>
      <c r="G57">
        <v>48</v>
      </c>
      <c r="H57" t="s">
        <v>3494</v>
      </c>
      <c r="I57" t="s">
        <v>3490</v>
      </c>
      <c r="J57" t="s">
        <v>2895</v>
      </c>
    </row>
    <row r="58" spans="1:10" x14ac:dyDescent="0.25">
      <c r="A58" t="s">
        <v>132</v>
      </c>
      <c r="B58" t="s">
        <v>30</v>
      </c>
      <c r="C58">
        <v>8</v>
      </c>
      <c r="D58" t="s">
        <v>3356</v>
      </c>
      <c r="E58">
        <v>48</v>
      </c>
      <c r="F58">
        <v>14</v>
      </c>
      <c r="G58">
        <v>34</v>
      </c>
      <c r="H58" t="s">
        <v>3491</v>
      </c>
      <c r="I58" t="s">
        <v>3492</v>
      </c>
      <c r="J58" t="s">
        <v>2895</v>
      </c>
    </row>
    <row r="59" spans="1:10" x14ac:dyDescent="0.25">
      <c r="A59" t="s">
        <v>132</v>
      </c>
      <c r="B59" t="s">
        <v>30</v>
      </c>
      <c r="C59">
        <v>8</v>
      </c>
      <c r="D59" t="s">
        <v>3358</v>
      </c>
      <c r="E59">
        <v>49</v>
      </c>
      <c r="F59">
        <v>16</v>
      </c>
      <c r="G59">
        <v>33</v>
      </c>
      <c r="H59" t="s">
        <v>3491</v>
      </c>
      <c r="I59" t="s">
        <v>3492</v>
      </c>
      <c r="J59" t="s">
        <v>2895</v>
      </c>
    </row>
    <row r="60" spans="1:10" x14ac:dyDescent="0.25">
      <c r="A60" t="s">
        <v>132</v>
      </c>
      <c r="B60" t="s">
        <v>30</v>
      </c>
      <c r="C60">
        <v>8</v>
      </c>
      <c r="D60" t="s">
        <v>3360</v>
      </c>
      <c r="E60">
        <v>47</v>
      </c>
      <c r="F60">
        <v>21</v>
      </c>
      <c r="G60">
        <v>26</v>
      </c>
      <c r="H60" t="s">
        <v>3491</v>
      </c>
      <c r="I60" t="s">
        <v>3492</v>
      </c>
      <c r="J60" t="s">
        <v>2895</v>
      </c>
    </row>
    <row r="61" spans="1:10" x14ac:dyDescent="0.25">
      <c r="A61" t="s">
        <v>132</v>
      </c>
      <c r="B61" t="s">
        <v>30</v>
      </c>
      <c r="C61">
        <v>8</v>
      </c>
      <c r="D61" t="s">
        <v>3362</v>
      </c>
      <c r="E61">
        <v>47</v>
      </c>
      <c r="F61">
        <v>11</v>
      </c>
      <c r="G61">
        <v>36</v>
      </c>
      <c r="H61" t="s">
        <v>3491</v>
      </c>
      <c r="I61" t="s">
        <v>3492</v>
      </c>
      <c r="J61" t="s">
        <v>2895</v>
      </c>
    </row>
    <row r="62" spans="1:10" x14ac:dyDescent="0.25">
      <c r="A62" t="s">
        <v>143</v>
      </c>
      <c r="B62" t="s">
        <v>105</v>
      </c>
      <c r="C62">
        <v>4</v>
      </c>
      <c r="D62" t="s">
        <v>3154</v>
      </c>
      <c r="E62">
        <v>67</v>
      </c>
      <c r="F62">
        <v>10</v>
      </c>
      <c r="G62">
        <v>57</v>
      </c>
      <c r="H62" t="s">
        <v>3489</v>
      </c>
      <c r="I62" t="s">
        <v>3490</v>
      </c>
      <c r="J62" t="s">
        <v>2908</v>
      </c>
    </row>
    <row r="63" spans="1:10" x14ac:dyDescent="0.25">
      <c r="A63" t="s">
        <v>143</v>
      </c>
      <c r="B63" t="s">
        <v>105</v>
      </c>
      <c r="C63">
        <v>4</v>
      </c>
      <c r="D63" t="s">
        <v>3156</v>
      </c>
      <c r="E63">
        <v>50</v>
      </c>
      <c r="F63">
        <v>23</v>
      </c>
      <c r="G63">
        <v>27</v>
      </c>
      <c r="H63" t="s">
        <v>3493</v>
      </c>
      <c r="I63" t="s">
        <v>3490</v>
      </c>
      <c r="J63" t="s">
        <v>2908</v>
      </c>
    </row>
    <row r="64" spans="1:10" x14ac:dyDescent="0.25">
      <c r="A64" t="s">
        <v>143</v>
      </c>
      <c r="B64" t="s">
        <v>105</v>
      </c>
      <c r="C64">
        <v>4</v>
      </c>
      <c r="D64" t="s">
        <v>3158</v>
      </c>
      <c r="E64">
        <v>79</v>
      </c>
      <c r="F64">
        <v>18</v>
      </c>
      <c r="G64">
        <v>61</v>
      </c>
      <c r="H64" t="s">
        <v>3494</v>
      </c>
      <c r="I64" t="s">
        <v>3490</v>
      </c>
      <c r="J64" t="s">
        <v>2908</v>
      </c>
    </row>
    <row r="65" spans="1:10" x14ac:dyDescent="0.25">
      <c r="A65" t="s">
        <v>143</v>
      </c>
      <c r="B65" t="s">
        <v>105</v>
      </c>
      <c r="C65">
        <v>4</v>
      </c>
      <c r="D65" t="s">
        <v>3160</v>
      </c>
      <c r="E65">
        <v>76</v>
      </c>
      <c r="F65">
        <v>28</v>
      </c>
      <c r="G65">
        <v>48</v>
      </c>
      <c r="H65" t="s">
        <v>3494</v>
      </c>
      <c r="I65" t="s">
        <v>3490</v>
      </c>
      <c r="J65" t="s">
        <v>2908</v>
      </c>
    </row>
    <row r="66" spans="1:10" x14ac:dyDescent="0.25">
      <c r="A66" t="s">
        <v>143</v>
      </c>
      <c r="B66" t="s">
        <v>105</v>
      </c>
      <c r="C66">
        <v>4</v>
      </c>
      <c r="D66" t="s">
        <v>3162</v>
      </c>
      <c r="E66">
        <v>41</v>
      </c>
      <c r="F66">
        <v>16</v>
      </c>
      <c r="G66">
        <v>25</v>
      </c>
      <c r="H66" t="s">
        <v>3491</v>
      </c>
      <c r="I66" t="s">
        <v>3492</v>
      </c>
      <c r="J66" t="s">
        <v>2908</v>
      </c>
    </row>
    <row r="67" spans="1:10" x14ac:dyDescent="0.25">
      <c r="A67" t="s">
        <v>151</v>
      </c>
      <c r="B67" t="s">
        <v>159</v>
      </c>
      <c r="C67">
        <v>4</v>
      </c>
      <c r="D67" t="s">
        <v>3094</v>
      </c>
      <c r="E67">
        <v>55</v>
      </c>
      <c r="F67">
        <v>20</v>
      </c>
      <c r="G67">
        <v>35</v>
      </c>
      <c r="H67" t="s">
        <v>3493</v>
      </c>
      <c r="I67" t="s">
        <v>3490</v>
      </c>
      <c r="J67" t="s">
        <v>2902</v>
      </c>
    </row>
    <row r="68" spans="1:10" x14ac:dyDescent="0.25">
      <c r="A68" t="s">
        <v>151</v>
      </c>
      <c r="B68" t="s">
        <v>159</v>
      </c>
      <c r="C68">
        <v>4</v>
      </c>
      <c r="D68" t="s">
        <v>3096</v>
      </c>
      <c r="E68">
        <v>56</v>
      </c>
      <c r="F68">
        <v>29</v>
      </c>
      <c r="G68">
        <v>27</v>
      </c>
      <c r="H68" t="s">
        <v>3493</v>
      </c>
      <c r="I68" t="s">
        <v>3490</v>
      </c>
      <c r="J68" t="s">
        <v>2902</v>
      </c>
    </row>
    <row r="69" spans="1:10" x14ac:dyDescent="0.25">
      <c r="A69" t="s">
        <v>151</v>
      </c>
      <c r="B69" t="s">
        <v>159</v>
      </c>
      <c r="C69">
        <v>4</v>
      </c>
      <c r="D69" t="s">
        <v>3098</v>
      </c>
      <c r="E69">
        <v>48</v>
      </c>
      <c r="F69">
        <v>12</v>
      </c>
      <c r="G69">
        <v>36</v>
      </c>
      <c r="H69" t="s">
        <v>3491</v>
      </c>
      <c r="I69" t="s">
        <v>3492</v>
      </c>
      <c r="J69" t="s">
        <v>2902</v>
      </c>
    </row>
    <row r="70" spans="1:10" x14ac:dyDescent="0.25">
      <c r="A70" t="s">
        <v>151</v>
      </c>
      <c r="B70" t="s">
        <v>159</v>
      </c>
      <c r="C70">
        <v>4</v>
      </c>
      <c r="D70" t="s">
        <v>3100</v>
      </c>
      <c r="E70">
        <v>83</v>
      </c>
      <c r="F70">
        <v>29</v>
      </c>
      <c r="G70">
        <v>54</v>
      </c>
      <c r="H70" t="s">
        <v>196</v>
      </c>
      <c r="I70" t="s">
        <v>3490</v>
      </c>
      <c r="J70" t="s">
        <v>2902</v>
      </c>
    </row>
    <row r="71" spans="1:10" x14ac:dyDescent="0.25">
      <c r="A71" t="s">
        <v>151</v>
      </c>
      <c r="B71" t="s">
        <v>159</v>
      </c>
      <c r="C71">
        <v>4</v>
      </c>
      <c r="D71" t="s">
        <v>3102</v>
      </c>
      <c r="E71">
        <v>98</v>
      </c>
      <c r="F71">
        <v>30</v>
      </c>
      <c r="G71">
        <v>68</v>
      </c>
      <c r="H71" t="s">
        <v>3495</v>
      </c>
      <c r="I71" t="s">
        <v>3490</v>
      </c>
      <c r="J71" t="s">
        <v>2902</v>
      </c>
    </row>
    <row r="72" spans="1:10" x14ac:dyDescent="0.25">
      <c r="A72" t="s">
        <v>161</v>
      </c>
      <c r="B72" t="s">
        <v>75</v>
      </c>
      <c r="C72">
        <v>8</v>
      </c>
      <c r="D72" t="s">
        <v>3054</v>
      </c>
      <c r="E72">
        <v>39</v>
      </c>
      <c r="F72">
        <v>17</v>
      </c>
      <c r="G72">
        <v>22</v>
      </c>
      <c r="H72" t="s">
        <v>3491</v>
      </c>
      <c r="I72" t="s">
        <v>3492</v>
      </c>
      <c r="J72" t="s">
        <v>2961</v>
      </c>
    </row>
    <row r="73" spans="1:10" x14ac:dyDescent="0.25">
      <c r="A73" t="s">
        <v>161</v>
      </c>
      <c r="B73" t="s">
        <v>75</v>
      </c>
      <c r="C73">
        <v>8</v>
      </c>
      <c r="D73" t="s">
        <v>3056</v>
      </c>
      <c r="E73">
        <v>89</v>
      </c>
      <c r="F73">
        <v>25</v>
      </c>
      <c r="G73">
        <v>64</v>
      </c>
      <c r="H73" t="s">
        <v>196</v>
      </c>
      <c r="I73" t="s">
        <v>3490</v>
      </c>
      <c r="J73" t="s">
        <v>2961</v>
      </c>
    </row>
    <row r="74" spans="1:10" x14ac:dyDescent="0.25">
      <c r="A74" t="s">
        <v>161</v>
      </c>
      <c r="B74" t="s">
        <v>75</v>
      </c>
      <c r="C74">
        <v>8</v>
      </c>
      <c r="D74" t="s">
        <v>3058</v>
      </c>
      <c r="E74">
        <v>72</v>
      </c>
      <c r="F74">
        <v>18</v>
      </c>
      <c r="G74">
        <v>54</v>
      </c>
      <c r="H74" t="s">
        <v>3494</v>
      </c>
      <c r="I74" t="s">
        <v>3490</v>
      </c>
      <c r="J74" t="s">
        <v>2961</v>
      </c>
    </row>
    <row r="75" spans="1:10" x14ac:dyDescent="0.25">
      <c r="A75" t="s">
        <v>161</v>
      </c>
      <c r="B75" t="s">
        <v>75</v>
      </c>
      <c r="C75">
        <v>8</v>
      </c>
      <c r="D75" t="s">
        <v>3060</v>
      </c>
      <c r="E75">
        <v>77</v>
      </c>
      <c r="F75">
        <v>15</v>
      </c>
      <c r="G75">
        <v>62</v>
      </c>
      <c r="H75" t="s">
        <v>3494</v>
      </c>
      <c r="I75" t="s">
        <v>3490</v>
      </c>
      <c r="J75" t="s">
        <v>2961</v>
      </c>
    </row>
    <row r="76" spans="1:10" x14ac:dyDescent="0.25">
      <c r="A76" t="s">
        <v>161</v>
      </c>
      <c r="B76" t="s">
        <v>75</v>
      </c>
      <c r="C76">
        <v>8</v>
      </c>
      <c r="D76" t="s">
        <v>3062</v>
      </c>
      <c r="E76">
        <v>61</v>
      </c>
      <c r="F76">
        <v>10</v>
      </c>
      <c r="G76">
        <v>51</v>
      </c>
      <c r="H76" t="s">
        <v>3489</v>
      </c>
      <c r="I76" t="s">
        <v>3490</v>
      </c>
      <c r="J76" t="s">
        <v>2961</v>
      </c>
    </row>
    <row r="77" spans="1:10" x14ac:dyDescent="0.25">
      <c r="A77" t="s">
        <v>169</v>
      </c>
      <c r="B77" t="s">
        <v>30</v>
      </c>
      <c r="C77">
        <v>4</v>
      </c>
      <c r="D77" t="s">
        <v>3334</v>
      </c>
      <c r="E77">
        <v>86</v>
      </c>
      <c r="F77">
        <v>16</v>
      </c>
      <c r="G77">
        <v>70</v>
      </c>
      <c r="H77" t="s">
        <v>196</v>
      </c>
      <c r="I77" t="s">
        <v>3490</v>
      </c>
      <c r="J77" t="s">
        <v>2895</v>
      </c>
    </row>
    <row r="78" spans="1:10" x14ac:dyDescent="0.25">
      <c r="A78" t="s">
        <v>169</v>
      </c>
      <c r="B78" t="s">
        <v>30</v>
      </c>
      <c r="C78">
        <v>4</v>
      </c>
      <c r="D78" t="s">
        <v>3336</v>
      </c>
      <c r="E78">
        <v>64</v>
      </c>
      <c r="F78">
        <v>23</v>
      </c>
      <c r="G78">
        <v>41</v>
      </c>
      <c r="H78" t="s">
        <v>3489</v>
      </c>
      <c r="I78" t="s">
        <v>3490</v>
      </c>
      <c r="J78" t="s">
        <v>2895</v>
      </c>
    </row>
    <row r="79" spans="1:10" x14ac:dyDescent="0.25">
      <c r="A79" t="s">
        <v>169</v>
      </c>
      <c r="B79" t="s">
        <v>30</v>
      </c>
      <c r="C79">
        <v>4</v>
      </c>
      <c r="D79" t="s">
        <v>3338</v>
      </c>
      <c r="E79">
        <v>38</v>
      </c>
      <c r="F79">
        <v>13</v>
      </c>
      <c r="G79">
        <v>25</v>
      </c>
      <c r="H79" t="s">
        <v>3491</v>
      </c>
      <c r="I79" t="s">
        <v>3492</v>
      </c>
      <c r="J79" t="s">
        <v>2895</v>
      </c>
    </row>
    <row r="80" spans="1:10" x14ac:dyDescent="0.25">
      <c r="A80" t="s">
        <v>169</v>
      </c>
      <c r="B80" t="s">
        <v>30</v>
      </c>
      <c r="C80">
        <v>4</v>
      </c>
      <c r="D80" t="s">
        <v>3340</v>
      </c>
      <c r="E80">
        <v>83</v>
      </c>
      <c r="F80">
        <v>26</v>
      </c>
      <c r="G80">
        <v>57</v>
      </c>
      <c r="H80" t="s">
        <v>196</v>
      </c>
      <c r="I80" t="s">
        <v>3490</v>
      </c>
      <c r="J80" t="s">
        <v>2895</v>
      </c>
    </row>
    <row r="81" spans="1:10" x14ac:dyDescent="0.25">
      <c r="A81" t="s">
        <v>169</v>
      </c>
      <c r="B81" t="s">
        <v>30</v>
      </c>
      <c r="C81">
        <v>4</v>
      </c>
      <c r="D81" t="s">
        <v>3342</v>
      </c>
      <c r="E81">
        <v>73</v>
      </c>
      <c r="F81">
        <v>17</v>
      </c>
      <c r="G81">
        <v>56</v>
      </c>
      <c r="H81" t="s">
        <v>3494</v>
      </c>
      <c r="I81" t="s">
        <v>3490</v>
      </c>
      <c r="J81" t="s">
        <v>2895</v>
      </c>
    </row>
    <row r="82" spans="1:10" x14ac:dyDescent="0.25">
      <c r="A82" t="s">
        <v>179</v>
      </c>
      <c r="B82" t="s">
        <v>159</v>
      </c>
      <c r="C82">
        <v>4</v>
      </c>
      <c r="D82" t="s">
        <v>3094</v>
      </c>
      <c r="E82">
        <v>38</v>
      </c>
      <c r="F82">
        <v>18</v>
      </c>
      <c r="G82">
        <v>20</v>
      </c>
      <c r="H82" t="s">
        <v>3491</v>
      </c>
      <c r="I82" t="s">
        <v>3492</v>
      </c>
      <c r="J82" t="s">
        <v>2902</v>
      </c>
    </row>
    <row r="83" spans="1:10" x14ac:dyDescent="0.25">
      <c r="A83" t="s">
        <v>179</v>
      </c>
      <c r="B83" t="s">
        <v>159</v>
      </c>
      <c r="C83">
        <v>4</v>
      </c>
      <c r="D83" t="s">
        <v>3096</v>
      </c>
      <c r="E83">
        <v>87</v>
      </c>
      <c r="F83">
        <v>23</v>
      </c>
      <c r="G83">
        <v>64</v>
      </c>
      <c r="H83" t="s">
        <v>196</v>
      </c>
      <c r="I83" t="s">
        <v>3490</v>
      </c>
      <c r="J83" t="s">
        <v>2902</v>
      </c>
    </row>
    <row r="84" spans="1:10" x14ac:dyDescent="0.25">
      <c r="A84" t="s">
        <v>179</v>
      </c>
      <c r="B84" t="s">
        <v>159</v>
      </c>
      <c r="C84">
        <v>4</v>
      </c>
      <c r="D84" t="s">
        <v>3098</v>
      </c>
      <c r="E84">
        <v>63</v>
      </c>
      <c r="F84">
        <v>21</v>
      </c>
      <c r="G84">
        <v>42</v>
      </c>
      <c r="H84" t="s">
        <v>3489</v>
      </c>
      <c r="I84" t="s">
        <v>3490</v>
      </c>
      <c r="J84" t="s">
        <v>2902</v>
      </c>
    </row>
    <row r="85" spans="1:10" x14ac:dyDescent="0.25">
      <c r="A85" t="s">
        <v>179</v>
      </c>
      <c r="B85" t="s">
        <v>159</v>
      </c>
      <c r="C85">
        <v>4</v>
      </c>
      <c r="D85" t="s">
        <v>3100</v>
      </c>
      <c r="E85">
        <v>79</v>
      </c>
      <c r="F85">
        <v>24</v>
      </c>
      <c r="G85">
        <v>55</v>
      </c>
      <c r="H85" t="s">
        <v>3494</v>
      </c>
      <c r="I85" t="s">
        <v>3490</v>
      </c>
      <c r="J85" t="s">
        <v>2902</v>
      </c>
    </row>
    <row r="86" spans="1:10" x14ac:dyDescent="0.25">
      <c r="A86" t="s">
        <v>179</v>
      </c>
      <c r="B86" t="s">
        <v>159</v>
      </c>
      <c r="C86">
        <v>4</v>
      </c>
      <c r="D86" t="s">
        <v>3102</v>
      </c>
      <c r="E86">
        <v>36</v>
      </c>
      <c r="F86">
        <v>15</v>
      </c>
      <c r="G86">
        <v>21</v>
      </c>
      <c r="H86" t="s">
        <v>3491</v>
      </c>
      <c r="I86" t="s">
        <v>3492</v>
      </c>
      <c r="J86" t="s">
        <v>2902</v>
      </c>
    </row>
    <row r="87" spans="1:10" x14ac:dyDescent="0.25">
      <c r="A87" t="s">
        <v>186</v>
      </c>
      <c r="B87" t="s">
        <v>159</v>
      </c>
      <c r="C87">
        <v>8</v>
      </c>
      <c r="D87" t="s">
        <v>3114</v>
      </c>
      <c r="E87">
        <v>73</v>
      </c>
      <c r="F87">
        <v>13</v>
      </c>
      <c r="G87">
        <v>60</v>
      </c>
      <c r="H87" t="s">
        <v>3494</v>
      </c>
      <c r="I87" t="s">
        <v>3490</v>
      </c>
      <c r="J87" t="s">
        <v>2902</v>
      </c>
    </row>
    <row r="88" spans="1:10" x14ac:dyDescent="0.25">
      <c r="A88" t="s">
        <v>186</v>
      </c>
      <c r="B88" t="s">
        <v>159</v>
      </c>
      <c r="C88">
        <v>8</v>
      </c>
      <c r="D88" t="s">
        <v>3116</v>
      </c>
      <c r="E88">
        <v>49</v>
      </c>
      <c r="F88">
        <v>28</v>
      </c>
      <c r="G88">
        <v>21</v>
      </c>
      <c r="H88" t="s">
        <v>3491</v>
      </c>
      <c r="I88" t="s">
        <v>3492</v>
      </c>
      <c r="J88" t="s">
        <v>2902</v>
      </c>
    </row>
    <row r="89" spans="1:10" x14ac:dyDescent="0.25">
      <c r="A89" t="s">
        <v>186</v>
      </c>
      <c r="B89" t="s">
        <v>159</v>
      </c>
      <c r="C89">
        <v>8</v>
      </c>
      <c r="D89" t="s">
        <v>3118</v>
      </c>
      <c r="E89">
        <v>50</v>
      </c>
      <c r="F89">
        <v>18</v>
      </c>
      <c r="G89">
        <v>32</v>
      </c>
      <c r="H89" t="s">
        <v>3493</v>
      </c>
      <c r="I89" t="s">
        <v>3490</v>
      </c>
      <c r="J89" t="s">
        <v>2902</v>
      </c>
    </row>
    <row r="90" spans="1:10" x14ac:dyDescent="0.25">
      <c r="A90" t="s">
        <v>186</v>
      </c>
      <c r="B90" t="s">
        <v>159</v>
      </c>
      <c r="C90">
        <v>8</v>
      </c>
      <c r="D90" t="s">
        <v>3120</v>
      </c>
      <c r="E90">
        <v>45</v>
      </c>
      <c r="F90">
        <v>15</v>
      </c>
      <c r="G90">
        <v>30</v>
      </c>
      <c r="H90" t="s">
        <v>3491</v>
      </c>
      <c r="I90" t="s">
        <v>3492</v>
      </c>
      <c r="J90" t="s">
        <v>2902</v>
      </c>
    </row>
    <row r="91" spans="1:10" x14ac:dyDescent="0.25">
      <c r="A91" t="s">
        <v>186</v>
      </c>
      <c r="B91" t="s">
        <v>159</v>
      </c>
      <c r="C91">
        <v>8</v>
      </c>
      <c r="D91" t="s">
        <v>3122</v>
      </c>
      <c r="E91">
        <v>84</v>
      </c>
      <c r="F91">
        <v>17</v>
      </c>
      <c r="G91">
        <v>67</v>
      </c>
      <c r="H91" t="s">
        <v>196</v>
      </c>
      <c r="I91" t="s">
        <v>3490</v>
      </c>
      <c r="J91" t="s">
        <v>2902</v>
      </c>
    </row>
    <row r="92" spans="1:10" x14ac:dyDescent="0.25">
      <c r="A92" t="s">
        <v>194</v>
      </c>
      <c r="B92" t="s">
        <v>105</v>
      </c>
      <c r="C92">
        <v>8</v>
      </c>
      <c r="D92" t="s">
        <v>3174</v>
      </c>
      <c r="E92">
        <v>77</v>
      </c>
      <c r="F92">
        <v>11</v>
      </c>
      <c r="G92">
        <v>66</v>
      </c>
      <c r="H92" t="s">
        <v>3494</v>
      </c>
      <c r="I92" t="s">
        <v>3490</v>
      </c>
      <c r="J92" t="s">
        <v>2908</v>
      </c>
    </row>
    <row r="93" spans="1:10" x14ac:dyDescent="0.25">
      <c r="A93" t="s">
        <v>194</v>
      </c>
      <c r="B93" t="s">
        <v>105</v>
      </c>
      <c r="C93">
        <v>8</v>
      </c>
      <c r="D93" t="s">
        <v>3176</v>
      </c>
      <c r="E93">
        <v>47</v>
      </c>
      <c r="F93">
        <v>15</v>
      </c>
      <c r="G93">
        <v>32</v>
      </c>
      <c r="H93" t="s">
        <v>3491</v>
      </c>
      <c r="I93" t="s">
        <v>3492</v>
      </c>
      <c r="J93" t="s">
        <v>2908</v>
      </c>
    </row>
    <row r="94" spans="1:10" x14ac:dyDescent="0.25">
      <c r="A94" t="s">
        <v>194</v>
      </c>
      <c r="B94" t="s">
        <v>105</v>
      </c>
      <c r="C94">
        <v>8</v>
      </c>
      <c r="D94" t="s">
        <v>3178</v>
      </c>
      <c r="E94">
        <v>48</v>
      </c>
      <c r="F94">
        <v>16</v>
      </c>
      <c r="G94">
        <v>32</v>
      </c>
      <c r="H94" t="s">
        <v>3491</v>
      </c>
      <c r="I94" t="s">
        <v>3492</v>
      </c>
      <c r="J94" t="s">
        <v>2908</v>
      </c>
    </row>
    <row r="95" spans="1:10" x14ac:dyDescent="0.25">
      <c r="A95" t="s">
        <v>194</v>
      </c>
      <c r="B95" t="s">
        <v>105</v>
      </c>
      <c r="C95">
        <v>8</v>
      </c>
      <c r="D95" t="s">
        <v>3180</v>
      </c>
      <c r="E95">
        <v>52</v>
      </c>
      <c r="F95">
        <v>14</v>
      </c>
      <c r="G95">
        <v>38</v>
      </c>
      <c r="H95" t="s">
        <v>3493</v>
      </c>
      <c r="I95" t="s">
        <v>3490</v>
      </c>
      <c r="J95" t="s">
        <v>2908</v>
      </c>
    </row>
    <row r="96" spans="1:10" x14ac:dyDescent="0.25">
      <c r="A96" t="s">
        <v>194</v>
      </c>
      <c r="B96" t="s">
        <v>105</v>
      </c>
      <c r="C96">
        <v>8</v>
      </c>
      <c r="D96" t="s">
        <v>3182</v>
      </c>
      <c r="E96">
        <v>47</v>
      </c>
      <c r="F96">
        <v>24</v>
      </c>
      <c r="G96">
        <v>23</v>
      </c>
      <c r="H96" t="s">
        <v>3491</v>
      </c>
      <c r="I96" t="s">
        <v>3492</v>
      </c>
      <c r="J96" t="s">
        <v>2908</v>
      </c>
    </row>
    <row r="97" spans="1:10" x14ac:dyDescent="0.25">
      <c r="A97" t="s">
        <v>205</v>
      </c>
      <c r="B97" t="s">
        <v>212</v>
      </c>
      <c r="C97">
        <v>8</v>
      </c>
      <c r="D97" t="s">
        <v>3474</v>
      </c>
      <c r="E97">
        <v>58</v>
      </c>
      <c r="F97">
        <v>24</v>
      </c>
      <c r="G97">
        <v>34</v>
      </c>
      <c r="H97" t="s">
        <v>3493</v>
      </c>
      <c r="I97" t="s">
        <v>3490</v>
      </c>
      <c r="J97" t="s">
        <v>3001</v>
      </c>
    </row>
    <row r="98" spans="1:10" x14ac:dyDescent="0.25">
      <c r="A98" t="s">
        <v>205</v>
      </c>
      <c r="B98" t="s">
        <v>212</v>
      </c>
      <c r="C98">
        <v>8</v>
      </c>
      <c r="D98" t="s">
        <v>3476</v>
      </c>
      <c r="E98">
        <v>57</v>
      </c>
      <c r="F98">
        <v>29</v>
      </c>
      <c r="G98">
        <v>28</v>
      </c>
      <c r="H98" t="s">
        <v>3493</v>
      </c>
      <c r="I98" t="s">
        <v>3490</v>
      </c>
      <c r="J98" t="s">
        <v>3001</v>
      </c>
    </row>
    <row r="99" spans="1:10" x14ac:dyDescent="0.25">
      <c r="A99" t="s">
        <v>205</v>
      </c>
      <c r="B99" t="s">
        <v>212</v>
      </c>
      <c r="C99">
        <v>8</v>
      </c>
      <c r="D99" t="s">
        <v>3478</v>
      </c>
      <c r="E99">
        <v>38</v>
      </c>
      <c r="F99">
        <v>11</v>
      </c>
      <c r="G99">
        <v>27</v>
      </c>
      <c r="H99" t="s">
        <v>3491</v>
      </c>
      <c r="I99" t="s">
        <v>3492</v>
      </c>
      <c r="J99" t="s">
        <v>3001</v>
      </c>
    </row>
    <row r="100" spans="1:10" x14ac:dyDescent="0.25">
      <c r="A100" t="s">
        <v>205</v>
      </c>
      <c r="B100" t="s">
        <v>212</v>
      </c>
      <c r="C100">
        <v>8</v>
      </c>
      <c r="D100" t="s">
        <v>3480</v>
      </c>
      <c r="E100">
        <v>59</v>
      </c>
      <c r="F100">
        <v>16</v>
      </c>
      <c r="G100">
        <v>43</v>
      </c>
      <c r="H100" t="s">
        <v>3493</v>
      </c>
      <c r="I100" t="s">
        <v>3490</v>
      </c>
      <c r="J100" t="s">
        <v>3001</v>
      </c>
    </row>
    <row r="101" spans="1:10" x14ac:dyDescent="0.25">
      <c r="A101" t="s">
        <v>205</v>
      </c>
      <c r="B101" t="s">
        <v>212</v>
      </c>
      <c r="C101">
        <v>8</v>
      </c>
      <c r="D101" t="s">
        <v>3482</v>
      </c>
      <c r="E101">
        <v>98</v>
      </c>
      <c r="F101">
        <v>30</v>
      </c>
      <c r="G101">
        <v>68</v>
      </c>
      <c r="H101" t="s">
        <v>3495</v>
      </c>
      <c r="I101" t="s">
        <v>3490</v>
      </c>
      <c r="J101" t="s">
        <v>3001</v>
      </c>
    </row>
    <row r="102" spans="1:10" x14ac:dyDescent="0.25">
      <c r="A102" t="s">
        <v>214</v>
      </c>
      <c r="B102" t="s">
        <v>30</v>
      </c>
      <c r="C102">
        <v>8</v>
      </c>
      <c r="D102" t="s">
        <v>3354</v>
      </c>
      <c r="E102">
        <v>82</v>
      </c>
      <c r="F102">
        <v>19</v>
      </c>
      <c r="G102">
        <v>63</v>
      </c>
      <c r="H102" t="s">
        <v>196</v>
      </c>
      <c r="I102" t="s">
        <v>3490</v>
      </c>
      <c r="J102" t="s">
        <v>2895</v>
      </c>
    </row>
    <row r="103" spans="1:10" x14ac:dyDescent="0.25">
      <c r="A103" t="s">
        <v>214</v>
      </c>
      <c r="B103" t="s">
        <v>30</v>
      </c>
      <c r="C103">
        <v>8</v>
      </c>
      <c r="D103" t="s">
        <v>3356</v>
      </c>
      <c r="E103">
        <v>52</v>
      </c>
      <c r="F103">
        <v>23</v>
      </c>
      <c r="G103">
        <v>29</v>
      </c>
      <c r="H103" t="s">
        <v>3493</v>
      </c>
      <c r="I103" t="s">
        <v>3490</v>
      </c>
      <c r="J103" t="s">
        <v>2895</v>
      </c>
    </row>
    <row r="104" spans="1:10" x14ac:dyDescent="0.25">
      <c r="A104" t="s">
        <v>214</v>
      </c>
      <c r="B104" t="s">
        <v>30</v>
      </c>
      <c r="C104">
        <v>8</v>
      </c>
      <c r="D104" t="s">
        <v>3358</v>
      </c>
      <c r="E104">
        <v>42</v>
      </c>
      <c r="F104">
        <v>12</v>
      </c>
      <c r="G104">
        <v>30</v>
      </c>
      <c r="H104" t="s">
        <v>3491</v>
      </c>
      <c r="I104" t="s">
        <v>3492</v>
      </c>
      <c r="J104" t="s">
        <v>2895</v>
      </c>
    </row>
    <row r="105" spans="1:10" x14ac:dyDescent="0.25">
      <c r="A105" t="s">
        <v>214</v>
      </c>
      <c r="B105" t="s">
        <v>30</v>
      </c>
      <c r="C105">
        <v>8</v>
      </c>
      <c r="D105" t="s">
        <v>3360</v>
      </c>
      <c r="E105">
        <v>69</v>
      </c>
      <c r="F105">
        <v>25</v>
      </c>
      <c r="G105">
        <v>44</v>
      </c>
      <c r="H105" t="s">
        <v>3489</v>
      </c>
      <c r="I105" t="s">
        <v>3490</v>
      </c>
      <c r="J105" t="s">
        <v>2895</v>
      </c>
    </row>
    <row r="106" spans="1:10" x14ac:dyDescent="0.25">
      <c r="A106" t="s">
        <v>214</v>
      </c>
      <c r="B106" t="s">
        <v>30</v>
      </c>
      <c r="C106">
        <v>8</v>
      </c>
      <c r="D106" t="s">
        <v>3362</v>
      </c>
      <c r="E106">
        <v>40</v>
      </c>
      <c r="F106">
        <v>10</v>
      </c>
      <c r="G106">
        <v>30</v>
      </c>
      <c r="H106" t="s">
        <v>3491</v>
      </c>
      <c r="I106" t="s">
        <v>3492</v>
      </c>
      <c r="J106" t="s">
        <v>2895</v>
      </c>
    </row>
    <row r="107" spans="1:10" x14ac:dyDescent="0.25">
      <c r="A107" t="s">
        <v>220</v>
      </c>
      <c r="B107" t="s">
        <v>105</v>
      </c>
      <c r="C107">
        <v>8</v>
      </c>
      <c r="D107" t="s">
        <v>3174</v>
      </c>
      <c r="E107">
        <v>43</v>
      </c>
      <c r="F107">
        <v>21</v>
      </c>
      <c r="G107">
        <v>22</v>
      </c>
      <c r="H107" t="s">
        <v>3491</v>
      </c>
      <c r="I107" t="s">
        <v>3492</v>
      </c>
      <c r="J107" t="s">
        <v>2908</v>
      </c>
    </row>
    <row r="108" spans="1:10" x14ac:dyDescent="0.25">
      <c r="A108" t="s">
        <v>220</v>
      </c>
      <c r="B108" t="s">
        <v>105</v>
      </c>
      <c r="C108">
        <v>8</v>
      </c>
      <c r="D108" t="s">
        <v>3176</v>
      </c>
      <c r="E108">
        <v>58</v>
      </c>
      <c r="F108">
        <v>27</v>
      </c>
      <c r="G108">
        <v>31</v>
      </c>
      <c r="H108" t="s">
        <v>3493</v>
      </c>
      <c r="I108" t="s">
        <v>3490</v>
      </c>
      <c r="J108" t="s">
        <v>2908</v>
      </c>
    </row>
    <row r="109" spans="1:10" x14ac:dyDescent="0.25">
      <c r="A109" t="s">
        <v>220</v>
      </c>
      <c r="B109" t="s">
        <v>105</v>
      </c>
      <c r="C109">
        <v>8</v>
      </c>
      <c r="D109" t="s">
        <v>3178</v>
      </c>
      <c r="E109">
        <v>49</v>
      </c>
      <c r="F109">
        <v>23</v>
      </c>
      <c r="G109">
        <v>26</v>
      </c>
      <c r="H109" t="s">
        <v>3491</v>
      </c>
      <c r="I109" t="s">
        <v>3492</v>
      </c>
      <c r="J109" t="s">
        <v>2908</v>
      </c>
    </row>
    <row r="110" spans="1:10" x14ac:dyDescent="0.25">
      <c r="A110" t="s">
        <v>220</v>
      </c>
      <c r="B110" t="s">
        <v>105</v>
      </c>
      <c r="C110">
        <v>8</v>
      </c>
      <c r="D110" t="s">
        <v>3180</v>
      </c>
      <c r="E110">
        <v>80</v>
      </c>
      <c r="F110">
        <v>12</v>
      </c>
      <c r="G110">
        <v>68</v>
      </c>
      <c r="H110" t="s">
        <v>196</v>
      </c>
      <c r="I110" t="s">
        <v>3490</v>
      </c>
      <c r="J110" t="s">
        <v>2908</v>
      </c>
    </row>
    <row r="111" spans="1:10" x14ac:dyDescent="0.25">
      <c r="A111" t="s">
        <v>220</v>
      </c>
      <c r="B111" t="s">
        <v>105</v>
      </c>
      <c r="C111">
        <v>8</v>
      </c>
      <c r="D111" t="s">
        <v>3182</v>
      </c>
      <c r="E111">
        <v>48</v>
      </c>
      <c r="F111">
        <v>15</v>
      </c>
      <c r="G111">
        <v>33</v>
      </c>
      <c r="H111" t="s">
        <v>3491</v>
      </c>
      <c r="I111" t="s">
        <v>3492</v>
      </c>
      <c r="J111" t="s">
        <v>2908</v>
      </c>
    </row>
    <row r="112" spans="1:10" x14ac:dyDescent="0.25">
      <c r="A112" t="s">
        <v>228</v>
      </c>
      <c r="B112" t="s">
        <v>159</v>
      </c>
      <c r="C112">
        <v>4</v>
      </c>
      <c r="D112" t="s">
        <v>3094</v>
      </c>
      <c r="E112">
        <v>41</v>
      </c>
      <c r="F112">
        <v>12</v>
      </c>
      <c r="G112">
        <v>29</v>
      </c>
      <c r="H112" t="s">
        <v>3491</v>
      </c>
      <c r="I112" t="s">
        <v>3492</v>
      </c>
      <c r="J112" t="s">
        <v>2902</v>
      </c>
    </row>
    <row r="113" spans="1:10" x14ac:dyDescent="0.25">
      <c r="A113" t="s">
        <v>228</v>
      </c>
      <c r="B113" t="s">
        <v>159</v>
      </c>
      <c r="C113">
        <v>4</v>
      </c>
      <c r="D113" t="s">
        <v>3096</v>
      </c>
      <c r="E113">
        <v>49</v>
      </c>
      <c r="F113">
        <v>23</v>
      </c>
      <c r="G113">
        <v>26</v>
      </c>
      <c r="H113" t="s">
        <v>3491</v>
      </c>
      <c r="I113" t="s">
        <v>3492</v>
      </c>
      <c r="J113" t="s">
        <v>2902</v>
      </c>
    </row>
    <row r="114" spans="1:10" x14ac:dyDescent="0.25">
      <c r="A114" t="s">
        <v>228</v>
      </c>
      <c r="B114" t="s">
        <v>159</v>
      </c>
      <c r="C114">
        <v>4</v>
      </c>
      <c r="D114" t="s">
        <v>3098</v>
      </c>
      <c r="E114">
        <v>57</v>
      </c>
      <c r="F114">
        <v>23</v>
      </c>
      <c r="G114">
        <v>34</v>
      </c>
      <c r="H114" t="s">
        <v>3493</v>
      </c>
      <c r="I114" t="s">
        <v>3490</v>
      </c>
      <c r="J114" t="s">
        <v>2902</v>
      </c>
    </row>
    <row r="115" spans="1:10" x14ac:dyDescent="0.25">
      <c r="A115" t="s">
        <v>228</v>
      </c>
      <c r="B115" t="s">
        <v>159</v>
      </c>
      <c r="C115">
        <v>4</v>
      </c>
      <c r="D115" t="s">
        <v>3100</v>
      </c>
      <c r="E115">
        <v>52</v>
      </c>
      <c r="F115">
        <v>15</v>
      </c>
      <c r="G115">
        <v>37</v>
      </c>
      <c r="H115" t="s">
        <v>3493</v>
      </c>
      <c r="I115" t="s">
        <v>3490</v>
      </c>
      <c r="J115" t="s">
        <v>2902</v>
      </c>
    </row>
    <row r="116" spans="1:10" x14ac:dyDescent="0.25">
      <c r="A116" t="s">
        <v>228</v>
      </c>
      <c r="B116" t="s">
        <v>159</v>
      </c>
      <c r="C116">
        <v>4</v>
      </c>
      <c r="D116" t="s">
        <v>3102</v>
      </c>
      <c r="E116">
        <v>91</v>
      </c>
      <c r="F116">
        <v>26</v>
      </c>
      <c r="G116">
        <v>65</v>
      </c>
      <c r="H116" t="s">
        <v>3495</v>
      </c>
      <c r="I116" t="s">
        <v>3490</v>
      </c>
      <c r="J116" t="s">
        <v>2902</v>
      </c>
    </row>
    <row r="117" spans="1:10" x14ac:dyDescent="0.25">
      <c r="A117" t="s">
        <v>235</v>
      </c>
      <c r="B117" t="s">
        <v>159</v>
      </c>
      <c r="C117">
        <v>4</v>
      </c>
      <c r="D117" t="s">
        <v>3094</v>
      </c>
      <c r="E117">
        <v>90</v>
      </c>
      <c r="F117">
        <v>27</v>
      </c>
      <c r="G117">
        <v>63</v>
      </c>
      <c r="H117" t="s">
        <v>3495</v>
      </c>
      <c r="I117" t="s">
        <v>3490</v>
      </c>
      <c r="J117" t="s">
        <v>2902</v>
      </c>
    </row>
    <row r="118" spans="1:10" x14ac:dyDescent="0.25">
      <c r="A118" t="s">
        <v>235</v>
      </c>
      <c r="B118" t="s">
        <v>159</v>
      </c>
      <c r="C118">
        <v>4</v>
      </c>
      <c r="D118" t="s">
        <v>3096</v>
      </c>
      <c r="E118">
        <v>83</v>
      </c>
      <c r="F118">
        <v>26</v>
      </c>
      <c r="G118">
        <v>57</v>
      </c>
      <c r="H118" t="s">
        <v>196</v>
      </c>
      <c r="I118" t="s">
        <v>3490</v>
      </c>
      <c r="J118" t="s">
        <v>2902</v>
      </c>
    </row>
    <row r="119" spans="1:10" x14ac:dyDescent="0.25">
      <c r="A119" t="s">
        <v>235</v>
      </c>
      <c r="B119" t="s">
        <v>159</v>
      </c>
      <c r="C119">
        <v>4</v>
      </c>
      <c r="D119" t="s">
        <v>3098</v>
      </c>
      <c r="E119">
        <v>69</v>
      </c>
      <c r="F119">
        <v>28</v>
      </c>
      <c r="G119">
        <v>41</v>
      </c>
      <c r="H119" t="s">
        <v>3489</v>
      </c>
      <c r="I119" t="s">
        <v>3490</v>
      </c>
      <c r="J119" t="s">
        <v>2902</v>
      </c>
    </row>
    <row r="120" spans="1:10" x14ac:dyDescent="0.25">
      <c r="A120" t="s">
        <v>235</v>
      </c>
      <c r="B120" t="s">
        <v>159</v>
      </c>
      <c r="C120">
        <v>4</v>
      </c>
      <c r="D120" t="s">
        <v>3100</v>
      </c>
      <c r="E120">
        <v>54</v>
      </c>
      <c r="F120">
        <v>24</v>
      </c>
      <c r="G120">
        <v>30</v>
      </c>
      <c r="H120" t="s">
        <v>3493</v>
      </c>
      <c r="I120" t="s">
        <v>3490</v>
      </c>
      <c r="J120" t="s">
        <v>2902</v>
      </c>
    </row>
    <row r="121" spans="1:10" x14ac:dyDescent="0.25">
      <c r="A121" t="s">
        <v>235</v>
      </c>
      <c r="B121" t="s">
        <v>159</v>
      </c>
      <c r="C121">
        <v>4</v>
      </c>
      <c r="D121" t="s">
        <v>3102</v>
      </c>
      <c r="E121">
        <v>83</v>
      </c>
      <c r="F121">
        <v>29</v>
      </c>
      <c r="G121">
        <v>54</v>
      </c>
      <c r="H121" t="s">
        <v>196</v>
      </c>
      <c r="I121" t="s">
        <v>3490</v>
      </c>
      <c r="J121" t="s">
        <v>2902</v>
      </c>
    </row>
    <row r="122" spans="1:10" x14ac:dyDescent="0.25">
      <c r="A122" t="s">
        <v>243</v>
      </c>
      <c r="B122" t="s">
        <v>212</v>
      </c>
      <c r="C122">
        <v>8</v>
      </c>
      <c r="D122" t="s">
        <v>3474</v>
      </c>
      <c r="E122">
        <v>61</v>
      </c>
      <c r="F122">
        <v>28</v>
      </c>
      <c r="G122">
        <v>33</v>
      </c>
      <c r="H122" t="s">
        <v>3489</v>
      </c>
      <c r="I122" t="s">
        <v>3490</v>
      </c>
      <c r="J122" t="s">
        <v>3001</v>
      </c>
    </row>
    <row r="123" spans="1:10" x14ac:dyDescent="0.25">
      <c r="A123" t="s">
        <v>243</v>
      </c>
      <c r="B123" t="s">
        <v>212</v>
      </c>
      <c r="C123">
        <v>8</v>
      </c>
      <c r="D123" t="s">
        <v>3476</v>
      </c>
      <c r="E123">
        <v>71</v>
      </c>
      <c r="F123">
        <v>24</v>
      </c>
      <c r="G123">
        <v>47</v>
      </c>
      <c r="H123" t="s">
        <v>3494</v>
      </c>
      <c r="I123" t="s">
        <v>3490</v>
      </c>
      <c r="J123" t="s">
        <v>3001</v>
      </c>
    </row>
    <row r="124" spans="1:10" x14ac:dyDescent="0.25">
      <c r="A124" t="s">
        <v>243</v>
      </c>
      <c r="B124" t="s">
        <v>212</v>
      </c>
      <c r="C124">
        <v>8</v>
      </c>
      <c r="D124" t="s">
        <v>3478</v>
      </c>
      <c r="E124">
        <v>74</v>
      </c>
      <c r="F124">
        <v>15</v>
      </c>
      <c r="G124">
        <v>59</v>
      </c>
      <c r="H124" t="s">
        <v>3494</v>
      </c>
      <c r="I124" t="s">
        <v>3490</v>
      </c>
      <c r="J124" t="s">
        <v>3001</v>
      </c>
    </row>
    <row r="125" spans="1:10" x14ac:dyDescent="0.25">
      <c r="A125" t="s">
        <v>243</v>
      </c>
      <c r="B125" t="s">
        <v>212</v>
      </c>
      <c r="C125">
        <v>8</v>
      </c>
      <c r="D125" t="s">
        <v>3480</v>
      </c>
      <c r="E125">
        <v>61</v>
      </c>
      <c r="F125">
        <v>24</v>
      </c>
      <c r="G125">
        <v>37</v>
      </c>
      <c r="H125" t="s">
        <v>3489</v>
      </c>
      <c r="I125" t="s">
        <v>3490</v>
      </c>
      <c r="J125" t="s">
        <v>3001</v>
      </c>
    </row>
    <row r="126" spans="1:10" x14ac:dyDescent="0.25">
      <c r="A126" t="s">
        <v>243</v>
      </c>
      <c r="B126" t="s">
        <v>212</v>
      </c>
      <c r="C126">
        <v>8</v>
      </c>
      <c r="D126" t="s">
        <v>3482</v>
      </c>
      <c r="E126">
        <v>56</v>
      </c>
      <c r="F126">
        <v>20</v>
      </c>
      <c r="G126">
        <v>36</v>
      </c>
      <c r="H126" t="s">
        <v>3493</v>
      </c>
      <c r="I126" t="s">
        <v>3490</v>
      </c>
      <c r="J126" t="s">
        <v>3001</v>
      </c>
    </row>
    <row r="127" spans="1:10" x14ac:dyDescent="0.25">
      <c r="A127" t="s">
        <v>250</v>
      </c>
      <c r="B127" t="s">
        <v>95</v>
      </c>
      <c r="C127">
        <v>8</v>
      </c>
      <c r="D127" t="s">
        <v>3234</v>
      </c>
      <c r="E127">
        <v>62</v>
      </c>
      <c r="F127">
        <v>29</v>
      </c>
      <c r="G127">
        <v>33</v>
      </c>
      <c r="H127" t="s">
        <v>3489</v>
      </c>
      <c r="I127" t="s">
        <v>3490</v>
      </c>
      <c r="J127" t="s">
        <v>2889</v>
      </c>
    </row>
    <row r="128" spans="1:10" x14ac:dyDescent="0.25">
      <c r="A128" t="s">
        <v>250</v>
      </c>
      <c r="B128" t="s">
        <v>95</v>
      </c>
      <c r="C128">
        <v>8</v>
      </c>
      <c r="D128" t="s">
        <v>3236</v>
      </c>
      <c r="E128">
        <v>42</v>
      </c>
      <c r="F128">
        <v>10</v>
      </c>
      <c r="G128">
        <v>32</v>
      </c>
      <c r="H128" t="s">
        <v>3491</v>
      </c>
      <c r="I128" t="s">
        <v>3492</v>
      </c>
      <c r="J128" t="s">
        <v>2889</v>
      </c>
    </row>
    <row r="129" spans="1:10" x14ac:dyDescent="0.25">
      <c r="A129" t="s">
        <v>250</v>
      </c>
      <c r="B129" t="s">
        <v>95</v>
      </c>
      <c r="C129">
        <v>8</v>
      </c>
      <c r="D129" t="s">
        <v>3238</v>
      </c>
      <c r="E129">
        <v>60</v>
      </c>
      <c r="F129">
        <v>22</v>
      </c>
      <c r="G129">
        <v>38</v>
      </c>
      <c r="H129" t="s">
        <v>3489</v>
      </c>
      <c r="I129" t="s">
        <v>3490</v>
      </c>
      <c r="J129" t="s">
        <v>2889</v>
      </c>
    </row>
    <row r="130" spans="1:10" x14ac:dyDescent="0.25">
      <c r="A130" t="s">
        <v>250</v>
      </c>
      <c r="B130" t="s">
        <v>95</v>
      </c>
      <c r="C130">
        <v>8</v>
      </c>
      <c r="D130" t="s">
        <v>3240</v>
      </c>
      <c r="E130">
        <v>91</v>
      </c>
      <c r="F130">
        <v>22</v>
      </c>
      <c r="G130">
        <v>69</v>
      </c>
      <c r="H130" t="s">
        <v>3495</v>
      </c>
      <c r="I130" t="s">
        <v>3490</v>
      </c>
      <c r="J130" t="s">
        <v>2889</v>
      </c>
    </row>
    <row r="131" spans="1:10" x14ac:dyDescent="0.25">
      <c r="A131" t="s">
        <v>250</v>
      </c>
      <c r="B131" t="s">
        <v>95</v>
      </c>
      <c r="C131">
        <v>8</v>
      </c>
      <c r="D131" t="s">
        <v>3242</v>
      </c>
      <c r="E131">
        <v>76</v>
      </c>
      <c r="F131">
        <v>27</v>
      </c>
      <c r="G131">
        <v>49</v>
      </c>
      <c r="H131" t="s">
        <v>3494</v>
      </c>
      <c r="I131" t="s">
        <v>3490</v>
      </c>
      <c r="J131" t="s">
        <v>2889</v>
      </c>
    </row>
    <row r="132" spans="1:10" x14ac:dyDescent="0.25">
      <c r="A132" t="s">
        <v>258</v>
      </c>
      <c r="B132" t="s">
        <v>159</v>
      </c>
      <c r="C132">
        <v>4</v>
      </c>
      <c r="D132" t="s">
        <v>3094</v>
      </c>
      <c r="E132">
        <v>69</v>
      </c>
      <c r="F132">
        <v>12</v>
      </c>
      <c r="G132">
        <v>57</v>
      </c>
      <c r="H132" t="s">
        <v>3489</v>
      </c>
      <c r="I132" t="s">
        <v>3490</v>
      </c>
      <c r="J132" t="s">
        <v>2902</v>
      </c>
    </row>
    <row r="133" spans="1:10" x14ac:dyDescent="0.25">
      <c r="A133" t="s">
        <v>258</v>
      </c>
      <c r="B133" t="s">
        <v>159</v>
      </c>
      <c r="C133">
        <v>4</v>
      </c>
      <c r="D133" t="s">
        <v>3096</v>
      </c>
      <c r="E133">
        <v>83</v>
      </c>
      <c r="F133">
        <v>13</v>
      </c>
      <c r="G133">
        <v>70</v>
      </c>
      <c r="H133" t="s">
        <v>196</v>
      </c>
      <c r="I133" t="s">
        <v>3490</v>
      </c>
      <c r="J133" t="s">
        <v>2902</v>
      </c>
    </row>
    <row r="134" spans="1:10" x14ac:dyDescent="0.25">
      <c r="A134" t="s">
        <v>258</v>
      </c>
      <c r="B134" t="s">
        <v>159</v>
      </c>
      <c r="C134">
        <v>4</v>
      </c>
      <c r="D134" t="s">
        <v>3098</v>
      </c>
      <c r="E134">
        <v>37</v>
      </c>
      <c r="F134">
        <v>14</v>
      </c>
      <c r="G134">
        <v>23</v>
      </c>
      <c r="H134" t="s">
        <v>3491</v>
      </c>
      <c r="I134" t="s">
        <v>3492</v>
      </c>
      <c r="J134" t="s">
        <v>2902</v>
      </c>
    </row>
    <row r="135" spans="1:10" x14ac:dyDescent="0.25">
      <c r="A135" t="s">
        <v>258</v>
      </c>
      <c r="B135" t="s">
        <v>159</v>
      </c>
      <c r="C135">
        <v>4</v>
      </c>
      <c r="D135" t="s">
        <v>3100</v>
      </c>
      <c r="E135">
        <v>84</v>
      </c>
      <c r="F135">
        <v>17</v>
      </c>
      <c r="G135">
        <v>67</v>
      </c>
      <c r="H135" t="s">
        <v>196</v>
      </c>
      <c r="I135" t="s">
        <v>3490</v>
      </c>
      <c r="J135" t="s">
        <v>2902</v>
      </c>
    </row>
    <row r="136" spans="1:10" x14ac:dyDescent="0.25">
      <c r="A136" t="s">
        <v>258</v>
      </c>
      <c r="B136" t="s">
        <v>159</v>
      </c>
      <c r="C136">
        <v>4</v>
      </c>
      <c r="D136" t="s">
        <v>3102</v>
      </c>
      <c r="E136">
        <v>54</v>
      </c>
      <c r="F136">
        <v>27</v>
      </c>
      <c r="G136">
        <v>27</v>
      </c>
      <c r="H136" t="s">
        <v>3493</v>
      </c>
      <c r="I136" t="s">
        <v>3490</v>
      </c>
      <c r="J136" t="s">
        <v>2902</v>
      </c>
    </row>
    <row r="137" spans="1:10" x14ac:dyDescent="0.25">
      <c r="A137" t="s">
        <v>267</v>
      </c>
      <c r="B137" t="s">
        <v>75</v>
      </c>
      <c r="C137">
        <v>8</v>
      </c>
      <c r="D137" t="s">
        <v>3054</v>
      </c>
      <c r="E137">
        <v>77</v>
      </c>
      <c r="F137">
        <v>27</v>
      </c>
      <c r="G137">
        <v>50</v>
      </c>
      <c r="H137" t="s">
        <v>3494</v>
      </c>
      <c r="I137" t="s">
        <v>3490</v>
      </c>
      <c r="J137" t="s">
        <v>2961</v>
      </c>
    </row>
    <row r="138" spans="1:10" x14ac:dyDescent="0.25">
      <c r="A138" t="s">
        <v>267</v>
      </c>
      <c r="B138" t="s">
        <v>75</v>
      </c>
      <c r="C138">
        <v>8</v>
      </c>
      <c r="D138" t="s">
        <v>3056</v>
      </c>
      <c r="E138">
        <v>83</v>
      </c>
      <c r="F138">
        <v>22</v>
      </c>
      <c r="G138">
        <v>61</v>
      </c>
      <c r="H138" t="s">
        <v>196</v>
      </c>
      <c r="I138" t="s">
        <v>3490</v>
      </c>
      <c r="J138" t="s">
        <v>2961</v>
      </c>
    </row>
    <row r="139" spans="1:10" x14ac:dyDescent="0.25">
      <c r="A139" t="s">
        <v>267</v>
      </c>
      <c r="B139" t="s">
        <v>75</v>
      </c>
      <c r="C139">
        <v>8</v>
      </c>
      <c r="D139" t="s">
        <v>3058</v>
      </c>
      <c r="E139">
        <v>93</v>
      </c>
      <c r="F139">
        <v>28</v>
      </c>
      <c r="G139">
        <v>65</v>
      </c>
      <c r="H139" t="s">
        <v>3495</v>
      </c>
      <c r="I139" t="s">
        <v>3490</v>
      </c>
      <c r="J139" t="s">
        <v>2961</v>
      </c>
    </row>
    <row r="140" spans="1:10" x14ac:dyDescent="0.25">
      <c r="A140" t="s">
        <v>267</v>
      </c>
      <c r="B140" t="s">
        <v>75</v>
      </c>
      <c r="C140">
        <v>8</v>
      </c>
      <c r="D140" t="s">
        <v>3060</v>
      </c>
      <c r="E140">
        <v>37</v>
      </c>
      <c r="F140">
        <v>14</v>
      </c>
      <c r="G140">
        <v>23</v>
      </c>
      <c r="H140" t="s">
        <v>3491</v>
      </c>
      <c r="I140" t="s">
        <v>3492</v>
      </c>
      <c r="J140" t="s">
        <v>2961</v>
      </c>
    </row>
    <row r="141" spans="1:10" x14ac:dyDescent="0.25">
      <c r="A141" t="s">
        <v>267</v>
      </c>
      <c r="B141" t="s">
        <v>75</v>
      </c>
      <c r="C141">
        <v>8</v>
      </c>
      <c r="D141" t="s">
        <v>3062</v>
      </c>
      <c r="E141">
        <v>57</v>
      </c>
      <c r="F141">
        <v>26</v>
      </c>
      <c r="G141">
        <v>31</v>
      </c>
      <c r="H141" t="s">
        <v>3493</v>
      </c>
      <c r="I141" t="s">
        <v>3490</v>
      </c>
      <c r="J141" t="s">
        <v>2961</v>
      </c>
    </row>
    <row r="142" spans="1:10" x14ac:dyDescent="0.25">
      <c r="A142" t="s">
        <v>275</v>
      </c>
      <c r="B142" t="s">
        <v>105</v>
      </c>
      <c r="C142">
        <v>8</v>
      </c>
      <c r="D142" t="s">
        <v>3174</v>
      </c>
      <c r="E142">
        <v>61</v>
      </c>
      <c r="F142">
        <v>27</v>
      </c>
      <c r="G142">
        <v>34</v>
      </c>
      <c r="H142" t="s">
        <v>3489</v>
      </c>
      <c r="I142" t="s">
        <v>3490</v>
      </c>
      <c r="J142" t="s">
        <v>2908</v>
      </c>
    </row>
    <row r="143" spans="1:10" x14ac:dyDescent="0.25">
      <c r="A143" t="s">
        <v>275</v>
      </c>
      <c r="B143" t="s">
        <v>105</v>
      </c>
      <c r="C143">
        <v>8</v>
      </c>
      <c r="D143" t="s">
        <v>3176</v>
      </c>
      <c r="E143">
        <v>49</v>
      </c>
      <c r="F143">
        <v>14</v>
      </c>
      <c r="G143">
        <v>35</v>
      </c>
      <c r="H143" t="s">
        <v>3491</v>
      </c>
      <c r="I143" t="s">
        <v>3492</v>
      </c>
      <c r="J143" t="s">
        <v>2908</v>
      </c>
    </row>
    <row r="144" spans="1:10" x14ac:dyDescent="0.25">
      <c r="A144" t="s">
        <v>275</v>
      </c>
      <c r="B144" t="s">
        <v>105</v>
      </c>
      <c r="C144">
        <v>8</v>
      </c>
      <c r="D144" t="s">
        <v>3178</v>
      </c>
      <c r="E144">
        <v>63</v>
      </c>
      <c r="F144">
        <v>11</v>
      </c>
      <c r="G144">
        <v>52</v>
      </c>
      <c r="H144" t="s">
        <v>3489</v>
      </c>
      <c r="I144" t="s">
        <v>3490</v>
      </c>
      <c r="J144" t="s">
        <v>2908</v>
      </c>
    </row>
    <row r="145" spans="1:10" x14ac:dyDescent="0.25">
      <c r="A145" t="s">
        <v>275</v>
      </c>
      <c r="B145" t="s">
        <v>105</v>
      </c>
      <c r="C145">
        <v>8</v>
      </c>
      <c r="D145" t="s">
        <v>3180</v>
      </c>
      <c r="E145">
        <v>83</v>
      </c>
      <c r="F145">
        <v>29</v>
      </c>
      <c r="G145">
        <v>54</v>
      </c>
      <c r="H145" t="s">
        <v>196</v>
      </c>
      <c r="I145" t="s">
        <v>3490</v>
      </c>
      <c r="J145" t="s">
        <v>2908</v>
      </c>
    </row>
    <row r="146" spans="1:10" x14ac:dyDescent="0.25">
      <c r="A146" t="s">
        <v>275</v>
      </c>
      <c r="B146" t="s">
        <v>105</v>
      </c>
      <c r="C146">
        <v>8</v>
      </c>
      <c r="D146" t="s">
        <v>3182</v>
      </c>
      <c r="E146">
        <v>47</v>
      </c>
      <c r="F146">
        <v>12</v>
      </c>
      <c r="G146">
        <v>35</v>
      </c>
      <c r="H146" t="s">
        <v>3491</v>
      </c>
      <c r="I146" t="s">
        <v>3492</v>
      </c>
      <c r="J146" t="s">
        <v>2908</v>
      </c>
    </row>
    <row r="147" spans="1:10" x14ac:dyDescent="0.25">
      <c r="A147" t="s">
        <v>281</v>
      </c>
      <c r="B147" t="s">
        <v>159</v>
      </c>
      <c r="C147">
        <v>8</v>
      </c>
      <c r="D147" t="s">
        <v>3114</v>
      </c>
      <c r="E147">
        <v>82</v>
      </c>
      <c r="F147">
        <v>27</v>
      </c>
      <c r="G147">
        <v>55</v>
      </c>
      <c r="H147" t="s">
        <v>196</v>
      </c>
      <c r="I147" t="s">
        <v>3490</v>
      </c>
      <c r="J147" t="s">
        <v>2902</v>
      </c>
    </row>
    <row r="148" spans="1:10" x14ac:dyDescent="0.25">
      <c r="A148" t="s">
        <v>281</v>
      </c>
      <c r="B148" t="s">
        <v>159</v>
      </c>
      <c r="C148">
        <v>8</v>
      </c>
      <c r="D148" t="s">
        <v>3116</v>
      </c>
      <c r="E148">
        <v>53</v>
      </c>
      <c r="F148">
        <v>12</v>
      </c>
      <c r="G148">
        <v>41</v>
      </c>
      <c r="H148" t="s">
        <v>3493</v>
      </c>
      <c r="I148" t="s">
        <v>3490</v>
      </c>
      <c r="J148" t="s">
        <v>2902</v>
      </c>
    </row>
    <row r="149" spans="1:10" x14ac:dyDescent="0.25">
      <c r="A149" t="s">
        <v>281</v>
      </c>
      <c r="B149" t="s">
        <v>159</v>
      </c>
      <c r="C149">
        <v>8</v>
      </c>
      <c r="D149" t="s">
        <v>3118</v>
      </c>
      <c r="E149">
        <v>80</v>
      </c>
      <c r="F149">
        <v>26</v>
      </c>
      <c r="G149">
        <v>54</v>
      </c>
      <c r="H149" t="s">
        <v>196</v>
      </c>
      <c r="I149" t="s">
        <v>3490</v>
      </c>
      <c r="J149" t="s">
        <v>2902</v>
      </c>
    </row>
    <row r="150" spans="1:10" x14ac:dyDescent="0.25">
      <c r="A150" t="s">
        <v>281</v>
      </c>
      <c r="B150" t="s">
        <v>159</v>
      </c>
      <c r="C150">
        <v>8</v>
      </c>
      <c r="D150" t="s">
        <v>3120</v>
      </c>
      <c r="E150">
        <v>48</v>
      </c>
      <c r="F150">
        <v>12</v>
      </c>
      <c r="G150">
        <v>36</v>
      </c>
      <c r="H150" t="s">
        <v>3491</v>
      </c>
      <c r="I150" t="s">
        <v>3492</v>
      </c>
      <c r="J150" t="s">
        <v>2902</v>
      </c>
    </row>
    <row r="151" spans="1:10" x14ac:dyDescent="0.25">
      <c r="A151" t="s">
        <v>281</v>
      </c>
      <c r="B151" t="s">
        <v>159</v>
      </c>
      <c r="C151">
        <v>8</v>
      </c>
      <c r="D151" t="s">
        <v>3122</v>
      </c>
      <c r="E151">
        <v>59</v>
      </c>
      <c r="F151">
        <v>18</v>
      </c>
      <c r="G151">
        <v>41</v>
      </c>
      <c r="H151" t="s">
        <v>3493</v>
      </c>
      <c r="I151" t="s">
        <v>3490</v>
      </c>
      <c r="J151" t="s">
        <v>2902</v>
      </c>
    </row>
    <row r="152" spans="1:10" x14ac:dyDescent="0.25">
      <c r="A152" t="s">
        <v>289</v>
      </c>
      <c r="B152" t="s">
        <v>95</v>
      </c>
      <c r="C152">
        <v>4</v>
      </c>
      <c r="D152" t="s">
        <v>3214</v>
      </c>
      <c r="E152">
        <v>55</v>
      </c>
      <c r="F152">
        <v>27</v>
      </c>
      <c r="G152">
        <v>28</v>
      </c>
      <c r="H152" t="s">
        <v>3493</v>
      </c>
      <c r="I152" t="s">
        <v>3490</v>
      </c>
      <c r="J152" t="s">
        <v>2889</v>
      </c>
    </row>
    <row r="153" spans="1:10" x14ac:dyDescent="0.25">
      <c r="A153" t="s">
        <v>289</v>
      </c>
      <c r="B153" t="s">
        <v>95</v>
      </c>
      <c r="C153">
        <v>4</v>
      </c>
      <c r="D153" t="s">
        <v>3216</v>
      </c>
      <c r="E153">
        <v>37</v>
      </c>
      <c r="F153">
        <v>15</v>
      </c>
      <c r="G153">
        <v>22</v>
      </c>
      <c r="H153" t="s">
        <v>3491</v>
      </c>
      <c r="I153" t="s">
        <v>3492</v>
      </c>
      <c r="J153" t="s">
        <v>2889</v>
      </c>
    </row>
    <row r="154" spans="1:10" x14ac:dyDescent="0.25">
      <c r="A154" t="s">
        <v>289</v>
      </c>
      <c r="B154" t="s">
        <v>95</v>
      </c>
      <c r="C154">
        <v>4</v>
      </c>
      <c r="D154" t="s">
        <v>3218</v>
      </c>
      <c r="E154">
        <v>74</v>
      </c>
      <c r="F154">
        <v>23</v>
      </c>
      <c r="G154">
        <v>51</v>
      </c>
      <c r="H154" t="s">
        <v>3494</v>
      </c>
      <c r="I154" t="s">
        <v>3490</v>
      </c>
      <c r="J154" t="s">
        <v>2889</v>
      </c>
    </row>
    <row r="155" spans="1:10" x14ac:dyDescent="0.25">
      <c r="A155" t="s">
        <v>289</v>
      </c>
      <c r="B155" t="s">
        <v>95</v>
      </c>
      <c r="C155">
        <v>4</v>
      </c>
      <c r="D155" t="s">
        <v>3220</v>
      </c>
      <c r="E155">
        <v>44</v>
      </c>
      <c r="F155">
        <v>16</v>
      </c>
      <c r="G155">
        <v>28</v>
      </c>
      <c r="H155" t="s">
        <v>3491</v>
      </c>
      <c r="I155" t="s">
        <v>3492</v>
      </c>
      <c r="J155" t="s">
        <v>2889</v>
      </c>
    </row>
    <row r="156" spans="1:10" x14ac:dyDescent="0.25">
      <c r="A156" t="s">
        <v>289</v>
      </c>
      <c r="B156" t="s">
        <v>95</v>
      </c>
      <c r="C156">
        <v>4</v>
      </c>
      <c r="D156" t="s">
        <v>3222</v>
      </c>
      <c r="E156">
        <v>81</v>
      </c>
      <c r="F156">
        <v>17</v>
      </c>
      <c r="G156">
        <v>64</v>
      </c>
      <c r="H156" t="s">
        <v>196</v>
      </c>
      <c r="I156" t="s">
        <v>3490</v>
      </c>
      <c r="J156" t="s">
        <v>2889</v>
      </c>
    </row>
    <row r="157" spans="1:10" x14ac:dyDescent="0.25">
      <c r="A157" t="s">
        <v>297</v>
      </c>
      <c r="B157" t="s">
        <v>30</v>
      </c>
      <c r="C157">
        <v>4</v>
      </c>
      <c r="D157" t="s">
        <v>3334</v>
      </c>
      <c r="E157">
        <v>55</v>
      </c>
      <c r="F157">
        <v>30</v>
      </c>
      <c r="G157">
        <v>25</v>
      </c>
      <c r="H157" t="s">
        <v>3493</v>
      </c>
      <c r="I157" t="s">
        <v>3490</v>
      </c>
      <c r="J157" t="s">
        <v>2895</v>
      </c>
    </row>
    <row r="158" spans="1:10" x14ac:dyDescent="0.25">
      <c r="A158" t="s">
        <v>297</v>
      </c>
      <c r="B158" t="s">
        <v>30</v>
      </c>
      <c r="C158">
        <v>4</v>
      </c>
      <c r="D158" t="s">
        <v>3336</v>
      </c>
      <c r="E158">
        <v>55</v>
      </c>
      <c r="F158">
        <v>26</v>
      </c>
      <c r="G158">
        <v>29</v>
      </c>
      <c r="H158" t="s">
        <v>3493</v>
      </c>
      <c r="I158" t="s">
        <v>3490</v>
      </c>
      <c r="J158" t="s">
        <v>2895</v>
      </c>
    </row>
    <row r="159" spans="1:10" x14ac:dyDescent="0.25">
      <c r="A159" t="s">
        <v>297</v>
      </c>
      <c r="B159" t="s">
        <v>30</v>
      </c>
      <c r="C159">
        <v>4</v>
      </c>
      <c r="D159" t="s">
        <v>3338</v>
      </c>
      <c r="E159">
        <v>77</v>
      </c>
      <c r="F159">
        <v>29</v>
      </c>
      <c r="G159">
        <v>48</v>
      </c>
      <c r="H159" t="s">
        <v>3494</v>
      </c>
      <c r="I159" t="s">
        <v>3490</v>
      </c>
      <c r="J159" t="s">
        <v>2895</v>
      </c>
    </row>
    <row r="160" spans="1:10" x14ac:dyDescent="0.25">
      <c r="A160" t="s">
        <v>297</v>
      </c>
      <c r="B160" t="s">
        <v>30</v>
      </c>
      <c r="C160">
        <v>4</v>
      </c>
      <c r="D160" t="s">
        <v>3340</v>
      </c>
      <c r="E160">
        <v>59</v>
      </c>
      <c r="F160">
        <v>12</v>
      </c>
      <c r="G160">
        <v>47</v>
      </c>
      <c r="H160" t="s">
        <v>3493</v>
      </c>
      <c r="I160" t="s">
        <v>3490</v>
      </c>
      <c r="J160" t="s">
        <v>2895</v>
      </c>
    </row>
    <row r="161" spans="1:10" x14ac:dyDescent="0.25">
      <c r="A161" t="s">
        <v>297</v>
      </c>
      <c r="B161" t="s">
        <v>30</v>
      </c>
      <c r="C161">
        <v>4</v>
      </c>
      <c r="D161" t="s">
        <v>3342</v>
      </c>
      <c r="E161">
        <v>84</v>
      </c>
      <c r="F161">
        <v>30</v>
      </c>
      <c r="G161">
        <v>54</v>
      </c>
      <c r="H161" t="s">
        <v>196</v>
      </c>
      <c r="I161" t="s">
        <v>3490</v>
      </c>
      <c r="J161" t="s">
        <v>2895</v>
      </c>
    </row>
    <row r="162" spans="1:10" x14ac:dyDescent="0.25">
      <c r="A162" t="s">
        <v>304</v>
      </c>
      <c r="B162" t="s">
        <v>159</v>
      </c>
      <c r="C162">
        <v>4</v>
      </c>
      <c r="D162" t="s">
        <v>3094</v>
      </c>
      <c r="E162">
        <v>79</v>
      </c>
      <c r="F162">
        <v>12</v>
      </c>
      <c r="G162">
        <v>67</v>
      </c>
      <c r="H162" t="s">
        <v>3494</v>
      </c>
      <c r="I162" t="s">
        <v>3490</v>
      </c>
      <c r="J162" t="s">
        <v>2902</v>
      </c>
    </row>
    <row r="163" spans="1:10" x14ac:dyDescent="0.25">
      <c r="A163" t="s">
        <v>304</v>
      </c>
      <c r="B163" t="s">
        <v>159</v>
      </c>
      <c r="C163">
        <v>4</v>
      </c>
      <c r="D163" t="s">
        <v>3096</v>
      </c>
      <c r="E163">
        <v>69</v>
      </c>
      <c r="F163">
        <v>20</v>
      </c>
      <c r="G163">
        <v>49</v>
      </c>
      <c r="H163" t="s">
        <v>3489</v>
      </c>
      <c r="I163" t="s">
        <v>3490</v>
      </c>
      <c r="J163" t="s">
        <v>2902</v>
      </c>
    </row>
    <row r="164" spans="1:10" x14ac:dyDescent="0.25">
      <c r="A164" t="s">
        <v>304</v>
      </c>
      <c r="B164" t="s">
        <v>159</v>
      </c>
      <c r="C164">
        <v>4</v>
      </c>
      <c r="D164" t="s">
        <v>3098</v>
      </c>
      <c r="E164">
        <v>78</v>
      </c>
      <c r="F164">
        <v>15</v>
      </c>
      <c r="G164">
        <v>63</v>
      </c>
      <c r="H164" t="s">
        <v>3494</v>
      </c>
      <c r="I164" t="s">
        <v>3490</v>
      </c>
      <c r="J164" t="s">
        <v>2902</v>
      </c>
    </row>
    <row r="165" spans="1:10" x14ac:dyDescent="0.25">
      <c r="A165" t="s">
        <v>304</v>
      </c>
      <c r="B165" t="s">
        <v>159</v>
      </c>
      <c r="C165">
        <v>4</v>
      </c>
      <c r="D165" t="s">
        <v>3100</v>
      </c>
      <c r="E165">
        <v>59</v>
      </c>
      <c r="F165">
        <v>18</v>
      </c>
      <c r="G165">
        <v>41</v>
      </c>
      <c r="H165" t="s">
        <v>3493</v>
      </c>
      <c r="I165" t="s">
        <v>3490</v>
      </c>
      <c r="J165" t="s">
        <v>2902</v>
      </c>
    </row>
    <row r="166" spans="1:10" x14ac:dyDescent="0.25">
      <c r="A166" t="s">
        <v>304</v>
      </c>
      <c r="B166" t="s">
        <v>159</v>
      </c>
      <c r="C166">
        <v>4</v>
      </c>
      <c r="D166" t="s">
        <v>3102</v>
      </c>
      <c r="E166">
        <v>32</v>
      </c>
      <c r="F166">
        <v>10</v>
      </c>
      <c r="G166">
        <v>22</v>
      </c>
      <c r="H166" t="s">
        <v>3491</v>
      </c>
      <c r="I166" t="s">
        <v>3492</v>
      </c>
      <c r="J166" t="s">
        <v>2902</v>
      </c>
    </row>
    <row r="167" spans="1:10" x14ac:dyDescent="0.25">
      <c r="A167" t="s">
        <v>312</v>
      </c>
      <c r="B167" t="s">
        <v>75</v>
      </c>
      <c r="C167">
        <v>4</v>
      </c>
      <c r="D167" t="s">
        <v>3034</v>
      </c>
      <c r="E167">
        <v>79</v>
      </c>
      <c r="F167">
        <v>10</v>
      </c>
      <c r="G167">
        <v>69</v>
      </c>
      <c r="H167" t="s">
        <v>3494</v>
      </c>
      <c r="I167" t="s">
        <v>3490</v>
      </c>
      <c r="J167" t="s">
        <v>2961</v>
      </c>
    </row>
    <row r="168" spans="1:10" x14ac:dyDescent="0.25">
      <c r="A168" t="s">
        <v>312</v>
      </c>
      <c r="B168" t="s">
        <v>75</v>
      </c>
      <c r="C168">
        <v>4</v>
      </c>
      <c r="D168" t="s">
        <v>3036</v>
      </c>
      <c r="E168">
        <v>79</v>
      </c>
      <c r="F168">
        <v>10</v>
      </c>
      <c r="G168">
        <v>69</v>
      </c>
      <c r="H168" t="s">
        <v>3494</v>
      </c>
      <c r="I168" t="s">
        <v>3490</v>
      </c>
      <c r="J168" t="s">
        <v>2961</v>
      </c>
    </row>
    <row r="169" spans="1:10" x14ac:dyDescent="0.25">
      <c r="A169" t="s">
        <v>312</v>
      </c>
      <c r="B169" t="s">
        <v>75</v>
      </c>
      <c r="C169">
        <v>4</v>
      </c>
      <c r="D169" t="s">
        <v>3038</v>
      </c>
      <c r="E169">
        <v>76</v>
      </c>
      <c r="F169">
        <v>10</v>
      </c>
      <c r="G169">
        <v>66</v>
      </c>
      <c r="H169" t="s">
        <v>3494</v>
      </c>
      <c r="I169" t="s">
        <v>3490</v>
      </c>
      <c r="J169" t="s">
        <v>2961</v>
      </c>
    </row>
    <row r="170" spans="1:10" x14ac:dyDescent="0.25">
      <c r="A170" t="s">
        <v>312</v>
      </c>
      <c r="B170" t="s">
        <v>75</v>
      </c>
      <c r="C170">
        <v>4</v>
      </c>
      <c r="D170" t="s">
        <v>3040</v>
      </c>
      <c r="E170">
        <v>35</v>
      </c>
      <c r="F170">
        <v>10</v>
      </c>
      <c r="G170">
        <v>25</v>
      </c>
      <c r="H170" t="s">
        <v>3491</v>
      </c>
      <c r="I170" t="s">
        <v>3492</v>
      </c>
      <c r="J170" t="s">
        <v>2961</v>
      </c>
    </row>
    <row r="171" spans="1:10" x14ac:dyDescent="0.25">
      <c r="A171" t="s">
        <v>312</v>
      </c>
      <c r="B171" t="s">
        <v>75</v>
      </c>
      <c r="C171">
        <v>4</v>
      </c>
      <c r="D171" t="s">
        <v>3042</v>
      </c>
      <c r="E171">
        <v>50</v>
      </c>
      <c r="F171">
        <v>20</v>
      </c>
      <c r="G171">
        <v>30</v>
      </c>
      <c r="H171" t="s">
        <v>3493</v>
      </c>
      <c r="I171" t="s">
        <v>3490</v>
      </c>
      <c r="J171" t="s">
        <v>2961</v>
      </c>
    </row>
    <row r="172" spans="1:10" x14ac:dyDescent="0.25">
      <c r="A172" t="s">
        <v>318</v>
      </c>
      <c r="B172" t="s">
        <v>63</v>
      </c>
      <c r="C172">
        <v>6</v>
      </c>
      <c r="D172" t="s">
        <v>3414</v>
      </c>
      <c r="E172">
        <v>87</v>
      </c>
      <c r="F172">
        <v>30</v>
      </c>
      <c r="G172">
        <v>57</v>
      </c>
      <c r="H172" t="s">
        <v>196</v>
      </c>
      <c r="I172" t="s">
        <v>3490</v>
      </c>
      <c r="J172" t="s">
        <v>2932</v>
      </c>
    </row>
    <row r="173" spans="1:10" x14ac:dyDescent="0.25">
      <c r="A173" t="s">
        <v>318</v>
      </c>
      <c r="B173" t="s">
        <v>63</v>
      </c>
      <c r="C173">
        <v>6</v>
      </c>
      <c r="D173" t="s">
        <v>3416</v>
      </c>
      <c r="E173">
        <v>37</v>
      </c>
      <c r="F173">
        <v>12</v>
      </c>
      <c r="G173">
        <v>25</v>
      </c>
      <c r="H173" t="s">
        <v>3491</v>
      </c>
      <c r="I173" t="s">
        <v>3492</v>
      </c>
      <c r="J173" t="s">
        <v>2932</v>
      </c>
    </row>
    <row r="174" spans="1:10" x14ac:dyDescent="0.25">
      <c r="A174" t="s">
        <v>318</v>
      </c>
      <c r="B174" t="s">
        <v>63</v>
      </c>
      <c r="C174">
        <v>6</v>
      </c>
      <c r="D174" t="s">
        <v>3418</v>
      </c>
      <c r="E174">
        <v>66</v>
      </c>
      <c r="F174">
        <v>16</v>
      </c>
      <c r="G174">
        <v>50</v>
      </c>
      <c r="H174" t="s">
        <v>3489</v>
      </c>
      <c r="I174" t="s">
        <v>3490</v>
      </c>
      <c r="J174" t="s">
        <v>2932</v>
      </c>
    </row>
    <row r="175" spans="1:10" x14ac:dyDescent="0.25">
      <c r="A175" t="s">
        <v>318</v>
      </c>
      <c r="B175" t="s">
        <v>63</v>
      </c>
      <c r="C175">
        <v>6</v>
      </c>
      <c r="D175" t="s">
        <v>3420</v>
      </c>
      <c r="E175">
        <v>61</v>
      </c>
      <c r="F175">
        <v>13</v>
      </c>
      <c r="G175">
        <v>48</v>
      </c>
      <c r="H175" t="s">
        <v>3489</v>
      </c>
      <c r="I175" t="s">
        <v>3490</v>
      </c>
      <c r="J175" t="s">
        <v>2932</v>
      </c>
    </row>
    <row r="176" spans="1:10" x14ac:dyDescent="0.25">
      <c r="A176" t="s">
        <v>318</v>
      </c>
      <c r="B176" t="s">
        <v>63</v>
      </c>
      <c r="C176">
        <v>6</v>
      </c>
      <c r="D176" t="s">
        <v>3422</v>
      </c>
      <c r="E176">
        <v>88</v>
      </c>
      <c r="F176">
        <v>27</v>
      </c>
      <c r="G176">
        <v>61</v>
      </c>
      <c r="H176" t="s">
        <v>196</v>
      </c>
      <c r="I176" t="s">
        <v>3490</v>
      </c>
      <c r="J176" t="s">
        <v>2932</v>
      </c>
    </row>
    <row r="177" spans="1:10" x14ac:dyDescent="0.25">
      <c r="A177" t="s">
        <v>325</v>
      </c>
      <c r="B177" t="s">
        <v>30</v>
      </c>
      <c r="C177">
        <v>6</v>
      </c>
      <c r="D177" t="s">
        <v>3354</v>
      </c>
      <c r="E177">
        <v>44</v>
      </c>
      <c r="F177">
        <v>21</v>
      </c>
      <c r="G177">
        <v>23</v>
      </c>
      <c r="H177" t="s">
        <v>3491</v>
      </c>
      <c r="I177" t="s">
        <v>3492</v>
      </c>
      <c r="J177" t="s">
        <v>2895</v>
      </c>
    </row>
    <row r="178" spans="1:10" x14ac:dyDescent="0.25">
      <c r="A178" t="s">
        <v>325</v>
      </c>
      <c r="B178" t="s">
        <v>30</v>
      </c>
      <c r="C178">
        <v>6</v>
      </c>
      <c r="D178" t="s">
        <v>3356</v>
      </c>
      <c r="E178">
        <v>97</v>
      </c>
      <c r="F178">
        <v>30</v>
      </c>
      <c r="G178">
        <v>67</v>
      </c>
      <c r="H178" t="s">
        <v>3495</v>
      </c>
      <c r="I178" t="s">
        <v>3490</v>
      </c>
      <c r="J178" t="s">
        <v>2895</v>
      </c>
    </row>
    <row r="179" spans="1:10" x14ac:dyDescent="0.25">
      <c r="A179" t="s">
        <v>325</v>
      </c>
      <c r="B179" t="s">
        <v>30</v>
      </c>
      <c r="C179">
        <v>6</v>
      </c>
      <c r="D179" t="s">
        <v>3358</v>
      </c>
      <c r="E179">
        <v>50</v>
      </c>
      <c r="F179">
        <v>29</v>
      </c>
      <c r="G179">
        <v>21</v>
      </c>
      <c r="H179" t="s">
        <v>3493</v>
      </c>
      <c r="I179" t="s">
        <v>3490</v>
      </c>
      <c r="J179" t="s">
        <v>2895</v>
      </c>
    </row>
    <row r="180" spans="1:10" x14ac:dyDescent="0.25">
      <c r="A180" t="s">
        <v>325</v>
      </c>
      <c r="B180" t="s">
        <v>30</v>
      </c>
      <c r="C180">
        <v>6</v>
      </c>
      <c r="D180" t="s">
        <v>3360</v>
      </c>
      <c r="E180">
        <v>56</v>
      </c>
      <c r="F180">
        <v>14</v>
      </c>
      <c r="G180">
        <v>42</v>
      </c>
      <c r="H180" t="s">
        <v>3493</v>
      </c>
      <c r="I180" t="s">
        <v>3490</v>
      </c>
      <c r="J180" t="s">
        <v>2895</v>
      </c>
    </row>
    <row r="181" spans="1:10" x14ac:dyDescent="0.25">
      <c r="A181" t="s">
        <v>325</v>
      </c>
      <c r="B181" t="s">
        <v>30</v>
      </c>
      <c r="C181">
        <v>6</v>
      </c>
      <c r="D181" t="s">
        <v>3362</v>
      </c>
      <c r="E181">
        <v>64</v>
      </c>
      <c r="F181">
        <v>20</v>
      </c>
      <c r="G181">
        <v>44</v>
      </c>
      <c r="H181" t="s">
        <v>3489</v>
      </c>
      <c r="I181" t="s">
        <v>3490</v>
      </c>
      <c r="J181" t="s">
        <v>2895</v>
      </c>
    </row>
    <row r="182" spans="1:10" x14ac:dyDescent="0.25">
      <c r="A182" t="s">
        <v>333</v>
      </c>
      <c r="B182" t="s">
        <v>159</v>
      </c>
      <c r="C182">
        <v>8</v>
      </c>
      <c r="D182" t="s">
        <v>3114</v>
      </c>
      <c r="E182">
        <v>83</v>
      </c>
      <c r="F182">
        <v>13</v>
      </c>
      <c r="G182">
        <v>70</v>
      </c>
      <c r="H182" t="s">
        <v>196</v>
      </c>
      <c r="I182" t="s">
        <v>3490</v>
      </c>
      <c r="J182" t="s">
        <v>2902</v>
      </c>
    </row>
    <row r="183" spans="1:10" x14ac:dyDescent="0.25">
      <c r="A183" t="s">
        <v>333</v>
      </c>
      <c r="B183" t="s">
        <v>159</v>
      </c>
      <c r="C183">
        <v>8</v>
      </c>
      <c r="D183" t="s">
        <v>3116</v>
      </c>
      <c r="E183">
        <v>87</v>
      </c>
      <c r="F183">
        <v>26</v>
      </c>
      <c r="G183">
        <v>61</v>
      </c>
      <c r="H183" t="s">
        <v>196</v>
      </c>
      <c r="I183" t="s">
        <v>3490</v>
      </c>
      <c r="J183" t="s">
        <v>2902</v>
      </c>
    </row>
    <row r="184" spans="1:10" x14ac:dyDescent="0.25">
      <c r="A184" t="s">
        <v>333</v>
      </c>
      <c r="B184" t="s">
        <v>159</v>
      </c>
      <c r="C184">
        <v>8</v>
      </c>
      <c r="D184" t="s">
        <v>3118</v>
      </c>
      <c r="E184">
        <v>87</v>
      </c>
      <c r="F184">
        <v>19</v>
      </c>
      <c r="G184">
        <v>68</v>
      </c>
      <c r="H184" t="s">
        <v>196</v>
      </c>
      <c r="I184" t="s">
        <v>3490</v>
      </c>
      <c r="J184" t="s">
        <v>2902</v>
      </c>
    </row>
    <row r="185" spans="1:10" x14ac:dyDescent="0.25">
      <c r="A185" t="s">
        <v>333</v>
      </c>
      <c r="B185" t="s">
        <v>159</v>
      </c>
      <c r="C185">
        <v>8</v>
      </c>
      <c r="D185" t="s">
        <v>3120</v>
      </c>
      <c r="E185">
        <v>55</v>
      </c>
      <c r="F185">
        <v>19</v>
      </c>
      <c r="G185">
        <v>36</v>
      </c>
      <c r="H185" t="s">
        <v>3493</v>
      </c>
      <c r="I185" t="s">
        <v>3490</v>
      </c>
      <c r="J185" t="s">
        <v>2902</v>
      </c>
    </row>
    <row r="186" spans="1:10" x14ac:dyDescent="0.25">
      <c r="A186" t="s">
        <v>333</v>
      </c>
      <c r="B186" t="s">
        <v>159</v>
      </c>
      <c r="C186">
        <v>8</v>
      </c>
      <c r="D186" t="s">
        <v>3122</v>
      </c>
      <c r="E186">
        <v>40</v>
      </c>
      <c r="F186">
        <v>15</v>
      </c>
      <c r="G186">
        <v>25</v>
      </c>
      <c r="H186" t="s">
        <v>3491</v>
      </c>
      <c r="I186" t="s">
        <v>3492</v>
      </c>
      <c r="J186" t="s">
        <v>2902</v>
      </c>
    </row>
    <row r="187" spans="1:10" x14ac:dyDescent="0.25">
      <c r="A187" t="s">
        <v>341</v>
      </c>
      <c r="B187" t="s">
        <v>95</v>
      </c>
      <c r="C187">
        <v>4</v>
      </c>
      <c r="D187" t="s">
        <v>3214</v>
      </c>
      <c r="E187">
        <v>56</v>
      </c>
      <c r="F187">
        <v>27</v>
      </c>
      <c r="G187">
        <v>29</v>
      </c>
      <c r="H187" t="s">
        <v>3493</v>
      </c>
      <c r="I187" t="s">
        <v>3490</v>
      </c>
      <c r="J187" t="s">
        <v>2889</v>
      </c>
    </row>
    <row r="188" spans="1:10" x14ac:dyDescent="0.25">
      <c r="A188" t="s">
        <v>341</v>
      </c>
      <c r="B188" t="s">
        <v>95</v>
      </c>
      <c r="C188">
        <v>4</v>
      </c>
      <c r="D188" t="s">
        <v>3216</v>
      </c>
      <c r="E188">
        <v>91</v>
      </c>
      <c r="F188">
        <v>29</v>
      </c>
      <c r="G188">
        <v>62</v>
      </c>
      <c r="H188" t="s">
        <v>3495</v>
      </c>
      <c r="I188" t="s">
        <v>3490</v>
      </c>
      <c r="J188" t="s">
        <v>2889</v>
      </c>
    </row>
    <row r="189" spans="1:10" x14ac:dyDescent="0.25">
      <c r="A189" t="s">
        <v>341</v>
      </c>
      <c r="B189" t="s">
        <v>95</v>
      </c>
      <c r="C189">
        <v>4</v>
      </c>
      <c r="D189" t="s">
        <v>3218</v>
      </c>
      <c r="E189">
        <v>82</v>
      </c>
      <c r="F189">
        <v>28</v>
      </c>
      <c r="G189">
        <v>54</v>
      </c>
      <c r="H189" t="s">
        <v>196</v>
      </c>
      <c r="I189" t="s">
        <v>3490</v>
      </c>
      <c r="J189" t="s">
        <v>2889</v>
      </c>
    </row>
    <row r="190" spans="1:10" x14ac:dyDescent="0.25">
      <c r="A190" t="s">
        <v>341</v>
      </c>
      <c r="B190" t="s">
        <v>95</v>
      </c>
      <c r="C190">
        <v>4</v>
      </c>
      <c r="D190" t="s">
        <v>3220</v>
      </c>
      <c r="E190">
        <v>63</v>
      </c>
      <c r="F190">
        <v>25</v>
      </c>
      <c r="G190">
        <v>38</v>
      </c>
      <c r="H190" t="s">
        <v>3489</v>
      </c>
      <c r="I190" t="s">
        <v>3490</v>
      </c>
      <c r="J190" t="s">
        <v>2889</v>
      </c>
    </row>
    <row r="191" spans="1:10" x14ac:dyDescent="0.25">
      <c r="A191" t="s">
        <v>341</v>
      </c>
      <c r="B191" t="s">
        <v>95</v>
      </c>
      <c r="C191">
        <v>4</v>
      </c>
      <c r="D191" t="s">
        <v>3222</v>
      </c>
      <c r="E191">
        <v>78</v>
      </c>
      <c r="F191">
        <v>25</v>
      </c>
      <c r="G191">
        <v>53</v>
      </c>
      <c r="H191" t="s">
        <v>3494</v>
      </c>
      <c r="I191" t="s">
        <v>3490</v>
      </c>
      <c r="J191" t="s">
        <v>2889</v>
      </c>
    </row>
    <row r="192" spans="1:10" x14ac:dyDescent="0.25">
      <c r="A192" t="s">
        <v>349</v>
      </c>
      <c r="B192" t="s">
        <v>159</v>
      </c>
      <c r="C192">
        <v>8</v>
      </c>
      <c r="D192" t="s">
        <v>3114</v>
      </c>
      <c r="E192">
        <v>41</v>
      </c>
      <c r="F192">
        <v>12</v>
      </c>
      <c r="G192">
        <v>29</v>
      </c>
      <c r="H192" t="s">
        <v>3491</v>
      </c>
      <c r="I192" t="s">
        <v>3492</v>
      </c>
      <c r="J192" t="s">
        <v>2902</v>
      </c>
    </row>
    <row r="193" spans="1:10" x14ac:dyDescent="0.25">
      <c r="A193" t="s">
        <v>349</v>
      </c>
      <c r="B193" t="s">
        <v>159</v>
      </c>
      <c r="C193">
        <v>8</v>
      </c>
      <c r="D193" t="s">
        <v>3116</v>
      </c>
      <c r="E193">
        <v>83</v>
      </c>
      <c r="F193">
        <v>15</v>
      </c>
      <c r="G193">
        <v>68</v>
      </c>
      <c r="H193" t="s">
        <v>196</v>
      </c>
      <c r="I193" t="s">
        <v>3490</v>
      </c>
      <c r="J193" t="s">
        <v>2902</v>
      </c>
    </row>
    <row r="194" spans="1:10" x14ac:dyDescent="0.25">
      <c r="A194" t="s">
        <v>349</v>
      </c>
      <c r="B194" t="s">
        <v>159</v>
      </c>
      <c r="C194">
        <v>8</v>
      </c>
      <c r="D194" t="s">
        <v>3118</v>
      </c>
      <c r="E194">
        <v>71</v>
      </c>
      <c r="F194">
        <v>19</v>
      </c>
      <c r="G194">
        <v>52</v>
      </c>
      <c r="H194" t="s">
        <v>3494</v>
      </c>
      <c r="I194" t="s">
        <v>3490</v>
      </c>
      <c r="J194" t="s">
        <v>2902</v>
      </c>
    </row>
    <row r="195" spans="1:10" x14ac:dyDescent="0.25">
      <c r="A195" t="s">
        <v>349</v>
      </c>
      <c r="B195" t="s">
        <v>159</v>
      </c>
      <c r="C195">
        <v>8</v>
      </c>
      <c r="D195" t="s">
        <v>3120</v>
      </c>
      <c r="E195">
        <v>99</v>
      </c>
      <c r="F195">
        <v>29</v>
      </c>
      <c r="G195">
        <v>70</v>
      </c>
      <c r="H195" t="s">
        <v>3495</v>
      </c>
      <c r="I195" t="s">
        <v>3490</v>
      </c>
      <c r="J195" t="s">
        <v>2902</v>
      </c>
    </row>
    <row r="196" spans="1:10" x14ac:dyDescent="0.25">
      <c r="A196" t="s">
        <v>349</v>
      </c>
      <c r="B196" t="s">
        <v>159</v>
      </c>
      <c r="C196">
        <v>8</v>
      </c>
      <c r="D196" t="s">
        <v>3122</v>
      </c>
      <c r="E196">
        <v>51</v>
      </c>
      <c r="F196">
        <v>11</v>
      </c>
      <c r="G196">
        <v>40</v>
      </c>
      <c r="H196" t="s">
        <v>3493</v>
      </c>
      <c r="I196" t="s">
        <v>3490</v>
      </c>
      <c r="J196" t="s">
        <v>2902</v>
      </c>
    </row>
    <row r="197" spans="1:10" x14ac:dyDescent="0.25">
      <c r="A197" t="s">
        <v>356</v>
      </c>
      <c r="B197" t="s">
        <v>159</v>
      </c>
      <c r="C197">
        <v>6</v>
      </c>
      <c r="D197" t="s">
        <v>3114</v>
      </c>
      <c r="E197">
        <v>72</v>
      </c>
      <c r="F197">
        <v>22</v>
      </c>
      <c r="G197">
        <v>50</v>
      </c>
      <c r="H197" t="s">
        <v>3494</v>
      </c>
      <c r="I197" t="s">
        <v>3490</v>
      </c>
      <c r="J197" t="s">
        <v>2902</v>
      </c>
    </row>
    <row r="198" spans="1:10" x14ac:dyDescent="0.25">
      <c r="A198" t="s">
        <v>356</v>
      </c>
      <c r="B198" t="s">
        <v>159</v>
      </c>
      <c r="C198">
        <v>6</v>
      </c>
      <c r="D198" t="s">
        <v>3116</v>
      </c>
      <c r="E198">
        <v>63</v>
      </c>
      <c r="F198">
        <v>11</v>
      </c>
      <c r="G198">
        <v>52</v>
      </c>
      <c r="H198" t="s">
        <v>3489</v>
      </c>
      <c r="I198" t="s">
        <v>3490</v>
      </c>
      <c r="J198" t="s">
        <v>2902</v>
      </c>
    </row>
    <row r="199" spans="1:10" x14ac:dyDescent="0.25">
      <c r="A199" t="s">
        <v>356</v>
      </c>
      <c r="B199" t="s">
        <v>159</v>
      </c>
      <c r="C199">
        <v>6</v>
      </c>
      <c r="D199" t="s">
        <v>3118</v>
      </c>
      <c r="E199">
        <v>72</v>
      </c>
      <c r="F199">
        <v>23</v>
      </c>
      <c r="G199">
        <v>49</v>
      </c>
      <c r="H199" t="s">
        <v>3494</v>
      </c>
      <c r="I199" t="s">
        <v>3490</v>
      </c>
      <c r="J199" t="s">
        <v>2902</v>
      </c>
    </row>
    <row r="200" spans="1:10" x14ac:dyDescent="0.25">
      <c r="A200" t="s">
        <v>356</v>
      </c>
      <c r="B200" t="s">
        <v>159</v>
      </c>
      <c r="C200">
        <v>6</v>
      </c>
      <c r="D200" t="s">
        <v>3120</v>
      </c>
      <c r="E200">
        <v>32</v>
      </c>
      <c r="F200">
        <v>10</v>
      </c>
      <c r="G200">
        <v>22</v>
      </c>
      <c r="H200" t="s">
        <v>3491</v>
      </c>
      <c r="I200" t="s">
        <v>3492</v>
      </c>
      <c r="J200" t="s">
        <v>2902</v>
      </c>
    </row>
    <row r="201" spans="1:10" x14ac:dyDescent="0.25">
      <c r="A201" t="s">
        <v>356</v>
      </c>
      <c r="B201" t="s">
        <v>159</v>
      </c>
      <c r="C201">
        <v>6</v>
      </c>
      <c r="D201" t="s">
        <v>3122</v>
      </c>
      <c r="E201">
        <v>52</v>
      </c>
      <c r="F201">
        <v>29</v>
      </c>
      <c r="G201">
        <v>23</v>
      </c>
      <c r="H201" t="s">
        <v>3493</v>
      </c>
      <c r="I201" t="s">
        <v>3490</v>
      </c>
      <c r="J201" t="s">
        <v>2902</v>
      </c>
    </row>
    <row r="202" spans="1:10" x14ac:dyDescent="0.25">
      <c r="A202" t="s">
        <v>363</v>
      </c>
      <c r="B202" t="s">
        <v>122</v>
      </c>
      <c r="C202">
        <v>6</v>
      </c>
      <c r="D202" t="s">
        <v>3294</v>
      </c>
      <c r="E202">
        <v>72</v>
      </c>
      <c r="F202">
        <v>10</v>
      </c>
      <c r="G202">
        <v>62</v>
      </c>
      <c r="H202" t="s">
        <v>3494</v>
      </c>
      <c r="I202" t="s">
        <v>3490</v>
      </c>
      <c r="J202" t="s">
        <v>2919</v>
      </c>
    </row>
    <row r="203" spans="1:10" x14ac:dyDescent="0.25">
      <c r="A203" t="s">
        <v>363</v>
      </c>
      <c r="B203" t="s">
        <v>122</v>
      </c>
      <c r="C203">
        <v>6</v>
      </c>
      <c r="D203" t="s">
        <v>3296</v>
      </c>
      <c r="E203">
        <v>53</v>
      </c>
      <c r="F203">
        <v>18</v>
      </c>
      <c r="G203">
        <v>35</v>
      </c>
      <c r="H203" t="s">
        <v>3493</v>
      </c>
      <c r="I203" t="s">
        <v>3490</v>
      </c>
      <c r="J203" t="s">
        <v>2919</v>
      </c>
    </row>
    <row r="204" spans="1:10" x14ac:dyDescent="0.25">
      <c r="A204" t="s">
        <v>363</v>
      </c>
      <c r="B204" t="s">
        <v>122</v>
      </c>
      <c r="C204">
        <v>6</v>
      </c>
      <c r="D204" t="s">
        <v>3298</v>
      </c>
      <c r="E204">
        <v>64</v>
      </c>
      <c r="F204">
        <v>22</v>
      </c>
      <c r="G204">
        <v>42</v>
      </c>
      <c r="H204" t="s">
        <v>3489</v>
      </c>
      <c r="I204" t="s">
        <v>3490</v>
      </c>
      <c r="J204" t="s">
        <v>2919</v>
      </c>
    </row>
    <row r="205" spans="1:10" x14ac:dyDescent="0.25">
      <c r="A205" t="s">
        <v>363</v>
      </c>
      <c r="B205" t="s">
        <v>122</v>
      </c>
      <c r="C205">
        <v>6</v>
      </c>
      <c r="D205" t="s">
        <v>3300</v>
      </c>
      <c r="E205">
        <v>71</v>
      </c>
      <c r="F205">
        <v>30</v>
      </c>
      <c r="G205">
        <v>41</v>
      </c>
      <c r="H205" t="s">
        <v>3494</v>
      </c>
      <c r="I205" t="s">
        <v>3490</v>
      </c>
      <c r="J205" t="s">
        <v>2919</v>
      </c>
    </row>
    <row r="206" spans="1:10" x14ac:dyDescent="0.25">
      <c r="A206" t="s">
        <v>363</v>
      </c>
      <c r="B206" t="s">
        <v>122</v>
      </c>
      <c r="C206">
        <v>6</v>
      </c>
      <c r="D206" t="s">
        <v>3302</v>
      </c>
      <c r="E206">
        <v>55</v>
      </c>
      <c r="F206">
        <v>12</v>
      </c>
      <c r="G206">
        <v>43</v>
      </c>
      <c r="H206" t="s">
        <v>3493</v>
      </c>
      <c r="I206" t="s">
        <v>3490</v>
      </c>
      <c r="J206" t="s">
        <v>2919</v>
      </c>
    </row>
    <row r="207" spans="1:10" x14ac:dyDescent="0.25">
      <c r="A207" t="s">
        <v>372</v>
      </c>
      <c r="B207" t="s">
        <v>63</v>
      </c>
      <c r="C207">
        <v>4</v>
      </c>
      <c r="D207" t="s">
        <v>3394</v>
      </c>
      <c r="E207">
        <v>63</v>
      </c>
      <c r="F207">
        <v>26</v>
      </c>
      <c r="G207">
        <v>37</v>
      </c>
      <c r="H207" t="s">
        <v>3489</v>
      </c>
      <c r="I207" t="s">
        <v>3490</v>
      </c>
      <c r="J207" t="s">
        <v>2932</v>
      </c>
    </row>
    <row r="208" spans="1:10" x14ac:dyDescent="0.25">
      <c r="A208" t="s">
        <v>372</v>
      </c>
      <c r="B208" t="s">
        <v>63</v>
      </c>
      <c r="C208">
        <v>4</v>
      </c>
      <c r="D208" t="s">
        <v>3396</v>
      </c>
      <c r="E208">
        <v>55</v>
      </c>
      <c r="F208">
        <v>26</v>
      </c>
      <c r="G208">
        <v>29</v>
      </c>
      <c r="H208" t="s">
        <v>3493</v>
      </c>
      <c r="I208" t="s">
        <v>3490</v>
      </c>
      <c r="J208" t="s">
        <v>2932</v>
      </c>
    </row>
    <row r="209" spans="1:10" x14ac:dyDescent="0.25">
      <c r="A209" t="s">
        <v>372</v>
      </c>
      <c r="B209" t="s">
        <v>63</v>
      </c>
      <c r="C209">
        <v>4</v>
      </c>
      <c r="D209" t="s">
        <v>3398</v>
      </c>
      <c r="E209">
        <v>66</v>
      </c>
      <c r="F209">
        <v>22</v>
      </c>
      <c r="G209">
        <v>44</v>
      </c>
      <c r="H209" t="s">
        <v>3489</v>
      </c>
      <c r="I209" t="s">
        <v>3490</v>
      </c>
      <c r="J209" t="s">
        <v>2932</v>
      </c>
    </row>
    <row r="210" spans="1:10" x14ac:dyDescent="0.25">
      <c r="A210" t="s">
        <v>372</v>
      </c>
      <c r="B210" t="s">
        <v>63</v>
      </c>
      <c r="C210">
        <v>4</v>
      </c>
      <c r="D210" t="s">
        <v>3400</v>
      </c>
      <c r="E210">
        <v>55</v>
      </c>
      <c r="F210">
        <v>28</v>
      </c>
      <c r="G210">
        <v>27</v>
      </c>
      <c r="H210" t="s">
        <v>3493</v>
      </c>
      <c r="I210" t="s">
        <v>3490</v>
      </c>
      <c r="J210" t="s">
        <v>2932</v>
      </c>
    </row>
    <row r="211" spans="1:10" x14ac:dyDescent="0.25">
      <c r="A211" t="s">
        <v>372</v>
      </c>
      <c r="B211" t="s">
        <v>63</v>
      </c>
      <c r="C211">
        <v>4</v>
      </c>
      <c r="D211" t="s">
        <v>3402</v>
      </c>
      <c r="E211">
        <v>63</v>
      </c>
      <c r="F211">
        <v>17</v>
      </c>
      <c r="G211">
        <v>46</v>
      </c>
      <c r="H211" t="s">
        <v>3489</v>
      </c>
      <c r="I211" t="s">
        <v>3490</v>
      </c>
      <c r="J211" t="s">
        <v>2932</v>
      </c>
    </row>
    <row r="212" spans="1:10" x14ac:dyDescent="0.25">
      <c r="A212" t="s">
        <v>377</v>
      </c>
      <c r="B212" t="s">
        <v>30</v>
      </c>
      <c r="C212">
        <v>4</v>
      </c>
      <c r="D212" t="s">
        <v>3334</v>
      </c>
      <c r="E212">
        <v>51</v>
      </c>
      <c r="F212">
        <v>14</v>
      </c>
      <c r="G212">
        <v>37</v>
      </c>
      <c r="H212" t="s">
        <v>3493</v>
      </c>
      <c r="I212" t="s">
        <v>3490</v>
      </c>
      <c r="J212" t="s">
        <v>2895</v>
      </c>
    </row>
    <row r="213" spans="1:10" x14ac:dyDescent="0.25">
      <c r="A213" t="s">
        <v>377</v>
      </c>
      <c r="B213" t="s">
        <v>30</v>
      </c>
      <c r="C213">
        <v>4</v>
      </c>
      <c r="D213" t="s">
        <v>3336</v>
      </c>
      <c r="E213">
        <v>60</v>
      </c>
      <c r="F213">
        <v>26</v>
      </c>
      <c r="G213">
        <v>34</v>
      </c>
      <c r="H213" t="s">
        <v>3489</v>
      </c>
      <c r="I213" t="s">
        <v>3490</v>
      </c>
      <c r="J213" t="s">
        <v>2895</v>
      </c>
    </row>
    <row r="214" spans="1:10" x14ac:dyDescent="0.25">
      <c r="A214" t="s">
        <v>377</v>
      </c>
      <c r="B214" t="s">
        <v>30</v>
      </c>
      <c r="C214">
        <v>4</v>
      </c>
      <c r="D214" t="s">
        <v>3338</v>
      </c>
      <c r="E214">
        <v>63</v>
      </c>
      <c r="F214">
        <v>20</v>
      </c>
      <c r="G214">
        <v>43</v>
      </c>
      <c r="H214" t="s">
        <v>3489</v>
      </c>
      <c r="I214" t="s">
        <v>3490</v>
      </c>
      <c r="J214" t="s">
        <v>2895</v>
      </c>
    </row>
    <row r="215" spans="1:10" x14ac:dyDescent="0.25">
      <c r="A215" t="s">
        <v>377</v>
      </c>
      <c r="B215" t="s">
        <v>30</v>
      </c>
      <c r="C215">
        <v>4</v>
      </c>
      <c r="D215" t="s">
        <v>3340</v>
      </c>
      <c r="E215">
        <v>54</v>
      </c>
      <c r="F215">
        <v>11</v>
      </c>
      <c r="G215">
        <v>43</v>
      </c>
      <c r="H215" t="s">
        <v>3493</v>
      </c>
      <c r="I215" t="s">
        <v>3490</v>
      </c>
      <c r="J215" t="s">
        <v>2895</v>
      </c>
    </row>
    <row r="216" spans="1:10" x14ac:dyDescent="0.25">
      <c r="A216" t="s">
        <v>377</v>
      </c>
      <c r="B216" t="s">
        <v>30</v>
      </c>
      <c r="C216">
        <v>4</v>
      </c>
      <c r="D216" t="s">
        <v>3342</v>
      </c>
      <c r="E216">
        <v>49</v>
      </c>
      <c r="F216">
        <v>19</v>
      </c>
      <c r="G216">
        <v>30</v>
      </c>
      <c r="H216" t="s">
        <v>3491</v>
      </c>
      <c r="I216" t="s">
        <v>3492</v>
      </c>
      <c r="J216" t="s">
        <v>2895</v>
      </c>
    </row>
    <row r="217" spans="1:10" x14ac:dyDescent="0.25">
      <c r="A217" t="s">
        <v>385</v>
      </c>
      <c r="B217" t="s">
        <v>212</v>
      </c>
      <c r="C217">
        <v>4</v>
      </c>
      <c r="D217" t="s">
        <v>3454</v>
      </c>
      <c r="E217">
        <v>72</v>
      </c>
      <c r="F217">
        <v>28</v>
      </c>
      <c r="G217">
        <v>44</v>
      </c>
      <c r="H217" t="s">
        <v>3494</v>
      </c>
      <c r="I217" t="s">
        <v>3490</v>
      </c>
      <c r="J217" t="s">
        <v>3001</v>
      </c>
    </row>
    <row r="218" spans="1:10" x14ac:dyDescent="0.25">
      <c r="A218" t="s">
        <v>385</v>
      </c>
      <c r="B218" t="s">
        <v>212</v>
      </c>
      <c r="C218">
        <v>4</v>
      </c>
      <c r="D218" t="s">
        <v>3456</v>
      </c>
      <c r="E218">
        <v>66</v>
      </c>
      <c r="F218">
        <v>11</v>
      </c>
      <c r="G218">
        <v>55</v>
      </c>
      <c r="H218" t="s">
        <v>3489</v>
      </c>
      <c r="I218" t="s">
        <v>3490</v>
      </c>
      <c r="J218" t="s">
        <v>3001</v>
      </c>
    </row>
    <row r="219" spans="1:10" x14ac:dyDescent="0.25">
      <c r="A219" t="s">
        <v>385</v>
      </c>
      <c r="B219" t="s">
        <v>212</v>
      </c>
      <c r="C219">
        <v>4</v>
      </c>
      <c r="D219" t="s">
        <v>3458</v>
      </c>
      <c r="E219">
        <v>71</v>
      </c>
      <c r="F219">
        <v>11</v>
      </c>
      <c r="G219">
        <v>60</v>
      </c>
      <c r="H219" t="s">
        <v>3494</v>
      </c>
      <c r="I219" t="s">
        <v>3490</v>
      </c>
      <c r="J219" t="s">
        <v>3001</v>
      </c>
    </row>
    <row r="220" spans="1:10" x14ac:dyDescent="0.25">
      <c r="A220" t="s">
        <v>385</v>
      </c>
      <c r="B220" t="s">
        <v>212</v>
      </c>
      <c r="C220">
        <v>4</v>
      </c>
      <c r="D220" t="s">
        <v>3460</v>
      </c>
      <c r="E220">
        <v>48</v>
      </c>
      <c r="F220">
        <v>25</v>
      </c>
      <c r="G220">
        <v>23</v>
      </c>
      <c r="H220" t="s">
        <v>3491</v>
      </c>
      <c r="I220" t="s">
        <v>3492</v>
      </c>
      <c r="J220" t="s">
        <v>3001</v>
      </c>
    </row>
    <row r="221" spans="1:10" x14ac:dyDescent="0.25">
      <c r="A221" t="s">
        <v>385</v>
      </c>
      <c r="B221" t="s">
        <v>212</v>
      </c>
      <c r="C221">
        <v>4</v>
      </c>
      <c r="D221" t="s">
        <v>3462</v>
      </c>
      <c r="E221">
        <v>56</v>
      </c>
      <c r="F221">
        <v>23</v>
      </c>
      <c r="G221">
        <v>33</v>
      </c>
      <c r="H221" t="s">
        <v>3493</v>
      </c>
      <c r="I221" t="s">
        <v>3490</v>
      </c>
      <c r="J221" t="s">
        <v>3001</v>
      </c>
    </row>
    <row r="222" spans="1:10" x14ac:dyDescent="0.25">
      <c r="A222" t="s">
        <v>392</v>
      </c>
      <c r="B222" t="s">
        <v>212</v>
      </c>
      <c r="C222">
        <v>8</v>
      </c>
      <c r="D222" t="s">
        <v>3474</v>
      </c>
      <c r="E222">
        <v>63</v>
      </c>
      <c r="F222">
        <v>17</v>
      </c>
      <c r="G222">
        <v>46</v>
      </c>
      <c r="H222" t="s">
        <v>3489</v>
      </c>
      <c r="I222" t="s">
        <v>3490</v>
      </c>
      <c r="J222" t="s">
        <v>3001</v>
      </c>
    </row>
    <row r="223" spans="1:10" x14ac:dyDescent="0.25">
      <c r="A223" t="s">
        <v>392</v>
      </c>
      <c r="B223" t="s">
        <v>212</v>
      </c>
      <c r="C223">
        <v>8</v>
      </c>
      <c r="D223" t="s">
        <v>3476</v>
      </c>
      <c r="E223">
        <v>88</v>
      </c>
      <c r="F223">
        <v>29</v>
      </c>
      <c r="G223">
        <v>59</v>
      </c>
      <c r="H223" t="s">
        <v>196</v>
      </c>
      <c r="I223" t="s">
        <v>3490</v>
      </c>
      <c r="J223" t="s">
        <v>3001</v>
      </c>
    </row>
    <row r="224" spans="1:10" x14ac:dyDescent="0.25">
      <c r="A224" t="s">
        <v>392</v>
      </c>
      <c r="B224" t="s">
        <v>212</v>
      </c>
      <c r="C224">
        <v>8</v>
      </c>
      <c r="D224" t="s">
        <v>3478</v>
      </c>
      <c r="E224">
        <v>76</v>
      </c>
      <c r="F224">
        <v>27</v>
      </c>
      <c r="G224">
        <v>49</v>
      </c>
      <c r="H224" t="s">
        <v>3494</v>
      </c>
      <c r="I224" t="s">
        <v>3490</v>
      </c>
      <c r="J224" t="s">
        <v>3001</v>
      </c>
    </row>
    <row r="225" spans="1:10" x14ac:dyDescent="0.25">
      <c r="A225" t="s">
        <v>392</v>
      </c>
      <c r="B225" t="s">
        <v>212</v>
      </c>
      <c r="C225">
        <v>8</v>
      </c>
      <c r="D225" t="s">
        <v>3480</v>
      </c>
      <c r="E225">
        <v>71</v>
      </c>
      <c r="F225">
        <v>29</v>
      </c>
      <c r="G225">
        <v>42</v>
      </c>
      <c r="H225" t="s">
        <v>3494</v>
      </c>
      <c r="I225" t="s">
        <v>3490</v>
      </c>
      <c r="J225" t="s">
        <v>3001</v>
      </c>
    </row>
    <row r="226" spans="1:10" x14ac:dyDescent="0.25">
      <c r="A226" t="s">
        <v>392</v>
      </c>
      <c r="B226" t="s">
        <v>212</v>
      </c>
      <c r="C226">
        <v>8</v>
      </c>
      <c r="D226" t="s">
        <v>3482</v>
      </c>
      <c r="E226">
        <v>79</v>
      </c>
      <c r="F226">
        <v>10</v>
      </c>
      <c r="G226">
        <v>69</v>
      </c>
      <c r="H226" t="s">
        <v>3494</v>
      </c>
      <c r="I226" t="s">
        <v>3490</v>
      </c>
      <c r="J226" t="s">
        <v>3001</v>
      </c>
    </row>
    <row r="227" spans="1:10" x14ac:dyDescent="0.25">
      <c r="A227" t="s">
        <v>399</v>
      </c>
      <c r="B227" t="s">
        <v>30</v>
      </c>
      <c r="C227">
        <v>4</v>
      </c>
      <c r="D227" t="s">
        <v>3334</v>
      </c>
      <c r="E227">
        <v>98</v>
      </c>
      <c r="F227">
        <v>29</v>
      </c>
      <c r="G227">
        <v>69</v>
      </c>
      <c r="H227" t="s">
        <v>3495</v>
      </c>
      <c r="I227" t="s">
        <v>3490</v>
      </c>
      <c r="J227" t="s">
        <v>2895</v>
      </c>
    </row>
    <row r="228" spans="1:10" x14ac:dyDescent="0.25">
      <c r="A228" t="s">
        <v>399</v>
      </c>
      <c r="B228" t="s">
        <v>30</v>
      </c>
      <c r="C228">
        <v>4</v>
      </c>
      <c r="D228" t="s">
        <v>3336</v>
      </c>
      <c r="E228">
        <v>83</v>
      </c>
      <c r="F228">
        <v>30</v>
      </c>
      <c r="G228">
        <v>53</v>
      </c>
      <c r="H228" t="s">
        <v>196</v>
      </c>
      <c r="I228" t="s">
        <v>3490</v>
      </c>
      <c r="J228" t="s">
        <v>2895</v>
      </c>
    </row>
    <row r="229" spans="1:10" x14ac:dyDescent="0.25">
      <c r="A229" t="s">
        <v>399</v>
      </c>
      <c r="B229" t="s">
        <v>30</v>
      </c>
      <c r="C229">
        <v>4</v>
      </c>
      <c r="D229" t="s">
        <v>3338</v>
      </c>
      <c r="E229">
        <v>43</v>
      </c>
      <c r="F229">
        <v>15</v>
      </c>
      <c r="G229">
        <v>28</v>
      </c>
      <c r="H229" t="s">
        <v>3491</v>
      </c>
      <c r="I229" t="s">
        <v>3492</v>
      </c>
      <c r="J229" t="s">
        <v>2895</v>
      </c>
    </row>
    <row r="230" spans="1:10" x14ac:dyDescent="0.25">
      <c r="A230" t="s">
        <v>399</v>
      </c>
      <c r="B230" t="s">
        <v>30</v>
      </c>
      <c r="C230">
        <v>4</v>
      </c>
      <c r="D230" t="s">
        <v>3340</v>
      </c>
      <c r="E230">
        <v>35</v>
      </c>
      <c r="F230">
        <v>12</v>
      </c>
      <c r="G230">
        <v>23</v>
      </c>
      <c r="H230" t="s">
        <v>3491</v>
      </c>
      <c r="I230" t="s">
        <v>3492</v>
      </c>
      <c r="J230" t="s">
        <v>2895</v>
      </c>
    </row>
    <row r="231" spans="1:10" x14ac:dyDescent="0.25">
      <c r="A231" t="s">
        <v>399</v>
      </c>
      <c r="B231" t="s">
        <v>30</v>
      </c>
      <c r="C231">
        <v>4</v>
      </c>
      <c r="D231" t="s">
        <v>3342</v>
      </c>
      <c r="E231">
        <v>41</v>
      </c>
      <c r="F231">
        <v>18</v>
      </c>
      <c r="G231">
        <v>23</v>
      </c>
      <c r="H231" t="s">
        <v>3491</v>
      </c>
      <c r="I231" t="s">
        <v>3492</v>
      </c>
      <c r="J231" t="s">
        <v>2895</v>
      </c>
    </row>
    <row r="232" spans="1:10" x14ac:dyDescent="0.25">
      <c r="A232" t="s">
        <v>407</v>
      </c>
      <c r="B232" t="s">
        <v>105</v>
      </c>
      <c r="C232">
        <v>6</v>
      </c>
      <c r="D232" t="s">
        <v>3174</v>
      </c>
      <c r="E232">
        <v>58</v>
      </c>
      <c r="F232">
        <v>13</v>
      </c>
      <c r="G232">
        <v>45</v>
      </c>
      <c r="H232" t="s">
        <v>3493</v>
      </c>
      <c r="I232" t="s">
        <v>3490</v>
      </c>
      <c r="J232" t="s">
        <v>2908</v>
      </c>
    </row>
    <row r="233" spans="1:10" x14ac:dyDescent="0.25">
      <c r="A233" t="s">
        <v>407</v>
      </c>
      <c r="B233" t="s">
        <v>105</v>
      </c>
      <c r="C233">
        <v>6</v>
      </c>
      <c r="D233" t="s">
        <v>3176</v>
      </c>
      <c r="E233">
        <v>71</v>
      </c>
      <c r="F233">
        <v>18</v>
      </c>
      <c r="G233">
        <v>53</v>
      </c>
      <c r="H233" t="s">
        <v>3494</v>
      </c>
      <c r="I233" t="s">
        <v>3490</v>
      </c>
      <c r="J233" t="s">
        <v>2908</v>
      </c>
    </row>
    <row r="234" spans="1:10" x14ac:dyDescent="0.25">
      <c r="A234" t="s">
        <v>407</v>
      </c>
      <c r="B234" t="s">
        <v>105</v>
      </c>
      <c r="C234">
        <v>6</v>
      </c>
      <c r="D234" t="s">
        <v>3178</v>
      </c>
      <c r="E234">
        <v>68</v>
      </c>
      <c r="F234">
        <v>13</v>
      </c>
      <c r="G234">
        <v>55</v>
      </c>
      <c r="H234" t="s">
        <v>3489</v>
      </c>
      <c r="I234" t="s">
        <v>3490</v>
      </c>
      <c r="J234" t="s">
        <v>2908</v>
      </c>
    </row>
    <row r="235" spans="1:10" x14ac:dyDescent="0.25">
      <c r="A235" t="s">
        <v>407</v>
      </c>
      <c r="B235" t="s">
        <v>105</v>
      </c>
      <c r="C235">
        <v>6</v>
      </c>
      <c r="D235" t="s">
        <v>3180</v>
      </c>
      <c r="E235">
        <v>93</v>
      </c>
      <c r="F235">
        <v>26</v>
      </c>
      <c r="G235">
        <v>67</v>
      </c>
      <c r="H235" t="s">
        <v>3495</v>
      </c>
      <c r="I235" t="s">
        <v>3490</v>
      </c>
      <c r="J235" t="s">
        <v>2908</v>
      </c>
    </row>
    <row r="236" spans="1:10" x14ac:dyDescent="0.25">
      <c r="A236" t="s">
        <v>407</v>
      </c>
      <c r="B236" t="s">
        <v>105</v>
      </c>
      <c r="C236">
        <v>6</v>
      </c>
      <c r="D236" t="s">
        <v>3182</v>
      </c>
      <c r="E236">
        <v>46</v>
      </c>
      <c r="F236">
        <v>10</v>
      </c>
      <c r="G236">
        <v>36</v>
      </c>
      <c r="H236" t="s">
        <v>3491</v>
      </c>
      <c r="I236" t="s">
        <v>3492</v>
      </c>
      <c r="J236" t="s">
        <v>2908</v>
      </c>
    </row>
    <row r="237" spans="1:10" x14ac:dyDescent="0.25">
      <c r="A237" t="s">
        <v>415</v>
      </c>
      <c r="B237" t="s">
        <v>63</v>
      </c>
      <c r="C237">
        <v>8</v>
      </c>
      <c r="D237" t="s">
        <v>3414</v>
      </c>
      <c r="E237">
        <v>96</v>
      </c>
      <c r="F237">
        <v>30</v>
      </c>
      <c r="G237">
        <v>66</v>
      </c>
      <c r="H237" t="s">
        <v>3495</v>
      </c>
      <c r="I237" t="s">
        <v>3490</v>
      </c>
      <c r="J237" t="s">
        <v>2932</v>
      </c>
    </row>
    <row r="238" spans="1:10" x14ac:dyDescent="0.25">
      <c r="A238" t="s">
        <v>415</v>
      </c>
      <c r="B238" t="s">
        <v>63</v>
      </c>
      <c r="C238">
        <v>8</v>
      </c>
      <c r="D238" t="s">
        <v>3416</v>
      </c>
      <c r="E238">
        <v>79</v>
      </c>
      <c r="F238">
        <v>18</v>
      </c>
      <c r="G238">
        <v>61</v>
      </c>
      <c r="H238" t="s">
        <v>3494</v>
      </c>
      <c r="I238" t="s">
        <v>3490</v>
      </c>
      <c r="J238" t="s">
        <v>2932</v>
      </c>
    </row>
    <row r="239" spans="1:10" x14ac:dyDescent="0.25">
      <c r="A239" t="s">
        <v>415</v>
      </c>
      <c r="B239" t="s">
        <v>63</v>
      </c>
      <c r="C239">
        <v>8</v>
      </c>
      <c r="D239" t="s">
        <v>3418</v>
      </c>
      <c r="E239">
        <v>70</v>
      </c>
      <c r="F239">
        <v>15</v>
      </c>
      <c r="G239">
        <v>55</v>
      </c>
      <c r="H239" t="s">
        <v>3494</v>
      </c>
      <c r="I239" t="s">
        <v>3490</v>
      </c>
      <c r="J239" t="s">
        <v>2932</v>
      </c>
    </row>
    <row r="240" spans="1:10" x14ac:dyDescent="0.25">
      <c r="A240" t="s">
        <v>415</v>
      </c>
      <c r="B240" t="s">
        <v>63</v>
      </c>
      <c r="C240">
        <v>8</v>
      </c>
      <c r="D240" t="s">
        <v>3420</v>
      </c>
      <c r="E240">
        <v>76</v>
      </c>
      <c r="F240">
        <v>25</v>
      </c>
      <c r="G240">
        <v>51</v>
      </c>
      <c r="H240" t="s">
        <v>3494</v>
      </c>
      <c r="I240" t="s">
        <v>3490</v>
      </c>
      <c r="J240" t="s">
        <v>2932</v>
      </c>
    </row>
    <row r="241" spans="1:10" x14ac:dyDescent="0.25">
      <c r="A241" t="s">
        <v>415</v>
      </c>
      <c r="B241" t="s">
        <v>63</v>
      </c>
      <c r="C241">
        <v>8</v>
      </c>
      <c r="D241" t="s">
        <v>3422</v>
      </c>
      <c r="E241">
        <v>70</v>
      </c>
      <c r="F241">
        <v>17</v>
      </c>
      <c r="G241">
        <v>53</v>
      </c>
      <c r="H241" t="s">
        <v>3494</v>
      </c>
      <c r="I241" t="s">
        <v>3490</v>
      </c>
      <c r="J241" t="s">
        <v>2932</v>
      </c>
    </row>
    <row r="242" spans="1:10" x14ac:dyDescent="0.25">
      <c r="A242" t="s">
        <v>423</v>
      </c>
      <c r="B242" t="s">
        <v>30</v>
      </c>
      <c r="C242">
        <v>8</v>
      </c>
      <c r="D242" t="s">
        <v>3354</v>
      </c>
      <c r="E242">
        <v>60</v>
      </c>
      <c r="F242">
        <v>16</v>
      </c>
      <c r="G242">
        <v>44</v>
      </c>
      <c r="H242" t="s">
        <v>3489</v>
      </c>
      <c r="I242" t="s">
        <v>3490</v>
      </c>
      <c r="J242" t="s">
        <v>2895</v>
      </c>
    </row>
    <row r="243" spans="1:10" x14ac:dyDescent="0.25">
      <c r="A243" t="s">
        <v>423</v>
      </c>
      <c r="B243" t="s">
        <v>30</v>
      </c>
      <c r="C243">
        <v>8</v>
      </c>
      <c r="D243" t="s">
        <v>3356</v>
      </c>
      <c r="E243">
        <v>69</v>
      </c>
      <c r="F243">
        <v>16</v>
      </c>
      <c r="G243">
        <v>53</v>
      </c>
      <c r="H243" t="s">
        <v>3489</v>
      </c>
      <c r="I243" t="s">
        <v>3490</v>
      </c>
      <c r="J243" t="s">
        <v>2895</v>
      </c>
    </row>
    <row r="244" spans="1:10" x14ac:dyDescent="0.25">
      <c r="A244" t="s">
        <v>423</v>
      </c>
      <c r="B244" t="s">
        <v>30</v>
      </c>
      <c r="C244">
        <v>8</v>
      </c>
      <c r="D244" t="s">
        <v>3358</v>
      </c>
      <c r="E244">
        <v>54</v>
      </c>
      <c r="F244">
        <v>30</v>
      </c>
      <c r="G244">
        <v>24</v>
      </c>
      <c r="H244" t="s">
        <v>3493</v>
      </c>
      <c r="I244" t="s">
        <v>3490</v>
      </c>
      <c r="J244" t="s">
        <v>2895</v>
      </c>
    </row>
    <row r="245" spans="1:10" x14ac:dyDescent="0.25">
      <c r="A245" t="s">
        <v>423</v>
      </c>
      <c r="B245" t="s">
        <v>30</v>
      </c>
      <c r="C245">
        <v>8</v>
      </c>
      <c r="D245" t="s">
        <v>3360</v>
      </c>
      <c r="E245">
        <v>59</v>
      </c>
      <c r="F245">
        <v>22</v>
      </c>
      <c r="G245">
        <v>37</v>
      </c>
      <c r="H245" t="s">
        <v>3493</v>
      </c>
      <c r="I245" t="s">
        <v>3490</v>
      </c>
      <c r="J245" t="s">
        <v>2895</v>
      </c>
    </row>
    <row r="246" spans="1:10" x14ac:dyDescent="0.25">
      <c r="A246" t="s">
        <v>423</v>
      </c>
      <c r="B246" t="s">
        <v>30</v>
      </c>
      <c r="C246">
        <v>8</v>
      </c>
      <c r="D246" t="s">
        <v>3362</v>
      </c>
      <c r="E246">
        <v>46</v>
      </c>
      <c r="F246">
        <v>17</v>
      </c>
      <c r="G246">
        <v>29</v>
      </c>
      <c r="H246" t="s">
        <v>3491</v>
      </c>
      <c r="I246" t="s">
        <v>3492</v>
      </c>
      <c r="J246" t="s">
        <v>2895</v>
      </c>
    </row>
    <row r="247" spans="1:10" x14ac:dyDescent="0.25">
      <c r="A247" t="s">
        <v>429</v>
      </c>
      <c r="B247" t="s">
        <v>212</v>
      </c>
      <c r="C247">
        <v>8</v>
      </c>
      <c r="D247" t="s">
        <v>3474</v>
      </c>
      <c r="E247">
        <v>41</v>
      </c>
      <c r="F247">
        <v>12</v>
      </c>
      <c r="G247">
        <v>29</v>
      </c>
      <c r="H247" t="s">
        <v>3491</v>
      </c>
      <c r="I247" t="s">
        <v>3492</v>
      </c>
      <c r="J247" t="s">
        <v>3001</v>
      </c>
    </row>
    <row r="248" spans="1:10" x14ac:dyDescent="0.25">
      <c r="A248" t="s">
        <v>429</v>
      </c>
      <c r="B248" t="s">
        <v>212</v>
      </c>
      <c r="C248">
        <v>8</v>
      </c>
      <c r="D248" t="s">
        <v>3476</v>
      </c>
      <c r="E248">
        <v>81</v>
      </c>
      <c r="F248">
        <v>22</v>
      </c>
      <c r="G248">
        <v>59</v>
      </c>
      <c r="H248" t="s">
        <v>196</v>
      </c>
      <c r="I248" t="s">
        <v>3490</v>
      </c>
      <c r="J248" t="s">
        <v>3001</v>
      </c>
    </row>
    <row r="249" spans="1:10" x14ac:dyDescent="0.25">
      <c r="A249" t="s">
        <v>429</v>
      </c>
      <c r="B249" t="s">
        <v>212</v>
      </c>
      <c r="C249">
        <v>8</v>
      </c>
      <c r="D249" t="s">
        <v>3478</v>
      </c>
      <c r="E249">
        <v>85</v>
      </c>
      <c r="F249">
        <v>19</v>
      </c>
      <c r="G249">
        <v>66</v>
      </c>
      <c r="H249" t="s">
        <v>196</v>
      </c>
      <c r="I249" t="s">
        <v>3490</v>
      </c>
      <c r="J249" t="s">
        <v>3001</v>
      </c>
    </row>
    <row r="250" spans="1:10" x14ac:dyDescent="0.25">
      <c r="A250" t="s">
        <v>429</v>
      </c>
      <c r="B250" t="s">
        <v>212</v>
      </c>
      <c r="C250">
        <v>8</v>
      </c>
      <c r="D250" t="s">
        <v>3480</v>
      </c>
      <c r="E250">
        <v>68</v>
      </c>
      <c r="F250">
        <v>15</v>
      </c>
      <c r="G250">
        <v>53</v>
      </c>
      <c r="H250" t="s">
        <v>3489</v>
      </c>
      <c r="I250" t="s">
        <v>3490</v>
      </c>
      <c r="J250" t="s">
        <v>3001</v>
      </c>
    </row>
    <row r="251" spans="1:10" x14ac:dyDescent="0.25">
      <c r="A251" t="s">
        <v>429</v>
      </c>
      <c r="B251" t="s">
        <v>212</v>
      </c>
      <c r="C251">
        <v>8</v>
      </c>
      <c r="D251" t="s">
        <v>3482</v>
      </c>
      <c r="E251">
        <v>89</v>
      </c>
      <c r="F251">
        <v>28</v>
      </c>
      <c r="G251">
        <v>61</v>
      </c>
      <c r="H251" t="s">
        <v>196</v>
      </c>
      <c r="I251" t="s">
        <v>3490</v>
      </c>
      <c r="J251" t="s">
        <v>3001</v>
      </c>
    </row>
    <row r="252" spans="1:10" x14ac:dyDescent="0.25">
      <c r="A252" t="s">
        <v>436</v>
      </c>
      <c r="B252" t="s">
        <v>212</v>
      </c>
      <c r="C252">
        <v>8</v>
      </c>
      <c r="D252" t="s">
        <v>3474</v>
      </c>
      <c r="E252">
        <v>65</v>
      </c>
      <c r="F252">
        <v>19</v>
      </c>
      <c r="G252">
        <v>46</v>
      </c>
      <c r="H252" t="s">
        <v>3489</v>
      </c>
      <c r="I252" t="s">
        <v>3490</v>
      </c>
      <c r="J252" t="s">
        <v>3001</v>
      </c>
    </row>
    <row r="253" spans="1:10" x14ac:dyDescent="0.25">
      <c r="A253" t="s">
        <v>436</v>
      </c>
      <c r="B253" t="s">
        <v>212</v>
      </c>
      <c r="C253">
        <v>8</v>
      </c>
      <c r="D253" t="s">
        <v>3476</v>
      </c>
      <c r="E253">
        <v>49</v>
      </c>
      <c r="F253">
        <v>19</v>
      </c>
      <c r="G253">
        <v>30</v>
      </c>
      <c r="H253" t="s">
        <v>3491</v>
      </c>
      <c r="I253" t="s">
        <v>3492</v>
      </c>
      <c r="J253" t="s">
        <v>3001</v>
      </c>
    </row>
    <row r="254" spans="1:10" x14ac:dyDescent="0.25">
      <c r="A254" t="s">
        <v>436</v>
      </c>
      <c r="B254" t="s">
        <v>212</v>
      </c>
      <c r="C254">
        <v>8</v>
      </c>
      <c r="D254" t="s">
        <v>3478</v>
      </c>
      <c r="E254">
        <v>45</v>
      </c>
      <c r="F254">
        <v>10</v>
      </c>
      <c r="G254">
        <v>35</v>
      </c>
      <c r="H254" t="s">
        <v>3491</v>
      </c>
      <c r="I254" t="s">
        <v>3492</v>
      </c>
      <c r="J254" t="s">
        <v>3001</v>
      </c>
    </row>
    <row r="255" spans="1:10" x14ac:dyDescent="0.25">
      <c r="A255" t="s">
        <v>436</v>
      </c>
      <c r="B255" t="s">
        <v>212</v>
      </c>
      <c r="C255">
        <v>8</v>
      </c>
      <c r="D255" t="s">
        <v>3480</v>
      </c>
      <c r="E255">
        <v>91</v>
      </c>
      <c r="F255">
        <v>23</v>
      </c>
      <c r="G255">
        <v>68</v>
      </c>
      <c r="H255" t="s">
        <v>3495</v>
      </c>
      <c r="I255" t="s">
        <v>3490</v>
      </c>
      <c r="J255" t="s">
        <v>3001</v>
      </c>
    </row>
    <row r="256" spans="1:10" x14ac:dyDescent="0.25">
      <c r="A256" t="s">
        <v>436</v>
      </c>
      <c r="B256" t="s">
        <v>212</v>
      </c>
      <c r="C256">
        <v>8</v>
      </c>
      <c r="D256" t="s">
        <v>3482</v>
      </c>
      <c r="E256">
        <v>57</v>
      </c>
      <c r="F256">
        <v>14</v>
      </c>
      <c r="G256">
        <v>43</v>
      </c>
      <c r="H256" t="s">
        <v>3493</v>
      </c>
      <c r="I256" t="s">
        <v>3490</v>
      </c>
      <c r="J256" t="s">
        <v>3001</v>
      </c>
    </row>
    <row r="257" spans="1:10" x14ac:dyDescent="0.25">
      <c r="A257" t="s">
        <v>443</v>
      </c>
      <c r="B257" t="s">
        <v>212</v>
      </c>
      <c r="C257">
        <v>8</v>
      </c>
      <c r="D257" t="s">
        <v>3474</v>
      </c>
      <c r="E257">
        <v>73</v>
      </c>
      <c r="F257">
        <v>26</v>
      </c>
      <c r="G257">
        <v>47</v>
      </c>
      <c r="H257" t="s">
        <v>3494</v>
      </c>
      <c r="I257" t="s">
        <v>3490</v>
      </c>
      <c r="J257" t="s">
        <v>3001</v>
      </c>
    </row>
    <row r="258" spans="1:10" x14ac:dyDescent="0.25">
      <c r="A258" t="s">
        <v>443</v>
      </c>
      <c r="B258" t="s">
        <v>212</v>
      </c>
      <c r="C258">
        <v>8</v>
      </c>
      <c r="D258" t="s">
        <v>3476</v>
      </c>
      <c r="E258">
        <v>42</v>
      </c>
      <c r="F258">
        <v>16</v>
      </c>
      <c r="G258">
        <v>26</v>
      </c>
      <c r="H258" t="s">
        <v>3491</v>
      </c>
      <c r="I258" t="s">
        <v>3492</v>
      </c>
      <c r="J258" t="s">
        <v>3001</v>
      </c>
    </row>
    <row r="259" spans="1:10" x14ac:dyDescent="0.25">
      <c r="A259" t="s">
        <v>443</v>
      </c>
      <c r="B259" t="s">
        <v>212</v>
      </c>
      <c r="C259">
        <v>8</v>
      </c>
      <c r="D259" t="s">
        <v>3478</v>
      </c>
      <c r="E259">
        <v>88</v>
      </c>
      <c r="F259">
        <v>19</v>
      </c>
      <c r="G259">
        <v>69</v>
      </c>
      <c r="H259" t="s">
        <v>196</v>
      </c>
      <c r="I259" t="s">
        <v>3490</v>
      </c>
      <c r="J259" t="s">
        <v>3001</v>
      </c>
    </row>
    <row r="260" spans="1:10" x14ac:dyDescent="0.25">
      <c r="A260" t="s">
        <v>443</v>
      </c>
      <c r="B260" t="s">
        <v>212</v>
      </c>
      <c r="C260">
        <v>8</v>
      </c>
      <c r="D260" t="s">
        <v>3480</v>
      </c>
      <c r="E260">
        <v>43</v>
      </c>
      <c r="F260">
        <v>18</v>
      </c>
      <c r="G260">
        <v>25</v>
      </c>
      <c r="H260" t="s">
        <v>3491</v>
      </c>
      <c r="I260" t="s">
        <v>3492</v>
      </c>
      <c r="J260" t="s">
        <v>3001</v>
      </c>
    </row>
    <row r="261" spans="1:10" x14ac:dyDescent="0.25">
      <c r="A261" t="s">
        <v>443</v>
      </c>
      <c r="B261" t="s">
        <v>212</v>
      </c>
      <c r="C261">
        <v>8</v>
      </c>
      <c r="D261" t="s">
        <v>3482</v>
      </c>
      <c r="E261">
        <v>46</v>
      </c>
      <c r="F261">
        <v>24</v>
      </c>
      <c r="G261">
        <v>22</v>
      </c>
      <c r="H261" t="s">
        <v>3491</v>
      </c>
      <c r="I261" t="s">
        <v>3492</v>
      </c>
      <c r="J261" t="s">
        <v>3001</v>
      </c>
    </row>
    <row r="262" spans="1:10" x14ac:dyDescent="0.25">
      <c r="A262" t="s">
        <v>450</v>
      </c>
      <c r="B262" t="s">
        <v>212</v>
      </c>
      <c r="C262">
        <v>4</v>
      </c>
      <c r="D262" t="s">
        <v>3454</v>
      </c>
      <c r="E262">
        <v>60</v>
      </c>
      <c r="F262">
        <v>22</v>
      </c>
      <c r="G262">
        <v>38</v>
      </c>
      <c r="H262" t="s">
        <v>3489</v>
      </c>
      <c r="I262" t="s">
        <v>3490</v>
      </c>
      <c r="J262" t="s">
        <v>3001</v>
      </c>
    </row>
    <row r="263" spans="1:10" x14ac:dyDescent="0.25">
      <c r="A263" t="s">
        <v>450</v>
      </c>
      <c r="B263" t="s">
        <v>212</v>
      </c>
      <c r="C263">
        <v>4</v>
      </c>
      <c r="D263" t="s">
        <v>3456</v>
      </c>
      <c r="E263">
        <v>74</v>
      </c>
      <c r="F263">
        <v>30</v>
      </c>
      <c r="G263">
        <v>44</v>
      </c>
      <c r="H263" t="s">
        <v>3494</v>
      </c>
      <c r="I263" t="s">
        <v>3490</v>
      </c>
      <c r="J263" t="s">
        <v>3001</v>
      </c>
    </row>
    <row r="264" spans="1:10" x14ac:dyDescent="0.25">
      <c r="A264" t="s">
        <v>450</v>
      </c>
      <c r="B264" t="s">
        <v>212</v>
      </c>
      <c r="C264">
        <v>4</v>
      </c>
      <c r="D264" t="s">
        <v>3458</v>
      </c>
      <c r="E264">
        <v>57</v>
      </c>
      <c r="F264">
        <v>15</v>
      </c>
      <c r="G264">
        <v>42</v>
      </c>
      <c r="H264" t="s">
        <v>3493</v>
      </c>
      <c r="I264" t="s">
        <v>3490</v>
      </c>
      <c r="J264" t="s">
        <v>3001</v>
      </c>
    </row>
    <row r="265" spans="1:10" x14ac:dyDescent="0.25">
      <c r="A265" t="s">
        <v>450</v>
      </c>
      <c r="B265" t="s">
        <v>212</v>
      </c>
      <c r="C265">
        <v>4</v>
      </c>
      <c r="D265" t="s">
        <v>3460</v>
      </c>
      <c r="E265">
        <v>89</v>
      </c>
      <c r="F265">
        <v>21</v>
      </c>
      <c r="G265">
        <v>68</v>
      </c>
      <c r="H265" t="s">
        <v>196</v>
      </c>
      <c r="I265" t="s">
        <v>3490</v>
      </c>
      <c r="J265" t="s">
        <v>3001</v>
      </c>
    </row>
    <row r="266" spans="1:10" x14ac:dyDescent="0.25">
      <c r="A266" t="s">
        <v>450</v>
      </c>
      <c r="B266" t="s">
        <v>212</v>
      </c>
      <c r="C266">
        <v>4</v>
      </c>
      <c r="D266" t="s">
        <v>3462</v>
      </c>
      <c r="E266">
        <v>41</v>
      </c>
      <c r="F266">
        <v>19</v>
      </c>
      <c r="G266">
        <v>22</v>
      </c>
      <c r="H266" t="s">
        <v>3491</v>
      </c>
      <c r="I266" t="s">
        <v>3492</v>
      </c>
      <c r="J266" t="s">
        <v>3001</v>
      </c>
    </row>
    <row r="267" spans="1:10" x14ac:dyDescent="0.25">
      <c r="A267" t="s">
        <v>456</v>
      </c>
      <c r="B267" t="s">
        <v>75</v>
      </c>
      <c r="C267">
        <v>4</v>
      </c>
      <c r="D267" t="s">
        <v>3034</v>
      </c>
      <c r="E267">
        <v>60</v>
      </c>
      <c r="F267">
        <v>15</v>
      </c>
      <c r="G267">
        <v>45</v>
      </c>
      <c r="H267" t="s">
        <v>3489</v>
      </c>
      <c r="I267" t="s">
        <v>3490</v>
      </c>
      <c r="J267" t="s">
        <v>2961</v>
      </c>
    </row>
    <row r="268" spans="1:10" x14ac:dyDescent="0.25">
      <c r="A268" t="s">
        <v>456</v>
      </c>
      <c r="B268" t="s">
        <v>75</v>
      </c>
      <c r="C268">
        <v>4</v>
      </c>
      <c r="D268" t="s">
        <v>3036</v>
      </c>
      <c r="E268">
        <v>83</v>
      </c>
      <c r="F268">
        <v>17</v>
      </c>
      <c r="G268">
        <v>66</v>
      </c>
      <c r="H268" t="s">
        <v>196</v>
      </c>
      <c r="I268" t="s">
        <v>3490</v>
      </c>
      <c r="J268" t="s">
        <v>2961</v>
      </c>
    </row>
    <row r="269" spans="1:10" x14ac:dyDescent="0.25">
      <c r="A269" t="s">
        <v>456</v>
      </c>
      <c r="B269" t="s">
        <v>75</v>
      </c>
      <c r="C269">
        <v>4</v>
      </c>
      <c r="D269" t="s">
        <v>3038</v>
      </c>
      <c r="E269">
        <v>62</v>
      </c>
      <c r="F269">
        <v>21</v>
      </c>
      <c r="G269">
        <v>41</v>
      </c>
      <c r="H269" t="s">
        <v>3489</v>
      </c>
      <c r="I269" t="s">
        <v>3490</v>
      </c>
      <c r="J269" t="s">
        <v>2961</v>
      </c>
    </row>
    <row r="270" spans="1:10" x14ac:dyDescent="0.25">
      <c r="A270" t="s">
        <v>456</v>
      </c>
      <c r="B270" t="s">
        <v>75</v>
      </c>
      <c r="C270">
        <v>4</v>
      </c>
      <c r="D270" t="s">
        <v>3040</v>
      </c>
      <c r="E270">
        <v>90</v>
      </c>
      <c r="F270">
        <v>27</v>
      </c>
      <c r="G270">
        <v>63</v>
      </c>
      <c r="H270" t="s">
        <v>3495</v>
      </c>
      <c r="I270" t="s">
        <v>3490</v>
      </c>
      <c r="J270" t="s">
        <v>2961</v>
      </c>
    </row>
    <row r="271" spans="1:10" x14ac:dyDescent="0.25">
      <c r="A271" t="s">
        <v>456</v>
      </c>
      <c r="B271" t="s">
        <v>75</v>
      </c>
      <c r="C271">
        <v>4</v>
      </c>
      <c r="D271" t="s">
        <v>3042</v>
      </c>
      <c r="E271">
        <v>53</v>
      </c>
      <c r="F271">
        <v>15</v>
      </c>
      <c r="G271">
        <v>38</v>
      </c>
      <c r="H271" t="s">
        <v>3493</v>
      </c>
      <c r="I271" t="s">
        <v>3490</v>
      </c>
      <c r="J271" t="s">
        <v>2961</v>
      </c>
    </row>
    <row r="272" spans="1:10" x14ac:dyDescent="0.25">
      <c r="A272" t="s">
        <v>462</v>
      </c>
      <c r="B272" t="s">
        <v>122</v>
      </c>
      <c r="C272">
        <v>6</v>
      </c>
      <c r="D272" t="s">
        <v>3294</v>
      </c>
      <c r="E272">
        <v>82</v>
      </c>
      <c r="F272">
        <v>16</v>
      </c>
      <c r="G272">
        <v>66</v>
      </c>
      <c r="H272" t="s">
        <v>196</v>
      </c>
      <c r="I272" t="s">
        <v>3490</v>
      </c>
      <c r="J272" t="s">
        <v>2919</v>
      </c>
    </row>
    <row r="273" spans="1:10" x14ac:dyDescent="0.25">
      <c r="A273" t="s">
        <v>462</v>
      </c>
      <c r="B273" t="s">
        <v>122</v>
      </c>
      <c r="C273">
        <v>6</v>
      </c>
      <c r="D273" t="s">
        <v>3296</v>
      </c>
      <c r="E273">
        <v>72</v>
      </c>
      <c r="F273">
        <v>10</v>
      </c>
      <c r="G273">
        <v>62</v>
      </c>
      <c r="H273" t="s">
        <v>3494</v>
      </c>
      <c r="I273" t="s">
        <v>3490</v>
      </c>
      <c r="J273" t="s">
        <v>2919</v>
      </c>
    </row>
    <row r="274" spans="1:10" x14ac:dyDescent="0.25">
      <c r="A274" t="s">
        <v>462</v>
      </c>
      <c r="B274" t="s">
        <v>122</v>
      </c>
      <c r="C274">
        <v>6</v>
      </c>
      <c r="D274" t="s">
        <v>3298</v>
      </c>
      <c r="E274">
        <v>62</v>
      </c>
      <c r="F274">
        <v>12</v>
      </c>
      <c r="G274">
        <v>50</v>
      </c>
      <c r="H274" t="s">
        <v>3489</v>
      </c>
      <c r="I274" t="s">
        <v>3490</v>
      </c>
      <c r="J274" t="s">
        <v>2919</v>
      </c>
    </row>
    <row r="275" spans="1:10" x14ac:dyDescent="0.25">
      <c r="A275" t="s">
        <v>462</v>
      </c>
      <c r="B275" t="s">
        <v>122</v>
      </c>
      <c r="C275">
        <v>6</v>
      </c>
      <c r="D275" t="s">
        <v>3300</v>
      </c>
      <c r="E275">
        <v>61</v>
      </c>
      <c r="F275">
        <v>22</v>
      </c>
      <c r="G275">
        <v>39</v>
      </c>
      <c r="H275" t="s">
        <v>3489</v>
      </c>
      <c r="I275" t="s">
        <v>3490</v>
      </c>
      <c r="J275" t="s">
        <v>2919</v>
      </c>
    </row>
    <row r="276" spans="1:10" x14ac:dyDescent="0.25">
      <c r="A276" t="s">
        <v>462</v>
      </c>
      <c r="B276" t="s">
        <v>122</v>
      </c>
      <c r="C276">
        <v>6</v>
      </c>
      <c r="D276" t="s">
        <v>3302</v>
      </c>
      <c r="E276">
        <v>93</v>
      </c>
      <c r="F276">
        <v>23</v>
      </c>
      <c r="G276">
        <v>70</v>
      </c>
      <c r="H276" t="s">
        <v>3495</v>
      </c>
      <c r="I276" t="s">
        <v>3490</v>
      </c>
      <c r="J276" t="s">
        <v>2919</v>
      </c>
    </row>
    <row r="277" spans="1:10" x14ac:dyDescent="0.25">
      <c r="A277" t="s">
        <v>469</v>
      </c>
      <c r="B277" t="s">
        <v>63</v>
      </c>
      <c r="C277">
        <v>8</v>
      </c>
      <c r="D277" t="s">
        <v>3414</v>
      </c>
      <c r="E277">
        <v>56</v>
      </c>
      <c r="F277">
        <v>18</v>
      </c>
      <c r="G277">
        <v>38</v>
      </c>
      <c r="H277" t="s">
        <v>3493</v>
      </c>
      <c r="I277" t="s">
        <v>3490</v>
      </c>
      <c r="J277" t="s">
        <v>2932</v>
      </c>
    </row>
    <row r="278" spans="1:10" x14ac:dyDescent="0.25">
      <c r="A278" t="s">
        <v>469</v>
      </c>
      <c r="B278" t="s">
        <v>63</v>
      </c>
      <c r="C278">
        <v>8</v>
      </c>
      <c r="D278" t="s">
        <v>3416</v>
      </c>
      <c r="E278">
        <v>82</v>
      </c>
      <c r="F278">
        <v>26</v>
      </c>
      <c r="G278">
        <v>56</v>
      </c>
      <c r="H278" t="s">
        <v>196</v>
      </c>
      <c r="I278" t="s">
        <v>3490</v>
      </c>
      <c r="J278" t="s">
        <v>2932</v>
      </c>
    </row>
    <row r="279" spans="1:10" x14ac:dyDescent="0.25">
      <c r="A279" t="s">
        <v>469</v>
      </c>
      <c r="B279" t="s">
        <v>63</v>
      </c>
      <c r="C279">
        <v>8</v>
      </c>
      <c r="D279" t="s">
        <v>3418</v>
      </c>
      <c r="E279">
        <v>78</v>
      </c>
      <c r="F279">
        <v>26</v>
      </c>
      <c r="G279">
        <v>52</v>
      </c>
      <c r="H279" t="s">
        <v>3494</v>
      </c>
      <c r="I279" t="s">
        <v>3490</v>
      </c>
      <c r="J279" t="s">
        <v>2932</v>
      </c>
    </row>
    <row r="280" spans="1:10" x14ac:dyDescent="0.25">
      <c r="A280" t="s">
        <v>469</v>
      </c>
      <c r="B280" t="s">
        <v>63</v>
      </c>
      <c r="C280">
        <v>8</v>
      </c>
      <c r="D280" t="s">
        <v>3420</v>
      </c>
      <c r="E280">
        <v>79</v>
      </c>
      <c r="F280">
        <v>10</v>
      </c>
      <c r="G280">
        <v>69</v>
      </c>
      <c r="H280" t="s">
        <v>3494</v>
      </c>
      <c r="I280" t="s">
        <v>3490</v>
      </c>
      <c r="J280" t="s">
        <v>2932</v>
      </c>
    </row>
    <row r="281" spans="1:10" x14ac:dyDescent="0.25">
      <c r="A281" t="s">
        <v>469</v>
      </c>
      <c r="B281" t="s">
        <v>63</v>
      </c>
      <c r="C281">
        <v>8</v>
      </c>
      <c r="D281" t="s">
        <v>3422</v>
      </c>
      <c r="E281">
        <v>83</v>
      </c>
      <c r="F281">
        <v>17</v>
      </c>
      <c r="G281">
        <v>66</v>
      </c>
      <c r="H281" t="s">
        <v>196</v>
      </c>
      <c r="I281" t="s">
        <v>3490</v>
      </c>
      <c r="J281" t="s">
        <v>2932</v>
      </c>
    </row>
    <row r="282" spans="1:10" x14ac:dyDescent="0.25">
      <c r="A282" t="s">
        <v>477</v>
      </c>
      <c r="B282" t="s">
        <v>95</v>
      </c>
      <c r="C282">
        <v>4</v>
      </c>
      <c r="D282" t="s">
        <v>3214</v>
      </c>
      <c r="E282">
        <v>56</v>
      </c>
      <c r="F282">
        <v>13</v>
      </c>
      <c r="G282">
        <v>43</v>
      </c>
      <c r="H282" t="s">
        <v>3493</v>
      </c>
      <c r="I282" t="s">
        <v>3490</v>
      </c>
      <c r="J282" t="s">
        <v>2889</v>
      </c>
    </row>
    <row r="283" spans="1:10" x14ac:dyDescent="0.25">
      <c r="A283" t="s">
        <v>477</v>
      </c>
      <c r="B283" t="s">
        <v>95</v>
      </c>
      <c r="C283">
        <v>4</v>
      </c>
      <c r="D283" t="s">
        <v>3216</v>
      </c>
      <c r="E283">
        <v>72</v>
      </c>
      <c r="F283">
        <v>17</v>
      </c>
      <c r="G283">
        <v>55</v>
      </c>
      <c r="H283" t="s">
        <v>3494</v>
      </c>
      <c r="I283" t="s">
        <v>3490</v>
      </c>
      <c r="J283" t="s">
        <v>2889</v>
      </c>
    </row>
    <row r="284" spans="1:10" x14ac:dyDescent="0.25">
      <c r="A284" t="s">
        <v>477</v>
      </c>
      <c r="B284" t="s">
        <v>95</v>
      </c>
      <c r="C284">
        <v>4</v>
      </c>
      <c r="D284" t="s">
        <v>3218</v>
      </c>
      <c r="E284">
        <v>79</v>
      </c>
      <c r="F284">
        <v>26</v>
      </c>
      <c r="G284">
        <v>53</v>
      </c>
      <c r="H284" t="s">
        <v>3494</v>
      </c>
      <c r="I284" t="s">
        <v>3490</v>
      </c>
      <c r="J284" t="s">
        <v>2889</v>
      </c>
    </row>
    <row r="285" spans="1:10" x14ac:dyDescent="0.25">
      <c r="A285" t="s">
        <v>477</v>
      </c>
      <c r="B285" t="s">
        <v>95</v>
      </c>
      <c r="C285">
        <v>4</v>
      </c>
      <c r="D285" t="s">
        <v>3220</v>
      </c>
      <c r="E285">
        <v>52</v>
      </c>
      <c r="F285">
        <v>15</v>
      </c>
      <c r="G285">
        <v>37</v>
      </c>
      <c r="H285" t="s">
        <v>3493</v>
      </c>
      <c r="I285" t="s">
        <v>3490</v>
      </c>
      <c r="J285" t="s">
        <v>2889</v>
      </c>
    </row>
    <row r="286" spans="1:10" x14ac:dyDescent="0.25">
      <c r="A286" t="s">
        <v>477</v>
      </c>
      <c r="B286" t="s">
        <v>95</v>
      </c>
      <c r="C286">
        <v>4</v>
      </c>
      <c r="D286" t="s">
        <v>3222</v>
      </c>
      <c r="E286">
        <v>86</v>
      </c>
      <c r="F286">
        <v>20</v>
      </c>
      <c r="G286">
        <v>66</v>
      </c>
      <c r="H286" t="s">
        <v>196</v>
      </c>
      <c r="I286" t="s">
        <v>3490</v>
      </c>
      <c r="J286" t="s">
        <v>2889</v>
      </c>
    </row>
    <row r="287" spans="1:10" x14ac:dyDescent="0.25">
      <c r="A287" t="s">
        <v>484</v>
      </c>
      <c r="B287" t="s">
        <v>95</v>
      </c>
      <c r="C287">
        <v>8</v>
      </c>
      <c r="D287" t="s">
        <v>3234</v>
      </c>
      <c r="E287">
        <v>63</v>
      </c>
      <c r="F287">
        <v>14</v>
      </c>
      <c r="G287">
        <v>49</v>
      </c>
      <c r="H287" t="s">
        <v>3489</v>
      </c>
      <c r="I287" t="s">
        <v>3490</v>
      </c>
      <c r="J287" t="s">
        <v>2889</v>
      </c>
    </row>
    <row r="288" spans="1:10" x14ac:dyDescent="0.25">
      <c r="A288" t="s">
        <v>484</v>
      </c>
      <c r="B288" t="s">
        <v>95</v>
      </c>
      <c r="C288">
        <v>8</v>
      </c>
      <c r="D288" t="s">
        <v>3236</v>
      </c>
      <c r="E288">
        <v>93</v>
      </c>
      <c r="F288">
        <v>29</v>
      </c>
      <c r="G288">
        <v>64</v>
      </c>
      <c r="H288" t="s">
        <v>3495</v>
      </c>
      <c r="I288" t="s">
        <v>3490</v>
      </c>
      <c r="J288" t="s">
        <v>2889</v>
      </c>
    </row>
    <row r="289" spans="1:10" x14ac:dyDescent="0.25">
      <c r="A289" t="s">
        <v>484</v>
      </c>
      <c r="B289" t="s">
        <v>95</v>
      </c>
      <c r="C289">
        <v>8</v>
      </c>
      <c r="D289" t="s">
        <v>3238</v>
      </c>
      <c r="E289">
        <v>74</v>
      </c>
      <c r="F289">
        <v>11</v>
      </c>
      <c r="G289">
        <v>63</v>
      </c>
      <c r="H289" t="s">
        <v>3494</v>
      </c>
      <c r="I289" t="s">
        <v>3490</v>
      </c>
      <c r="J289" t="s">
        <v>2889</v>
      </c>
    </row>
    <row r="290" spans="1:10" x14ac:dyDescent="0.25">
      <c r="A290" t="s">
        <v>484</v>
      </c>
      <c r="B290" t="s">
        <v>95</v>
      </c>
      <c r="C290">
        <v>8</v>
      </c>
      <c r="D290" t="s">
        <v>3240</v>
      </c>
      <c r="E290">
        <v>42</v>
      </c>
      <c r="F290">
        <v>20</v>
      </c>
      <c r="G290">
        <v>22</v>
      </c>
      <c r="H290" t="s">
        <v>3491</v>
      </c>
      <c r="I290" t="s">
        <v>3492</v>
      </c>
      <c r="J290" t="s">
        <v>2889</v>
      </c>
    </row>
    <row r="291" spans="1:10" x14ac:dyDescent="0.25">
      <c r="A291" t="s">
        <v>484</v>
      </c>
      <c r="B291" t="s">
        <v>95</v>
      </c>
      <c r="C291">
        <v>8</v>
      </c>
      <c r="D291" t="s">
        <v>3242</v>
      </c>
      <c r="E291">
        <v>82</v>
      </c>
      <c r="F291">
        <v>19</v>
      </c>
      <c r="G291">
        <v>63</v>
      </c>
      <c r="H291" t="s">
        <v>196</v>
      </c>
      <c r="I291" t="s">
        <v>3490</v>
      </c>
      <c r="J291" t="s">
        <v>2889</v>
      </c>
    </row>
    <row r="292" spans="1:10" x14ac:dyDescent="0.25">
      <c r="A292" t="s">
        <v>490</v>
      </c>
      <c r="B292" t="s">
        <v>63</v>
      </c>
      <c r="C292">
        <v>8</v>
      </c>
      <c r="D292" t="s">
        <v>3414</v>
      </c>
      <c r="E292">
        <v>53</v>
      </c>
      <c r="F292">
        <v>30</v>
      </c>
      <c r="G292">
        <v>23</v>
      </c>
      <c r="H292" t="s">
        <v>3493</v>
      </c>
      <c r="I292" t="s">
        <v>3490</v>
      </c>
      <c r="J292" t="s">
        <v>2932</v>
      </c>
    </row>
    <row r="293" spans="1:10" x14ac:dyDescent="0.25">
      <c r="A293" t="s">
        <v>490</v>
      </c>
      <c r="B293" t="s">
        <v>63</v>
      </c>
      <c r="C293">
        <v>8</v>
      </c>
      <c r="D293" t="s">
        <v>3416</v>
      </c>
      <c r="E293">
        <v>54</v>
      </c>
      <c r="F293">
        <v>19</v>
      </c>
      <c r="G293">
        <v>35</v>
      </c>
      <c r="H293" t="s">
        <v>3493</v>
      </c>
      <c r="I293" t="s">
        <v>3490</v>
      </c>
      <c r="J293" t="s">
        <v>2932</v>
      </c>
    </row>
    <row r="294" spans="1:10" x14ac:dyDescent="0.25">
      <c r="A294" t="s">
        <v>490</v>
      </c>
      <c r="B294" t="s">
        <v>63</v>
      </c>
      <c r="C294">
        <v>8</v>
      </c>
      <c r="D294" t="s">
        <v>3418</v>
      </c>
      <c r="E294">
        <v>49</v>
      </c>
      <c r="F294">
        <v>16</v>
      </c>
      <c r="G294">
        <v>33</v>
      </c>
      <c r="H294" t="s">
        <v>3491</v>
      </c>
      <c r="I294" t="s">
        <v>3492</v>
      </c>
      <c r="J294" t="s">
        <v>2932</v>
      </c>
    </row>
    <row r="295" spans="1:10" x14ac:dyDescent="0.25">
      <c r="A295" t="s">
        <v>490</v>
      </c>
      <c r="B295" t="s">
        <v>63</v>
      </c>
      <c r="C295">
        <v>8</v>
      </c>
      <c r="D295" t="s">
        <v>3420</v>
      </c>
      <c r="E295">
        <v>84</v>
      </c>
      <c r="F295">
        <v>16</v>
      </c>
      <c r="G295">
        <v>68</v>
      </c>
      <c r="H295" t="s">
        <v>196</v>
      </c>
      <c r="I295" t="s">
        <v>3490</v>
      </c>
      <c r="J295" t="s">
        <v>2932</v>
      </c>
    </row>
    <row r="296" spans="1:10" x14ac:dyDescent="0.25">
      <c r="A296" t="s">
        <v>490</v>
      </c>
      <c r="B296" t="s">
        <v>63</v>
      </c>
      <c r="C296">
        <v>8</v>
      </c>
      <c r="D296" t="s">
        <v>3422</v>
      </c>
      <c r="E296">
        <v>53</v>
      </c>
      <c r="F296">
        <v>21</v>
      </c>
      <c r="G296">
        <v>32</v>
      </c>
      <c r="H296" t="s">
        <v>3493</v>
      </c>
      <c r="I296" t="s">
        <v>3490</v>
      </c>
      <c r="J296" t="s">
        <v>2932</v>
      </c>
    </row>
    <row r="297" spans="1:10" x14ac:dyDescent="0.25">
      <c r="A297" t="s">
        <v>496</v>
      </c>
      <c r="B297" t="s">
        <v>105</v>
      </c>
      <c r="C297">
        <v>8</v>
      </c>
      <c r="D297" t="s">
        <v>3174</v>
      </c>
      <c r="E297">
        <v>62</v>
      </c>
      <c r="F297">
        <v>26</v>
      </c>
      <c r="G297">
        <v>36</v>
      </c>
      <c r="H297" t="s">
        <v>3489</v>
      </c>
      <c r="I297" t="s">
        <v>3490</v>
      </c>
      <c r="J297" t="s">
        <v>2908</v>
      </c>
    </row>
    <row r="298" spans="1:10" x14ac:dyDescent="0.25">
      <c r="A298" t="s">
        <v>496</v>
      </c>
      <c r="B298" t="s">
        <v>105</v>
      </c>
      <c r="C298">
        <v>8</v>
      </c>
      <c r="D298" t="s">
        <v>3176</v>
      </c>
      <c r="E298">
        <v>68</v>
      </c>
      <c r="F298">
        <v>28</v>
      </c>
      <c r="G298">
        <v>40</v>
      </c>
      <c r="H298" t="s">
        <v>3489</v>
      </c>
      <c r="I298" t="s">
        <v>3490</v>
      </c>
      <c r="J298" t="s">
        <v>2908</v>
      </c>
    </row>
    <row r="299" spans="1:10" x14ac:dyDescent="0.25">
      <c r="A299" t="s">
        <v>496</v>
      </c>
      <c r="B299" t="s">
        <v>105</v>
      </c>
      <c r="C299">
        <v>8</v>
      </c>
      <c r="D299" t="s">
        <v>3178</v>
      </c>
      <c r="E299">
        <v>58</v>
      </c>
      <c r="F299">
        <v>13</v>
      </c>
      <c r="G299">
        <v>45</v>
      </c>
      <c r="H299" t="s">
        <v>3493</v>
      </c>
      <c r="I299" t="s">
        <v>3490</v>
      </c>
      <c r="J299" t="s">
        <v>2908</v>
      </c>
    </row>
    <row r="300" spans="1:10" x14ac:dyDescent="0.25">
      <c r="A300" t="s">
        <v>496</v>
      </c>
      <c r="B300" t="s">
        <v>105</v>
      </c>
      <c r="C300">
        <v>8</v>
      </c>
      <c r="D300" t="s">
        <v>3180</v>
      </c>
      <c r="E300">
        <v>46</v>
      </c>
      <c r="F300">
        <v>17</v>
      </c>
      <c r="G300">
        <v>29</v>
      </c>
      <c r="H300" t="s">
        <v>3491</v>
      </c>
      <c r="I300" t="s">
        <v>3492</v>
      </c>
      <c r="J300" t="s">
        <v>2908</v>
      </c>
    </row>
    <row r="301" spans="1:10" x14ac:dyDescent="0.25">
      <c r="A301" t="s">
        <v>496</v>
      </c>
      <c r="B301" t="s">
        <v>105</v>
      </c>
      <c r="C301">
        <v>8</v>
      </c>
      <c r="D301" t="s">
        <v>3182</v>
      </c>
      <c r="E301">
        <v>38</v>
      </c>
      <c r="F301">
        <v>13</v>
      </c>
      <c r="G301">
        <v>25</v>
      </c>
      <c r="H301" t="s">
        <v>3491</v>
      </c>
      <c r="I301" t="s">
        <v>3492</v>
      </c>
      <c r="J301" t="s">
        <v>2908</v>
      </c>
    </row>
    <row r="302" spans="1:10" x14ac:dyDescent="0.25">
      <c r="A302" t="s">
        <v>503</v>
      </c>
      <c r="B302" t="s">
        <v>75</v>
      </c>
      <c r="C302">
        <v>8</v>
      </c>
      <c r="D302" t="s">
        <v>3054</v>
      </c>
      <c r="E302">
        <v>78</v>
      </c>
      <c r="F302">
        <v>13</v>
      </c>
      <c r="G302">
        <v>65</v>
      </c>
      <c r="H302" t="s">
        <v>3494</v>
      </c>
      <c r="I302" t="s">
        <v>3490</v>
      </c>
      <c r="J302" t="s">
        <v>2961</v>
      </c>
    </row>
    <row r="303" spans="1:10" x14ac:dyDescent="0.25">
      <c r="A303" t="s">
        <v>503</v>
      </c>
      <c r="B303" t="s">
        <v>75</v>
      </c>
      <c r="C303">
        <v>8</v>
      </c>
      <c r="D303" t="s">
        <v>3056</v>
      </c>
      <c r="E303">
        <v>78</v>
      </c>
      <c r="F303">
        <v>29</v>
      </c>
      <c r="G303">
        <v>49</v>
      </c>
      <c r="H303" t="s">
        <v>3494</v>
      </c>
      <c r="I303" t="s">
        <v>3490</v>
      </c>
      <c r="J303" t="s">
        <v>2961</v>
      </c>
    </row>
    <row r="304" spans="1:10" x14ac:dyDescent="0.25">
      <c r="A304" t="s">
        <v>503</v>
      </c>
      <c r="B304" t="s">
        <v>75</v>
      </c>
      <c r="C304">
        <v>8</v>
      </c>
      <c r="D304" t="s">
        <v>3058</v>
      </c>
      <c r="E304">
        <v>75</v>
      </c>
      <c r="F304">
        <v>26</v>
      </c>
      <c r="G304">
        <v>49</v>
      </c>
      <c r="H304" t="s">
        <v>3494</v>
      </c>
      <c r="I304" t="s">
        <v>3490</v>
      </c>
      <c r="J304" t="s">
        <v>2961</v>
      </c>
    </row>
    <row r="305" spans="1:10" x14ac:dyDescent="0.25">
      <c r="A305" t="s">
        <v>503</v>
      </c>
      <c r="B305" t="s">
        <v>75</v>
      </c>
      <c r="C305">
        <v>8</v>
      </c>
      <c r="D305" t="s">
        <v>3060</v>
      </c>
      <c r="E305">
        <v>67</v>
      </c>
      <c r="F305">
        <v>13</v>
      </c>
      <c r="G305">
        <v>54</v>
      </c>
      <c r="H305" t="s">
        <v>3489</v>
      </c>
      <c r="I305" t="s">
        <v>3490</v>
      </c>
      <c r="J305" t="s">
        <v>2961</v>
      </c>
    </row>
    <row r="306" spans="1:10" x14ac:dyDescent="0.25">
      <c r="A306" t="s">
        <v>503</v>
      </c>
      <c r="B306" t="s">
        <v>75</v>
      </c>
      <c r="C306">
        <v>8</v>
      </c>
      <c r="D306" t="s">
        <v>3062</v>
      </c>
      <c r="E306">
        <v>69</v>
      </c>
      <c r="F306">
        <v>11</v>
      </c>
      <c r="G306">
        <v>58</v>
      </c>
      <c r="H306" t="s">
        <v>3489</v>
      </c>
      <c r="I306" t="s">
        <v>3490</v>
      </c>
      <c r="J306" t="s">
        <v>2961</v>
      </c>
    </row>
    <row r="307" spans="1:10" x14ac:dyDescent="0.25">
      <c r="A307" t="s">
        <v>509</v>
      </c>
      <c r="B307" t="s">
        <v>30</v>
      </c>
      <c r="C307">
        <v>8</v>
      </c>
      <c r="D307" t="s">
        <v>3354</v>
      </c>
      <c r="E307">
        <v>51</v>
      </c>
      <c r="F307">
        <v>16</v>
      </c>
      <c r="G307">
        <v>35</v>
      </c>
      <c r="H307" t="s">
        <v>3493</v>
      </c>
      <c r="I307" t="s">
        <v>3490</v>
      </c>
      <c r="J307" t="s">
        <v>2895</v>
      </c>
    </row>
    <row r="308" spans="1:10" x14ac:dyDescent="0.25">
      <c r="A308" t="s">
        <v>509</v>
      </c>
      <c r="B308" t="s">
        <v>30</v>
      </c>
      <c r="C308">
        <v>8</v>
      </c>
      <c r="D308" t="s">
        <v>3356</v>
      </c>
      <c r="E308">
        <v>53</v>
      </c>
      <c r="F308">
        <v>28</v>
      </c>
      <c r="G308">
        <v>25</v>
      </c>
      <c r="H308" t="s">
        <v>3493</v>
      </c>
      <c r="I308" t="s">
        <v>3490</v>
      </c>
      <c r="J308" t="s">
        <v>2895</v>
      </c>
    </row>
    <row r="309" spans="1:10" x14ac:dyDescent="0.25">
      <c r="A309" t="s">
        <v>509</v>
      </c>
      <c r="B309" t="s">
        <v>30</v>
      </c>
      <c r="C309">
        <v>8</v>
      </c>
      <c r="D309" t="s">
        <v>3358</v>
      </c>
      <c r="E309">
        <v>93</v>
      </c>
      <c r="F309">
        <v>30</v>
      </c>
      <c r="G309">
        <v>63</v>
      </c>
      <c r="H309" t="s">
        <v>3495</v>
      </c>
      <c r="I309" t="s">
        <v>3490</v>
      </c>
      <c r="J309" t="s">
        <v>2895</v>
      </c>
    </row>
    <row r="310" spans="1:10" x14ac:dyDescent="0.25">
      <c r="A310" t="s">
        <v>509</v>
      </c>
      <c r="B310" t="s">
        <v>30</v>
      </c>
      <c r="C310">
        <v>8</v>
      </c>
      <c r="D310" t="s">
        <v>3360</v>
      </c>
      <c r="E310">
        <v>67</v>
      </c>
      <c r="F310">
        <v>16</v>
      </c>
      <c r="G310">
        <v>51</v>
      </c>
      <c r="H310" t="s">
        <v>3489</v>
      </c>
      <c r="I310" t="s">
        <v>3490</v>
      </c>
      <c r="J310" t="s">
        <v>2895</v>
      </c>
    </row>
    <row r="311" spans="1:10" x14ac:dyDescent="0.25">
      <c r="A311" t="s">
        <v>509</v>
      </c>
      <c r="B311" t="s">
        <v>30</v>
      </c>
      <c r="C311">
        <v>8</v>
      </c>
      <c r="D311" t="s">
        <v>3362</v>
      </c>
      <c r="E311">
        <v>44</v>
      </c>
      <c r="F311">
        <v>16</v>
      </c>
      <c r="G311">
        <v>28</v>
      </c>
      <c r="H311" t="s">
        <v>3491</v>
      </c>
      <c r="I311" t="s">
        <v>3492</v>
      </c>
      <c r="J311" t="s">
        <v>2895</v>
      </c>
    </row>
    <row r="312" spans="1:10" x14ac:dyDescent="0.25">
      <c r="A312" t="s">
        <v>516</v>
      </c>
      <c r="B312" t="s">
        <v>30</v>
      </c>
      <c r="C312">
        <v>4</v>
      </c>
      <c r="D312" t="s">
        <v>3334</v>
      </c>
      <c r="E312">
        <v>83</v>
      </c>
      <c r="F312">
        <v>22</v>
      </c>
      <c r="G312">
        <v>61</v>
      </c>
      <c r="H312" t="s">
        <v>196</v>
      </c>
      <c r="I312" t="s">
        <v>3490</v>
      </c>
      <c r="J312" t="s">
        <v>2895</v>
      </c>
    </row>
    <row r="313" spans="1:10" x14ac:dyDescent="0.25">
      <c r="A313" t="s">
        <v>516</v>
      </c>
      <c r="B313" t="s">
        <v>30</v>
      </c>
      <c r="C313">
        <v>4</v>
      </c>
      <c r="D313" t="s">
        <v>3336</v>
      </c>
      <c r="E313">
        <v>54</v>
      </c>
      <c r="F313">
        <v>20</v>
      </c>
      <c r="G313">
        <v>34</v>
      </c>
      <c r="H313" t="s">
        <v>3493</v>
      </c>
      <c r="I313" t="s">
        <v>3490</v>
      </c>
      <c r="J313" t="s">
        <v>2895</v>
      </c>
    </row>
    <row r="314" spans="1:10" x14ac:dyDescent="0.25">
      <c r="A314" t="s">
        <v>516</v>
      </c>
      <c r="B314" t="s">
        <v>30</v>
      </c>
      <c r="C314">
        <v>4</v>
      </c>
      <c r="D314" t="s">
        <v>3338</v>
      </c>
      <c r="E314">
        <v>57</v>
      </c>
      <c r="F314">
        <v>11</v>
      </c>
      <c r="G314">
        <v>46</v>
      </c>
      <c r="H314" t="s">
        <v>3493</v>
      </c>
      <c r="I314" t="s">
        <v>3490</v>
      </c>
      <c r="J314" t="s">
        <v>2895</v>
      </c>
    </row>
    <row r="315" spans="1:10" x14ac:dyDescent="0.25">
      <c r="A315" t="s">
        <v>516</v>
      </c>
      <c r="B315" t="s">
        <v>30</v>
      </c>
      <c r="C315">
        <v>4</v>
      </c>
      <c r="D315" t="s">
        <v>3340</v>
      </c>
      <c r="E315">
        <v>77</v>
      </c>
      <c r="F315">
        <v>11</v>
      </c>
      <c r="G315">
        <v>66</v>
      </c>
      <c r="H315" t="s">
        <v>3494</v>
      </c>
      <c r="I315" t="s">
        <v>3490</v>
      </c>
      <c r="J315" t="s">
        <v>2895</v>
      </c>
    </row>
    <row r="316" spans="1:10" x14ac:dyDescent="0.25">
      <c r="A316" t="s">
        <v>516</v>
      </c>
      <c r="B316" t="s">
        <v>30</v>
      </c>
      <c r="C316">
        <v>4</v>
      </c>
      <c r="D316" t="s">
        <v>3342</v>
      </c>
      <c r="E316">
        <v>37</v>
      </c>
      <c r="F316">
        <v>12</v>
      </c>
      <c r="G316">
        <v>25</v>
      </c>
      <c r="H316" t="s">
        <v>3491</v>
      </c>
      <c r="I316" t="s">
        <v>3492</v>
      </c>
      <c r="J316" t="s">
        <v>2895</v>
      </c>
    </row>
    <row r="317" spans="1:10" x14ac:dyDescent="0.25">
      <c r="A317" t="s">
        <v>522</v>
      </c>
      <c r="B317" t="s">
        <v>105</v>
      </c>
      <c r="C317">
        <v>4</v>
      </c>
      <c r="D317" t="s">
        <v>3154</v>
      </c>
      <c r="E317">
        <v>97</v>
      </c>
      <c r="F317">
        <v>29</v>
      </c>
      <c r="G317">
        <v>68</v>
      </c>
      <c r="H317" t="s">
        <v>3495</v>
      </c>
      <c r="I317" t="s">
        <v>3490</v>
      </c>
      <c r="J317" t="s">
        <v>2908</v>
      </c>
    </row>
    <row r="318" spans="1:10" x14ac:dyDescent="0.25">
      <c r="A318" t="s">
        <v>522</v>
      </c>
      <c r="B318" t="s">
        <v>105</v>
      </c>
      <c r="C318">
        <v>4</v>
      </c>
      <c r="D318" t="s">
        <v>3156</v>
      </c>
      <c r="E318">
        <v>77</v>
      </c>
      <c r="F318">
        <v>26</v>
      </c>
      <c r="G318">
        <v>51</v>
      </c>
      <c r="H318" t="s">
        <v>3494</v>
      </c>
      <c r="I318" t="s">
        <v>3490</v>
      </c>
      <c r="J318" t="s">
        <v>2908</v>
      </c>
    </row>
    <row r="319" spans="1:10" x14ac:dyDescent="0.25">
      <c r="A319" t="s">
        <v>522</v>
      </c>
      <c r="B319" t="s">
        <v>105</v>
      </c>
      <c r="C319">
        <v>4</v>
      </c>
      <c r="D319" t="s">
        <v>3158</v>
      </c>
      <c r="E319">
        <v>64</v>
      </c>
      <c r="F319">
        <v>20</v>
      </c>
      <c r="G319">
        <v>44</v>
      </c>
      <c r="H319" t="s">
        <v>3489</v>
      </c>
      <c r="I319" t="s">
        <v>3490</v>
      </c>
      <c r="J319" t="s">
        <v>2908</v>
      </c>
    </row>
    <row r="320" spans="1:10" x14ac:dyDescent="0.25">
      <c r="A320" t="s">
        <v>522</v>
      </c>
      <c r="B320" t="s">
        <v>105</v>
      </c>
      <c r="C320">
        <v>4</v>
      </c>
      <c r="D320" t="s">
        <v>3160</v>
      </c>
      <c r="E320">
        <v>62</v>
      </c>
      <c r="F320">
        <v>13</v>
      </c>
      <c r="G320">
        <v>49</v>
      </c>
      <c r="H320" t="s">
        <v>3489</v>
      </c>
      <c r="I320" t="s">
        <v>3490</v>
      </c>
      <c r="J320" t="s">
        <v>2908</v>
      </c>
    </row>
    <row r="321" spans="1:10" x14ac:dyDescent="0.25">
      <c r="A321" t="s">
        <v>522</v>
      </c>
      <c r="B321" t="s">
        <v>105</v>
      </c>
      <c r="C321">
        <v>4</v>
      </c>
      <c r="D321" t="s">
        <v>3162</v>
      </c>
      <c r="E321">
        <v>72</v>
      </c>
      <c r="F321">
        <v>26</v>
      </c>
      <c r="G321">
        <v>46</v>
      </c>
      <c r="H321" t="s">
        <v>3494</v>
      </c>
      <c r="I321" t="s">
        <v>3490</v>
      </c>
      <c r="J321" t="s">
        <v>2908</v>
      </c>
    </row>
    <row r="322" spans="1:10" x14ac:dyDescent="0.25">
      <c r="A322" t="s">
        <v>527</v>
      </c>
      <c r="B322" t="s">
        <v>95</v>
      </c>
      <c r="C322">
        <v>6</v>
      </c>
      <c r="D322" t="s">
        <v>3234</v>
      </c>
      <c r="E322">
        <v>93</v>
      </c>
      <c r="F322">
        <v>27</v>
      </c>
      <c r="G322">
        <v>66</v>
      </c>
      <c r="H322" t="s">
        <v>3495</v>
      </c>
      <c r="I322" t="s">
        <v>3490</v>
      </c>
      <c r="J322" t="s">
        <v>2889</v>
      </c>
    </row>
    <row r="323" spans="1:10" x14ac:dyDescent="0.25">
      <c r="A323" t="s">
        <v>527</v>
      </c>
      <c r="B323" t="s">
        <v>95</v>
      </c>
      <c r="C323">
        <v>6</v>
      </c>
      <c r="D323" t="s">
        <v>3236</v>
      </c>
      <c r="E323">
        <v>46</v>
      </c>
      <c r="F323">
        <v>26</v>
      </c>
      <c r="G323">
        <v>20</v>
      </c>
      <c r="H323" t="s">
        <v>3491</v>
      </c>
      <c r="I323" t="s">
        <v>3492</v>
      </c>
      <c r="J323" t="s">
        <v>2889</v>
      </c>
    </row>
    <row r="324" spans="1:10" x14ac:dyDescent="0.25">
      <c r="A324" t="s">
        <v>527</v>
      </c>
      <c r="B324" t="s">
        <v>95</v>
      </c>
      <c r="C324">
        <v>6</v>
      </c>
      <c r="D324" t="s">
        <v>3238</v>
      </c>
      <c r="E324">
        <v>41</v>
      </c>
      <c r="F324">
        <v>10</v>
      </c>
      <c r="G324">
        <v>31</v>
      </c>
      <c r="H324" t="s">
        <v>3491</v>
      </c>
      <c r="I324" t="s">
        <v>3492</v>
      </c>
      <c r="J324" t="s">
        <v>2889</v>
      </c>
    </row>
    <row r="325" spans="1:10" x14ac:dyDescent="0.25">
      <c r="A325" t="s">
        <v>527</v>
      </c>
      <c r="B325" t="s">
        <v>95</v>
      </c>
      <c r="C325">
        <v>6</v>
      </c>
      <c r="D325" t="s">
        <v>3240</v>
      </c>
      <c r="E325">
        <v>37</v>
      </c>
      <c r="F325">
        <v>16</v>
      </c>
      <c r="G325">
        <v>21</v>
      </c>
      <c r="H325" t="s">
        <v>3491</v>
      </c>
      <c r="I325" t="s">
        <v>3492</v>
      </c>
      <c r="J325" t="s">
        <v>2889</v>
      </c>
    </row>
    <row r="326" spans="1:10" x14ac:dyDescent="0.25">
      <c r="A326" t="s">
        <v>527</v>
      </c>
      <c r="B326" t="s">
        <v>95</v>
      </c>
      <c r="C326">
        <v>6</v>
      </c>
      <c r="D326" t="s">
        <v>3242</v>
      </c>
      <c r="E326">
        <v>67</v>
      </c>
      <c r="F326">
        <v>10</v>
      </c>
      <c r="G326">
        <v>57</v>
      </c>
      <c r="H326" t="s">
        <v>3489</v>
      </c>
      <c r="I326" t="s">
        <v>3490</v>
      </c>
      <c r="J326" t="s">
        <v>2889</v>
      </c>
    </row>
    <row r="327" spans="1:10" x14ac:dyDescent="0.25">
      <c r="A327" t="s">
        <v>535</v>
      </c>
      <c r="B327" t="s">
        <v>105</v>
      </c>
      <c r="C327">
        <v>4</v>
      </c>
      <c r="D327" t="s">
        <v>3154</v>
      </c>
      <c r="E327">
        <v>54</v>
      </c>
      <c r="F327">
        <v>13</v>
      </c>
      <c r="G327">
        <v>41</v>
      </c>
      <c r="H327" t="s">
        <v>3493</v>
      </c>
      <c r="I327" t="s">
        <v>3490</v>
      </c>
      <c r="J327" t="s">
        <v>2908</v>
      </c>
    </row>
    <row r="328" spans="1:10" x14ac:dyDescent="0.25">
      <c r="A328" t="s">
        <v>535</v>
      </c>
      <c r="B328" t="s">
        <v>105</v>
      </c>
      <c r="C328">
        <v>4</v>
      </c>
      <c r="D328" t="s">
        <v>3156</v>
      </c>
      <c r="E328">
        <v>50</v>
      </c>
      <c r="F328">
        <v>23</v>
      </c>
      <c r="G328">
        <v>27</v>
      </c>
      <c r="H328" t="s">
        <v>3493</v>
      </c>
      <c r="I328" t="s">
        <v>3490</v>
      </c>
      <c r="J328" t="s">
        <v>2908</v>
      </c>
    </row>
    <row r="329" spans="1:10" x14ac:dyDescent="0.25">
      <c r="A329" t="s">
        <v>535</v>
      </c>
      <c r="B329" t="s">
        <v>105</v>
      </c>
      <c r="C329">
        <v>4</v>
      </c>
      <c r="D329" t="s">
        <v>3158</v>
      </c>
      <c r="E329">
        <v>55</v>
      </c>
      <c r="F329">
        <v>27</v>
      </c>
      <c r="G329">
        <v>28</v>
      </c>
      <c r="H329" t="s">
        <v>3493</v>
      </c>
      <c r="I329" t="s">
        <v>3490</v>
      </c>
      <c r="J329" t="s">
        <v>2908</v>
      </c>
    </row>
    <row r="330" spans="1:10" x14ac:dyDescent="0.25">
      <c r="A330" t="s">
        <v>535</v>
      </c>
      <c r="B330" t="s">
        <v>105</v>
      </c>
      <c r="C330">
        <v>4</v>
      </c>
      <c r="D330" t="s">
        <v>3160</v>
      </c>
      <c r="E330">
        <v>82</v>
      </c>
      <c r="F330">
        <v>29</v>
      </c>
      <c r="G330">
        <v>53</v>
      </c>
      <c r="H330" t="s">
        <v>196</v>
      </c>
      <c r="I330" t="s">
        <v>3490</v>
      </c>
      <c r="J330" t="s">
        <v>2908</v>
      </c>
    </row>
    <row r="331" spans="1:10" x14ac:dyDescent="0.25">
      <c r="A331" t="s">
        <v>535</v>
      </c>
      <c r="B331" t="s">
        <v>105</v>
      </c>
      <c r="C331">
        <v>4</v>
      </c>
      <c r="D331" t="s">
        <v>3162</v>
      </c>
      <c r="E331">
        <v>45</v>
      </c>
      <c r="F331">
        <v>10</v>
      </c>
      <c r="G331">
        <v>35</v>
      </c>
      <c r="H331" t="s">
        <v>3491</v>
      </c>
      <c r="I331" t="s">
        <v>3492</v>
      </c>
      <c r="J331" t="s">
        <v>2908</v>
      </c>
    </row>
    <row r="332" spans="1:10" x14ac:dyDescent="0.25">
      <c r="A332" t="s">
        <v>542</v>
      </c>
      <c r="B332" t="s">
        <v>63</v>
      </c>
      <c r="C332">
        <v>8</v>
      </c>
      <c r="D332" t="s">
        <v>3414</v>
      </c>
      <c r="E332">
        <v>63</v>
      </c>
      <c r="F332">
        <v>22</v>
      </c>
      <c r="G332">
        <v>41</v>
      </c>
      <c r="H332" t="s">
        <v>3489</v>
      </c>
      <c r="I332" t="s">
        <v>3490</v>
      </c>
      <c r="J332" t="s">
        <v>2932</v>
      </c>
    </row>
    <row r="333" spans="1:10" x14ac:dyDescent="0.25">
      <c r="A333" t="s">
        <v>542</v>
      </c>
      <c r="B333" t="s">
        <v>63</v>
      </c>
      <c r="C333">
        <v>8</v>
      </c>
      <c r="D333" t="s">
        <v>3416</v>
      </c>
      <c r="E333">
        <v>85</v>
      </c>
      <c r="F333">
        <v>25</v>
      </c>
      <c r="G333">
        <v>60</v>
      </c>
      <c r="H333" t="s">
        <v>196</v>
      </c>
      <c r="I333" t="s">
        <v>3490</v>
      </c>
      <c r="J333" t="s">
        <v>2932</v>
      </c>
    </row>
    <row r="334" spans="1:10" x14ac:dyDescent="0.25">
      <c r="A334" t="s">
        <v>542</v>
      </c>
      <c r="B334" t="s">
        <v>63</v>
      </c>
      <c r="C334">
        <v>8</v>
      </c>
      <c r="D334" t="s">
        <v>3418</v>
      </c>
      <c r="E334">
        <v>61</v>
      </c>
      <c r="F334">
        <v>25</v>
      </c>
      <c r="G334">
        <v>36</v>
      </c>
      <c r="H334" t="s">
        <v>3489</v>
      </c>
      <c r="I334" t="s">
        <v>3490</v>
      </c>
      <c r="J334" t="s">
        <v>2932</v>
      </c>
    </row>
    <row r="335" spans="1:10" x14ac:dyDescent="0.25">
      <c r="A335" t="s">
        <v>542</v>
      </c>
      <c r="B335" t="s">
        <v>63</v>
      </c>
      <c r="C335">
        <v>8</v>
      </c>
      <c r="D335" t="s">
        <v>3420</v>
      </c>
      <c r="E335">
        <v>77</v>
      </c>
      <c r="F335">
        <v>19</v>
      </c>
      <c r="G335">
        <v>58</v>
      </c>
      <c r="H335" t="s">
        <v>3494</v>
      </c>
      <c r="I335" t="s">
        <v>3490</v>
      </c>
      <c r="J335" t="s">
        <v>2932</v>
      </c>
    </row>
    <row r="336" spans="1:10" x14ac:dyDescent="0.25">
      <c r="A336" t="s">
        <v>542</v>
      </c>
      <c r="B336" t="s">
        <v>63</v>
      </c>
      <c r="C336">
        <v>8</v>
      </c>
      <c r="D336" t="s">
        <v>3422</v>
      </c>
      <c r="E336">
        <v>79</v>
      </c>
      <c r="F336">
        <v>13</v>
      </c>
      <c r="G336">
        <v>66</v>
      </c>
      <c r="H336" t="s">
        <v>3494</v>
      </c>
      <c r="I336" t="s">
        <v>3490</v>
      </c>
      <c r="J336" t="s">
        <v>2932</v>
      </c>
    </row>
    <row r="337" spans="1:10" x14ac:dyDescent="0.25">
      <c r="A337" t="s">
        <v>549</v>
      </c>
      <c r="B337" t="s">
        <v>212</v>
      </c>
      <c r="C337">
        <v>8</v>
      </c>
      <c r="D337" t="s">
        <v>3474</v>
      </c>
      <c r="E337">
        <v>43</v>
      </c>
      <c r="F337">
        <v>23</v>
      </c>
      <c r="G337">
        <v>20</v>
      </c>
      <c r="H337" t="s">
        <v>3491</v>
      </c>
      <c r="I337" t="s">
        <v>3492</v>
      </c>
      <c r="J337" t="s">
        <v>3001</v>
      </c>
    </row>
    <row r="338" spans="1:10" x14ac:dyDescent="0.25">
      <c r="A338" t="s">
        <v>549</v>
      </c>
      <c r="B338" t="s">
        <v>212</v>
      </c>
      <c r="C338">
        <v>8</v>
      </c>
      <c r="D338" t="s">
        <v>3476</v>
      </c>
      <c r="E338">
        <v>92</v>
      </c>
      <c r="F338">
        <v>29</v>
      </c>
      <c r="G338">
        <v>63</v>
      </c>
      <c r="H338" t="s">
        <v>3495</v>
      </c>
      <c r="I338" t="s">
        <v>3490</v>
      </c>
      <c r="J338" t="s">
        <v>3001</v>
      </c>
    </row>
    <row r="339" spans="1:10" x14ac:dyDescent="0.25">
      <c r="A339" t="s">
        <v>549</v>
      </c>
      <c r="B339" t="s">
        <v>212</v>
      </c>
      <c r="C339">
        <v>8</v>
      </c>
      <c r="D339" t="s">
        <v>3478</v>
      </c>
      <c r="E339">
        <v>61</v>
      </c>
      <c r="F339">
        <v>16</v>
      </c>
      <c r="G339">
        <v>45</v>
      </c>
      <c r="H339" t="s">
        <v>3489</v>
      </c>
      <c r="I339" t="s">
        <v>3490</v>
      </c>
      <c r="J339" t="s">
        <v>3001</v>
      </c>
    </row>
    <row r="340" spans="1:10" x14ac:dyDescent="0.25">
      <c r="A340" t="s">
        <v>549</v>
      </c>
      <c r="B340" t="s">
        <v>212</v>
      </c>
      <c r="C340">
        <v>8</v>
      </c>
      <c r="D340" t="s">
        <v>3480</v>
      </c>
      <c r="E340">
        <v>80</v>
      </c>
      <c r="F340">
        <v>21</v>
      </c>
      <c r="G340">
        <v>59</v>
      </c>
      <c r="H340" t="s">
        <v>196</v>
      </c>
      <c r="I340" t="s">
        <v>3490</v>
      </c>
      <c r="J340" t="s">
        <v>3001</v>
      </c>
    </row>
    <row r="341" spans="1:10" x14ac:dyDescent="0.25">
      <c r="A341" t="s">
        <v>549</v>
      </c>
      <c r="B341" t="s">
        <v>212</v>
      </c>
      <c r="C341">
        <v>8</v>
      </c>
      <c r="D341" t="s">
        <v>3482</v>
      </c>
      <c r="E341">
        <v>49</v>
      </c>
      <c r="F341">
        <v>21</v>
      </c>
      <c r="G341">
        <v>28</v>
      </c>
      <c r="H341" t="s">
        <v>3491</v>
      </c>
      <c r="I341" t="s">
        <v>3492</v>
      </c>
      <c r="J341" t="s">
        <v>3001</v>
      </c>
    </row>
    <row r="342" spans="1:10" x14ac:dyDescent="0.25">
      <c r="A342" t="s">
        <v>556</v>
      </c>
      <c r="B342" t="s">
        <v>63</v>
      </c>
      <c r="C342">
        <v>4</v>
      </c>
      <c r="D342" t="s">
        <v>3394</v>
      </c>
      <c r="E342">
        <v>35</v>
      </c>
      <c r="F342">
        <v>11</v>
      </c>
      <c r="G342">
        <v>24</v>
      </c>
      <c r="H342" t="s">
        <v>3491</v>
      </c>
      <c r="I342" t="s">
        <v>3492</v>
      </c>
      <c r="J342" t="s">
        <v>2932</v>
      </c>
    </row>
    <row r="343" spans="1:10" x14ac:dyDescent="0.25">
      <c r="A343" t="s">
        <v>556</v>
      </c>
      <c r="B343" t="s">
        <v>63</v>
      </c>
      <c r="C343">
        <v>4</v>
      </c>
      <c r="D343" t="s">
        <v>3396</v>
      </c>
      <c r="E343">
        <v>77</v>
      </c>
      <c r="F343">
        <v>19</v>
      </c>
      <c r="G343">
        <v>58</v>
      </c>
      <c r="H343" t="s">
        <v>3494</v>
      </c>
      <c r="I343" t="s">
        <v>3490</v>
      </c>
      <c r="J343" t="s">
        <v>2932</v>
      </c>
    </row>
    <row r="344" spans="1:10" x14ac:dyDescent="0.25">
      <c r="A344" t="s">
        <v>556</v>
      </c>
      <c r="B344" t="s">
        <v>63</v>
      </c>
      <c r="C344">
        <v>4</v>
      </c>
      <c r="D344" t="s">
        <v>3398</v>
      </c>
      <c r="E344">
        <v>39</v>
      </c>
      <c r="F344">
        <v>12</v>
      </c>
      <c r="G344">
        <v>27</v>
      </c>
      <c r="H344" t="s">
        <v>3491</v>
      </c>
      <c r="I344" t="s">
        <v>3492</v>
      </c>
      <c r="J344" t="s">
        <v>2932</v>
      </c>
    </row>
    <row r="345" spans="1:10" x14ac:dyDescent="0.25">
      <c r="A345" t="s">
        <v>556</v>
      </c>
      <c r="B345" t="s">
        <v>63</v>
      </c>
      <c r="C345">
        <v>4</v>
      </c>
      <c r="D345" t="s">
        <v>3400</v>
      </c>
      <c r="E345">
        <v>86</v>
      </c>
      <c r="F345">
        <v>26</v>
      </c>
      <c r="G345">
        <v>60</v>
      </c>
      <c r="H345" t="s">
        <v>196</v>
      </c>
      <c r="I345" t="s">
        <v>3490</v>
      </c>
      <c r="J345" t="s">
        <v>2932</v>
      </c>
    </row>
    <row r="346" spans="1:10" x14ac:dyDescent="0.25">
      <c r="A346" t="s">
        <v>556</v>
      </c>
      <c r="B346" t="s">
        <v>63</v>
      </c>
      <c r="C346">
        <v>4</v>
      </c>
      <c r="D346" t="s">
        <v>3402</v>
      </c>
      <c r="E346">
        <v>66</v>
      </c>
      <c r="F346">
        <v>28</v>
      </c>
      <c r="G346">
        <v>38</v>
      </c>
      <c r="H346" t="s">
        <v>3489</v>
      </c>
      <c r="I346" t="s">
        <v>3490</v>
      </c>
      <c r="J346" t="s">
        <v>2932</v>
      </c>
    </row>
    <row r="347" spans="1:10" x14ac:dyDescent="0.25">
      <c r="A347" t="s">
        <v>563</v>
      </c>
      <c r="B347" t="s">
        <v>30</v>
      </c>
      <c r="C347">
        <v>8</v>
      </c>
      <c r="D347" t="s">
        <v>3354</v>
      </c>
      <c r="E347">
        <v>67</v>
      </c>
      <c r="F347">
        <v>13</v>
      </c>
      <c r="G347">
        <v>54</v>
      </c>
      <c r="H347" t="s">
        <v>3489</v>
      </c>
      <c r="I347" t="s">
        <v>3490</v>
      </c>
      <c r="J347" t="s">
        <v>2895</v>
      </c>
    </row>
    <row r="348" spans="1:10" x14ac:dyDescent="0.25">
      <c r="A348" t="s">
        <v>563</v>
      </c>
      <c r="B348" t="s">
        <v>30</v>
      </c>
      <c r="C348">
        <v>8</v>
      </c>
      <c r="D348" t="s">
        <v>3356</v>
      </c>
      <c r="E348">
        <v>53</v>
      </c>
      <c r="F348">
        <v>19</v>
      </c>
      <c r="G348">
        <v>34</v>
      </c>
      <c r="H348" t="s">
        <v>3493</v>
      </c>
      <c r="I348" t="s">
        <v>3490</v>
      </c>
      <c r="J348" t="s">
        <v>2895</v>
      </c>
    </row>
    <row r="349" spans="1:10" x14ac:dyDescent="0.25">
      <c r="A349" t="s">
        <v>563</v>
      </c>
      <c r="B349" t="s">
        <v>30</v>
      </c>
      <c r="C349">
        <v>8</v>
      </c>
      <c r="D349" t="s">
        <v>3358</v>
      </c>
      <c r="E349">
        <v>62</v>
      </c>
      <c r="F349">
        <v>17</v>
      </c>
      <c r="G349">
        <v>45</v>
      </c>
      <c r="H349" t="s">
        <v>3489</v>
      </c>
      <c r="I349" t="s">
        <v>3490</v>
      </c>
      <c r="J349" t="s">
        <v>2895</v>
      </c>
    </row>
    <row r="350" spans="1:10" x14ac:dyDescent="0.25">
      <c r="A350" t="s">
        <v>563</v>
      </c>
      <c r="B350" t="s">
        <v>30</v>
      </c>
      <c r="C350">
        <v>8</v>
      </c>
      <c r="D350" t="s">
        <v>3360</v>
      </c>
      <c r="E350">
        <v>76</v>
      </c>
      <c r="F350">
        <v>26</v>
      </c>
      <c r="G350">
        <v>50</v>
      </c>
      <c r="H350" t="s">
        <v>3494</v>
      </c>
      <c r="I350" t="s">
        <v>3490</v>
      </c>
      <c r="J350" t="s">
        <v>2895</v>
      </c>
    </row>
    <row r="351" spans="1:10" x14ac:dyDescent="0.25">
      <c r="A351" t="s">
        <v>563</v>
      </c>
      <c r="B351" t="s">
        <v>30</v>
      </c>
      <c r="C351">
        <v>8</v>
      </c>
      <c r="D351" t="s">
        <v>3362</v>
      </c>
      <c r="E351">
        <v>41</v>
      </c>
      <c r="F351">
        <v>20</v>
      </c>
      <c r="G351">
        <v>21</v>
      </c>
      <c r="H351" t="s">
        <v>3491</v>
      </c>
      <c r="I351" t="s">
        <v>3492</v>
      </c>
      <c r="J351" t="s">
        <v>2895</v>
      </c>
    </row>
    <row r="352" spans="1:10" x14ac:dyDescent="0.25">
      <c r="A352" t="s">
        <v>571</v>
      </c>
      <c r="B352" t="s">
        <v>63</v>
      </c>
      <c r="C352">
        <v>4</v>
      </c>
      <c r="D352" t="s">
        <v>3394</v>
      </c>
      <c r="E352">
        <v>56</v>
      </c>
      <c r="F352">
        <v>28</v>
      </c>
      <c r="G352">
        <v>28</v>
      </c>
      <c r="H352" t="s">
        <v>3493</v>
      </c>
      <c r="I352" t="s">
        <v>3490</v>
      </c>
      <c r="J352" t="s">
        <v>2932</v>
      </c>
    </row>
    <row r="353" spans="1:10" x14ac:dyDescent="0.25">
      <c r="A353" t="s">
        <v>571</v>
      </c>
      <c r="B353" t="s">
        <v>63</v>
      </c>
      <c r="C353">
        <v>4</v>
      </c>
      <c r="D353" t="s">
        <v>3396</v>
      </c>
      <c r="E353">
        <v>55</v>
      </c>
      <c r="F353">
        <v>23</v>
      </c>
      <c r="G353">
        <v>32</v>
      </c>
      <c r="H353" t="s">
        <v>3493</v>
      </c>
      <c r="I353" t="s">
        <v>3490</v>
      </c>
      <c r="J353" t="s">
        <v>2932</v>
      </c>
    </row>
    <row r="354" spans="1:10" x14ac:dyDescent="0.25">
      <c r="A354" t="s">
        <v>571</v>
      </c>
      <c r="B354" t="s">
        <v>63</v>
      </c>
      <c r="C354">
        <v>4</v>
      </c>
      <c r="D354" t="s">
        <v>3398</v>
      </c>
      <c r="E354">
        <v>81</v>
      </c>
      <c r="F354">
        <v>15</v>
      </c>
      <c r="G354">
        <v>66</v>
      </c>
      <c r="H354" t="s">
        <v>196</v>
      </c>
      <c r="I354" t="s">
        <v>3490</v>
      </c>
      <c r="J354" t="s">
        <v>2932</v>
      </c>
    </row>
    <row r="355" spans="1:10" x14ac:dyDescent="0.25">
      <c r="A355" t="s">
        <v>571</v>
      </c>
      <c r="B355" t="s">
        <v>63</v>
      </c>
      <c r="C355">
        <v>4</v>
      </c>
      <c r="D355" t="s">
        <v>3400</v>
      </c>
      <c r="E355">
        <v>48</v>
      </c>
      <c r="F355">
        <v>15</v>
      </c>
      <c r="G355">
        <v>33</v>
      </c>
      <c r="H355" t="s">
        <v>3491</v>
      </c>
      <c r="I355" t="s">
        <v>3492</v>
      </c>
      <c r="J355" t="s">
        <v>2932</v>
      </c>
    </row>
    <row r="356" spans="1:10" x14ac:dyDescent="0.25">
      <c r="A356" t="s">
        <v>571</v>
      </c>
      <c r="B356" t="s">
        <v>63</v>
      </c>
      <c r="C356">
        <v>4</v>
      </c>
      <c r="D356" t="s">
        <v>3402</v>
      </c>
      <c r="E356">
        <v>87</v>
      </c>
      <c r="F356">
        <v>29</v>
      </c>
      <c r="G356">
        <v>58</v>
      </c>
      <c r="H356" t="s">
        <v>196</v>
      </c>
      <c r="I356" t="s">
        <v>3490</v>
      </c>
      <c r="J356" t="s">
        <v>2932</v>
      </c>
    </row>
    <row r="357" spans="1:10" x14ac:dyDescent="0.25">
      <c r="A357" t="s">
        <v>577</v>
      </c>
      <c r="B357" t="s">
        <v>95</v>
      </c>
      <c r="C357">
        <v>8</v>
      </c>
      <c r="D357" t="s">
        <v>3234</v>
      </c>
      <c r="E357">
        <v>55</v>
      </c>
      <c r="F357">
        <v>26</v>
      </c>
      <c r="G357">
        <v>29</v>
      </c>
      <c r="H357" t="s">
        <v>3493</v>
      </c>
      <c r="I357" t="s">
        <v>3490</v>
      </c>
      <c r="J357" t="s">
        <v>2889</v>
      </c>
    </row>
    <row r="358" spans="1:10" x14ac:dyDescent="0.25">
      <c r="A358" t="s">
        <v>577</v>
      </c>
      <c r="B358" t="s">
        <v>95</v>
      </c>
      <c r="C358">
        <v>8</v>
      </c>
      <c r="D358" t="s">
        <v>3236</v>
      </c>
      <c r="E358">
        <v>47</v>
      </c>
      <c r="F358">
        <v>12</v>
      </c>
      <c r="G358">
        <v>35</v>
      </c>
      <c r="H358" t="s">
        <v>3491</v>
      </c>
      <c r="I358" t="s">
        <v>3492</v>
      </c>
      <c r="J358" t="s">
        <v>2889</v>
      </c>
    </row>
    <row r="359" spans="1:10" x14ac:dyDescent="0.25">
      <c r="A359" t="s">
        <v>577</v>
      </c>
      <c r="B359" t="s">
        <v>95</v>
      </c>
      <c r="C359">
        <v>8</v>
      </c>
      <c r="D359" t="s">
        <v>3238</v>
      </c>
      <c r="E359">
        <v>61</v>
      </c>
      <c r="F359">
        <v>24</v>
      </c>
      <c r="G359">
        <v>37</v>
      </c>
      <c r="H359" t="s">
        <v>3489</v>
      </c>
      <c r="I359" t="s">
        <v>3490</v>
      </c>
      <c r="J359" t="s">
        <v>2889</v>
      </c>
    </row>
    <row r="360" spans="1:10" x14ac:dyDescent="0.25">
      <c r="A360" t="s">
        <v>577</v>
      </c>
      <c r="B360" t="s">
        <v>95</v>
      </c>
      <c r="C360">
        <v>8</v>
      </c>
      <c r="D360" t="s">
        <v>3240</v>
      </c>
      <c r="E360">
        <v>61</v>
      </c>
      <c r="F360">
        <v>20</v>
      </c>
      <c r="G360">
        <v>41</v>
      </c>
      <c r="H360" t="s">
        <v>3489</v>
      </c>
      <c r="I360" t="s">
        <v>3490</v>
      </c>
      <c r="J360" t="s">
        <v>2889</v>
      </c>
    </row>
    <row r="361" spans="1:10" x14ac:dyDescent="0.25">
      <c r="A361" t="s">
        <v>577</v>
      </c>
      <c r="B361" t="s">
        <v>95</v>
      </c>
      <c r="C361">
        <v>8</v>
      </c>
      <c r="D361" t="s">
        <v>3242</v>
      </c>
      <c r="E361">
        <v>47</v>
      </c>
      <c r="F361">
        <v>23</v>
      </c>
      <c r="G361">
        <v>24</v>
      </c>
      <c r="H361" t="s">
        <v>3491</v>
      </c>
      <c r="I361" t="s">
        <v>3492</v>
      </c>
      <c r="J361" t="s">
        <v>2889</v>
      </c>
    </row>
    <row r="362" spans="1:10" x14ac:dyDescent="0.25">
      <c r="A362" t="s">
        <v>582</v>
      </c>
      <c r="B362" t="s">
        <v>75</v>
      </c>
      <c r="C362">
        <v>4</v>
      </c>
      <c r="D362" t="s">
        <v>3034</v>
      </c>
      <c r="E362">
        <v>48</v>
      </c>
      <c r="F362">
        <v>12</v>
      </c>
      <c r="G362">
        <v>36</v>
      </c>
      <c r="H362" t="s">
        <v>3491</v>
      </c>
      <c r="I362" t="s">
        <v>3492</v>
      </c>
      <c r="J362" t="s">
        <v>2961</v>
      </c>
    </row>
    <row r="363" spans="1:10" x14ac:dyDescent="0.25">
      <c r="A363" t="s">
        <v>582</v>
      </c>
      <c r="B363" t="s">
        <v>75</v>
      </c>
      <c r="C363">
        <v>4</v>
      </c>
      <c r="D363" t="s">
        <v>3036</v>
      </c>
      <c r="E363">
        <v>75</v>
      </c>
      <c r="F363">
        <v>11</v>
      </c>
      <c r="G363">
        <v>64</v>
      </c>
      <c r="H363" t="s">
        <v>3494</v>
      </c>
      <c r="I363" t="s">
        <v>3490</v>
      </c>
      <c r="J363" t="s">
        <v>2961</v>
      </c>
    </row>
    <row r="364" spans="1:10" x14ac:dyDescent="0.25">
      <c r="A364" t="s">
        <v>582</v>
      </c>
      <c r="B364" t="s">
        <v>75</v>
      </c>
      <c r="C364">
        <v>4</v>
      </c>
      <c r="D364" t="s">
        <v>3038</v>
      </c>
      <c r="E364">
        <v>47</v>
      </c>
      <c r="F364">
        <v>19</v>
      </c>
      <c r="G364">
        <v>28</v>
      </c>
      <c r="H364" t="s">
        <v>3491</v>
      </c>
      <c r="I364" t="s">
        <v>3492</v>
      </c>
      <c r="J364" t="s">
        <v>2961</v>
      </c>
    </row>
    <row r="365" spans="1:10" x14ac:dyDescent="0.25">
      <c r="A365" t="s">
        <v>582</v>
      </c>
      <c r="B365" t="s">
        <v>75</v>
      </c>
      <c r="C365">
        <v>4</v>
      </c>
      <c r="D365" t="s">
        <v>3040</v>
      </c>
      <c r="E365">
        <v>80</v>
      </c>
      <c r="F365">
        <v>26</v>
      </c>
      <c r="G365">
        <v>54</v>
      </c>
      <c r="H365" t="s">
        <v>196</v>
      </c>
      <c r="I365" t="s">
        <v>3490</v>
      </c>
      <c r="J365" t="s">
        <v>2961</v>
      </c>
    </row>
    <row r="366" spans="1:10" x14ac:dyDescent="0.25">
      <c r="A366" t="s">
        <v>582</v>
      </c>
      <c r="B366" t="s">
        <v>75</v>
      </c>
      <c r="C366">
        <v>4</v>
      </c>
      <c r="D366" t="s">
        <v>3042</v>
      </c>
      <c r="E366">
        <v>90</v>
      </c>
      <c r="F366">
        <v>23</v>
      </c>
      <c r="G366">
        <v>67</v>
      </c>
      <c r="H366" t="s">
        <v>3495</v>
      </c>
      <c r="I366" t="s">
        <v>3490</v>
      </c>
      <c r="J366" t="s">
        <v>2961</v>
      </c>
    </row>
    <row r="367" spans="1:10" x14ac:dyDescent="0.25">
      <c r="A367" t="s">
        <v>587</v>
      </c>
      <c r="B367" t="s">
        <v>30</v>
      </c>
      <c r="C367">
        <v>4</v>
      </c>
      <c r="D367" t="s">
        <v>3334</v>
      </c>
      <c r="E367">
        <v>54</v>
      </c>
      <c r="F367">
        <v>11</v>
      </c>
      <c r="G367">
        <v>43</v>
      </c>
      <c r="H367" t="s">
        <v>3493</v>
      </c>
      <c r="I367" t="s">
        <v>3490</v>
      </c>
      <c r="J367" t="s">
        <v>2895</v>
      </c>
    </row>
    <row r="368" spans="1:10" x14ac:dyDescent="0.25">
      <c r="A368" t="s">
        <v>587</v>
      </c>
      <c r="B368" t="s">
        <v>30</v>
      </c>
      <c r="C368">
        <v>4</v>
      </c>
      <c r="D368" t="s">
        <v>3336</v>
      </c>
      <c r="E368">
        <v>51</v>
      </c>
      <c r="F368">
        <v>30</v>
      </c>
      <c r="G368">
        <v>21</v>
      </c>
      <c r="H368" t="s">
        <v>3493</v>
      </c>
      <c r="I368" t="s">
        <v>3490</v>
      </c>
      <c r="J368" t="s">
        <v>2895</v>
      </c>
    </row>
    <row r="369" spans="1:10" x14ac:dyDescent="0.25">
      <c r="A369" t="s">
        <v>587</v>
      </c>
      <c r="B369" t="s">
        <v>30</v>
      </c>
      <c r="C369">
        <v>4</v>
      </c>
      <c r="D369" t="s">
        <v>3338</v>
      </c>
      <c r="E369">
        <v>55</v>
      </c>
      <c r="F369">
        <v>20</v>
      </c>
      <c r="G369">
        <v>35</v>
      </c>
      <c r="H369" t="s">
        <v>3493</v>
      </c>
      <c r="I369" t="s">
        <v>3490</v>
      </c>
      <c r="J369" t="s">
        <v>2895</v>
      </c>
    </row>
    <row r="370" spans="1:10" x14ac:dyDescent="0.25">
      <c r="A370" t="s">
        <v>587</v>
      </c>
      <c r="B370" t="s">
        <v>30</v>
      </c>
      <c r="C370">
        <v>4</v>
      </c>
      <c r="D370" t="s">
        <v>3340</v>
      </c>
      <c r="E370">
        <v>70</v>
      </c>
      <c r="F370">
        <v>25</v>
      </c>
      <c r="G370">
        <v>45</v>
      </c>
      <c r="H370" t="s">
        <v>3494</v>
      </c>
      <c r="I370" t="s">
        <v>3490</v>
      </c>
      <c r="J370" t="s">
        <v>2895</v>
      </c>
    </row>
    <row r="371" spans="1:10" x14ac:dyDescent="0.25">
      <c r="A371" t="s">
        <v>587</v>
      </c>
      <c r="B371" t="s">
        <v>30</v>
      </c>
      <c r="C371">
        <v>4</v>
      </c>
      <c r="D371" t="s">
        <v>3342</v>
      </c>
      <c r="E371">
        <v>70</v>
      </c>
      <c r="F371">
        <v>23</v>
      </c>
      <c r="G371">
        <v>47</v>
      </c>
      <c r="H371" t="s">
        <v>3494</v>
      </c>
      <c r="I371" t="s">
        <v>3490</v>
      </c>
      <c r="J371" t="s">
        <v>2895</v>
      </c>
    </row>
    <row r="372" spans="1:10" x14ac:dyDescent="0.25">
      <c r="A372" t="s">
        <v>594</v>
      </c>
      <c r="B372" t="s">
        <v>105</v>
      </c>
      <c r="C372">
        <v>6</v>
      </c>
      <c r="D372" t="s">
        <v>3174</v>
      </c>
      <c r="E372">
        <v>64</v>
      </c>
      <c r="F372">
        <v>11</v>
      </c>
      <c r="G372">
        <v>53</v>
      </c>
      <c r="H372" t="s">
        <v>3489</v>
      </c>
      <c r="I372" t="s">
        <v>3490</v>
      </c>
      <c r="J372" t="s">
        <v>2908</v>
      </c>
    </row>
    <row r="373" spans="1:10" x14ac:dyDescent="0.25">
      <c r="A373" t="s">
        <v>594</v>
      </c>
      <c r="B373" t="s">
        <v>105</v>
      </c>
      <c r="C373">
        <v>6</v>
      </c>
      <c r="D373" t="s">
        <v>3176</v>
      </c>
      <c r="E373">
        <v>40</v>
      </c>
      <c r="F373">
        <v>13</v>
      </c>
      <c r="G373">
        <v>27</v>
      </c>
      <c r="H373" t="s">
        <v>3491</v>
      </c>
      <c r="I373" t="s">
        <v>3492</v>
      </c>
      <c r="J373" t="s">
        <v>2908</v>
      </c>
    </row>
    <row r="374" spans="1:10" x14ac:dyDescent="0.25">
      <c r="A374" t="s">
        <v>594</v>
      </c>
      <c r="B374" t="s">
        <v>105</v>
      </c>
      <c r="C374">
        <v>6</v>
      </c>
      <c r="D374" t="s">
        <v>3178</v>
      </c>
      <c r="E374">
        <v>61</v>
      </c>
      <c r="F374">
        <v>14</v>
      </c>
      <c r="G374">
        <v>47</v>
      </c>
      <c r="H374" t="s">
        <v>3489</v>
      </c>
      <c r="I374" t="s">
        <v>3490</v>
      </c>
      <c r="J374" t="s">
        <v>2908</v>
      </c>
    </row>
    <row r="375" spans="1:10" x14ac:dyDescent="0.25">
      <c r="A375" t="s">
        <v>594</v>
      </c>
      <c r="B375" t="s">
        <v>105</v>
      </c>
      <c r="C375">
        <v>6</v>
      </c>
      <c r="D375" t="s">
        <v>3180</v>
      </c>
      <c r="E375">
        <v>32</v>
      </c>
      <c r="F375">
        <v>10</v>
      </c>
      <c r="G375">
        <v>22</v>
      </c>
      <c r="H375" t="s">
        <v>3491</v>
      </c>
      <c r="I375" t="s">
        <v>3492</v>
      </c>
      <c r="J375" t="s">
        <v>2908</v>
      </c>
    </row>
    <row r="376" spans="1:10" x14ac:dyDescent="0.25">
      <c r="A376" t="s">
        <v>594</v>
      </c>
      <c r="B376" t="s">
        <v>105</v>
      </c>
      <c r="C376">
        <v>6</v>
      </c>
      <c r="D376" t="s">
        <v>3182</v>
      </c>
      <c r="E376">
        <v>39</v>
      </c>
      <c r="F376">
        <v>16</v>
      </c>
      <c r="G376">
        <v>23</v>
      </c>
      <c r="H376" t="s">
        <v>3491</v>
      </c>
      <c r="I376" t="s">
        <v>3492</v>
      </c>
      <c r="J376" t="s">
        <v>2908</v>
      </c>
    </row>
    <row r="377" spans="1:10" x14ac:dyDescent="0.25">
      <c r="A377" t="s">
        <v>601</v>
      </c>
      <c r="B377" t="s">
        <v>95</v>
      </c>
      <c r="C377">
        <v>8</v>
      </c>
      <c r="D377" t="s">
        <v>3234</v>
      </c>
      <c r="E377">
        <v>59</v>
      </c>
      <c r="F377">
        <v>26</v>
      </c>
      <c r="G377">
        <v>33</v>
      </c>
      <c r="H377" t="s">
        <v>3493</v>
      </c>
      <c r="I377" t="s">
        <v>3490</v>
      </c>
      <c r="J377" t="s">
        <v>2889</v>
      </c>
    </row>
    <row r="378" spans="1:10" x14ac:dyDescent="0.25">
      <c r="A378" t="s">
        <v>601</v>
      </c>
      <c r="B378" t="s">
        <v>95</v>
      </c>
      <c r="C378">
        <v>8</v>
      </c>
      <c r="D378" t="s">
        <v>3236</v>
      </c>
      <c r="E378">
        <v>65</v>
      </c>
      <c r="F378">
        <v>21</v>
      </c>
      <c r="G378">
        <v>44</v>
      </c>
      <c r="H378" t="s">
        <v>3489</v>
      </c>
      <c r="I378" t="s">
        <v>3490</v>
      </c>
      <c r="J378" t="s">
        <v>2889</v>
      </c>
    </row>
    <row r="379" spans="1:10" x14ac:dyDescent="0.25">
      <c r="A379" t="s">
        <v>601</v>
      </c>
      <c r="B379" t="s">
        <v>95</v>
      </c>
      <c r="C379">
        <v>8</v>
      </c>
      <c r="D379" t="s">
        <v>3238</v>
      </c>
      <c r="E379">
        <v>80</v>
      </c>
      <c r="F379">
        <v>22</v>
      </c>
      <c r="G379">
        <v>58</v>
      </c>
      <c r="H379" t="s">
        <v>196</v>
      </c>
      <c r="I379" t="s">
        <v>3490</v>
      </c>
      <c r="J379" t="s">
        <v>2889</v>
      </c>
    </row>
    <row r="380" spans="1:10" x14ac:dyDescent="0.25">
      <c r="A380" t="s">
        <v>601</v>
      </c>
      <c r="B380" t="s">
        <v>95</v>
      </c>
      <c r="C380">
        <v>8</v>
      </c>
      <c r="D380" t="s">
        <v>3240</v>
      </c>
      <c r="E380">
        <v>80</v>
      </c>
      <c r="F380">
        <v>12</v>
      </c>
      <c r="G380">
        <v>68</v>
      </c>
      <c r="H380" t="s">
        <v>196</v>
      </c>
      <c r="I380" t="s">
        <v>3490</v>
      </c>
      <c r="J380" t="s">
        <v>2889</v>
      </c>
    </row>
    <row r="381" spans="1:10" x14ac:dyDescent="0.25">
      <c r="A381" t="s">
        <v>601</v>
      </c>
      <c r="B381" t="s">
        <v>95</v>
      </c>
      <c r="C381">
        <v>8</v>
      </c>
      <c r="D381" t="s">
        <v>3242</v>
      </c>
      <c r="E381">
        <v>54</v>
      </c>
      <c r="F381">
        <v>10</v>
      </c>
      <c r="G381">
        <v>44</v>
      </c>
      <c r="H381" t="s">
        <v>3493</v>
      </c>
      <c r="I381" t="s">
        <v>3490</v>
      </c>
      <c r="J381" t="s">
        <v>2889</v>
      </c>
    </row>
    <row r="382" spans="1:10" x14ac:dyDescent="0.25">
      <c r="A382" t="s">
        <v>607</v>
      </c>
      <c r="B382" t="s">
        <v>95</v>
      </c>
      <c r="C382">
        <v>8</v>
      </c>
      <c r="D382" t="s">
        <v>3234</v>
      </c>
      <c r="E382">
        <v>77</v>
      </c>
      <c r="F382">
        <v>14</v>
      </c>
      <c r="G382">
        <v>63</v>
      </c>
      <c r="H382" t="s">
        <v>3494</v>
      </c>
      <c r="I382" t="s">
        <v>3490</v>
      </c>
      <c r="J382" t="s">
        <v>2889</v>
      </c>
    </row>
    <row r="383" spans="1:10" x14ac:dyDescent="0.25">
      <c r="A383" t="s">
        <v>607</v>
      </c>
      <c r="B383" t="s">
        <v>95</v>
      </c>
      <c r="C383">
        <v>8</v>
      </c>
      <c r="D383" t="s">
        <v>3236</v>
      </c>
      <c r="E383">
        <v>48</v>
      </c>
      <c r="F383">
        <v>24</v>
      </c>
      <c r="G383">
        <v>24</v>
      </c>
      <c r="H383" t="s">
        <v>3491</v>
      </c>
      <c r="I383" t="s">
        <v>3492</v>
      </c>
      <c r="J383" t="s">
        <v>2889</v>
      </c>
    </row>
    <row r="384" spans="1:10" x14ac:dyDescent="0.25">
      <c r="A384" t="s">
        <v>607</v>
      </c>
      <c r="B384" t="s">
        <v>95</v>
      </c>
      <c r="C384">
        <v>8</v>
      </c>
      <c r="D384" t="s">
        <v>3238</v>
      </c>
      <c r="E384">
        <v>87</v>
      </c>
      <c r="F384">
        <v>20</v>
      </c>
      <c r="G384">
        <v>67</v>
      </c>
      <c r="H384" t="s">
        <v>196</v>
      </c>
      <c r="I384" t="s">
        <v>3490</v>
      </c>
      <c r="J384" t="s">
        <v>2889</v>
      </c>
    </row>
    <row r="385" spans="1:10" x14ac:dyDescent="0.25">
      <c r="A385" t="s">
        <v>607</v>
      </c>
      <c r="B385" t="s">
        <v>95</v>
      </c>
      <c r="C385">
        <v>8</v>
      </c>
      <c r="D385" t="s">
        <v>3240</v>
      </c>
      <c r="E385">
        <v>42</v>
      </c>
      <c r="F385">
        <v>16</v>
      </c>
      <c r="G385">
        <v>26</v>
      </c>
      <c r="H385" t="s">
        <v>3491</v>
      </c>
      <c r="I385" t="s">
        <v>3492</v>
      </c>
      <c r="J385" t="s">
        <v>2889</v>
      </c>
    </row>
    <row r="386" spans="1:10" x14ac:dyDescent="0.25">
      <c r="A386" t="s">
        <v>607</v>
      </c>
      <c r="B386" t="s">
        <v>95</v>
      </c>
      <c r="C386">
        <v>8</v>
      </c>
      <c r="D386" t="s">
        <v>3242</v>
      </c>
      <c r="E386">
        <v>84</v>
      </c>
      <c r="F386">
        <v>15</v>
      </c>
      <c r="G386">
        <v>69</v>
      </c>
      <c r="H386" t="s">
        <v>196</v>
      </c>
      <c r="I386" t="s">
        <v>3490</v>
      </c>
      <c r="J386" t="s">
        <v>2889</v>
      </c>
    </row>
    <row r="387" spans="1:10" x14ac:dyDescent="0.25">
      <c r="A387" t="s">
        <v>614</v>
      </c>
      <c r="B387" t="s">
        <v>30</v>
      </c>
      <c r="C387">
        <v>4</v>
      </c>
      <c r="D387" t="s">
        <v>3334</v>
      </c>
      <c r="E387">
        <v>52</v>
      </c>
      <c r="F387">
        <v>16</v>
      </c>
      <c r="G387">
        <v>36</v>
      </c>
      <c r="H387" t="s">
        <v>3493</v>
      </c>
      <c r="I387" t="s">
        <v>3490</v>
      </c>
      <c r="J387" t="s">
        <v>2895</v>
      </c>
    </row>
    <row r="388" spans="1:10" x14ac:dyDescent="0.25">
      <c r="A388" t="s">
        <v>614</v>
      </c>
      <c r="B388" t="s">
        <v>30</v>
      </c>
      <c r="C388">
        <v>4</v>
      </c>
      <c r="D388" t="s">
        <v>3336</v>
      </c>
      <c r="E388">
        <v>62</v>
      </c>
      <c r="F388">
        <v>20</v>
      </c>
      <c r="G388">
        <v>42</v>
      </c>
      <c r="H388" t="s">
        <v>3489</v>
      </c>
      <c r="I388" t="s">
        <v>3490</v>
      </c>
      <c r="J388" t="s">
        <v>2895</v>
      </c>
    </row>
    <row r="389" spans="1:10" x14ac:dyDescent="0.25">
      <c r="A389" t="s">
        <v>614</v>
      </c>
      <c r="B389" t="s">
        <v>30</v>
      </c>
      <c r="C389">
        <v>4</v>
      </c>
      <c r="D389" t="s">
        <v>3338</v>
      </c>
      <c r="E389">
        <v>58</v>
      </c>
      <c r="F389">
        <v>11</v>
      </c>
      <c r="G389">
        <v>47</v>
      </c>
      <c r="H389" t="s">
        <v>3493</v>
      </c>
      <c r="I389" t="s">
        <v>3490</v>
      </c>
      <c r="J389" t="s">
        <v>2895</v>
      </c>
    </row>
    <row r="390" spans="1:10" x14ac:dyDescent="0.25">
      <c r="A390" t="s">
        <v>614</v>
      </c>
      <c r="B390" t="s">
        <v>30</v>
      </c>
      <c r="C390">
        <v>4</v>
      </c>
      <c r="D390" t="s">
        <v>3340</v>
      </c>
      <c r="E390">
        <v>81</v>
      </c>
      <c r="F390">
        <v>26</v>
      </c>
      <c r="G390">
        <v>55</v>
      </c>
      <c r="H390" t="s">
        <v>196</v>
      </c>
      <c r="I390" t="s">
        <v>3490</v>
      </c>
      <c r="J390" t="s">
        <v>2895</v>
      </c>
    </row>
    <row r="391" spans="1:10" x14ac:dyDescent="0.25">
      <c r="A391" t="s">
        <v>614</v>
      </c>
      <c r="B391" t="s">
        <v>30</v>
      </c>
      <c r="C391">
        <v>4</v>
      </c>
      <c r="D391" t="s">
        <v>3342</v>
      </c>
      <c r="E391">
        <v>62</v>
      </c>
      <c r="F391">
        <v>15</v>
      </c>
      <c r="G391">
        <v>47</v>
      </c>
      <c r="H391" t="s">
        <v>3489</v>
      </c>
      <c r="I391" t="s">
        <v>3490</v>
      </c>
      <c r="J391" t="s">
        <v>2895</v>
      </c>
    </row>
    <row r="392" spans="1:10" x14ac:dyDescent="0.25">
      <c r="A392" t="s">
        <v>621</v>
      </c>
      <c r="B392" t="s">
        <v>63</v>
      </c>
      <c r="C392">
        <v>6</v>
      </c>
      <c r="D392" t="s">
        <v>3414</v>
      </c>
      <c r="E392">
        <v>54</v>
      </c>
      <c r="F392">
        <v>28</v>
      </c>
      <c r="G392">
        <v>26</v>
      </c>
      <c r="H392" t="s">
        <v>3493</v>
      </c>
      <c r="I392" t="s">
        <v>3490</v>
      </c>
      <c r="J392" t="s">
        <v>2932</v>
      </c>
    </row>
    <row r="393" spans="1:10" x14ac:dyDescent="0.25">
      <c r="A393" t="s">
        <v>621</v>
      </c>
      <c r="B393" t="s">
        <v>63</v>
      </c>
      <c r="C393">
        <v>6</v>
      </c>
      <c r="D393" t="s">
        <v>3416</v>
      </c>
      <c r="E393">
        <v>85</v>
      </c>
      <c r="F393">
        <v>25</v>
      </c>
      <c r="G393">
        <v>60</v>
      </c>
      <c r="H393" t="s">
        <v>196</v>
      </c>
      <c r="I393" t="s">
        <v>3490</v>
      </c>
      <c r="J393" t="s">
        <v>2932</v>
      </c>
    </row>
    <row r="394" spans="1:10" x14ac:dyDescent="0.25">
      <c r="A394" t="s">
        <v>621</v>
      </c>
      <c r="B394" t="s">
        <v>63</v>
      </c>
      <c r="C394">
        <v>6</v>
      </c>
      <c r="D394" t="s">
        <v>3418</v>
      </c>
      <c r="E394">
        <v>72</v>
      </c>
      <c r="F394">
        <v>25</v>
      </c>
      <c r="G394">
        <v>47</v>
      </c>
      <c r="H394" t="s">
        <v>3494</v>
      </c>
      <c r="I394" t="s">
        <v>3490</v>
      </c>
      <c r="J394" t="s">
        <v>2932</v>
      </c>
    </row>
    <row r="395" spans="1:10" x14ac:dyDescent="0.25">
      <c r="A395" t="s">
        <v>621</v>
      </c>
      <c r="B395" t="s">
        <v>63</v>
      </c>
      <c r="C395">
        <v>6</v>
      </c>
      <c r="D395" t="s">
        <v>3420</v>
      </c>
      <c r="E395">
        <v>88</v>
      </c>
      <c r="F395">
        <v>27</v>
      </c>
      <c r="G395">
        <v>61</v>
      </c>
      <c r="H395" t="s">
        <v>196</v>
      </c>
      <c r="I395" t="s">
        <v>3490</v>
      </c>
      <c r="J395" t="s">
        <v>2932</v>
      </c>
    </row>
    <row r="396" spans="1:10" x14ac:dyDescent="0.25">
      <c r="A396" t="s">
        <v>621</v>
      </c>
      <c r="B396" t="s">
        <v>63</v>
      </c>
      <c r="C396">
        <v>6</v>
      </c>
      <c r="D396" t="s">
        <v>3422</v>
      </c>
      <c r="E396">
        <v>73</v>
      </c>
      <c r="F396">
        <v>14</v>
      </c>
      <c r="G396">
        <v>59</v>
      </c>
      <c r="H396" t="s">
        <v>3494</v>
      </c>
      <c r="I396" t="s">
        <v>3490</v>
      </c>
      <c r="J396" t="s">
        <v>2932</v>
      </c>
    </row>
    <row r="397" spans="1:10" x14ac:dyDescent="0.25">
      <c r="A397" t="s">
        <v>629</v>
      </c>
      <c r="B397" t="s">
        <v>159</v>
      </c>
      <c r="C397">
        <v>6</v>
      </c>
      <c r="D397" t="s">
        <v>3114</v>
      </c>
      <c r="E397">
        <v>69</v>
      </c>
      <c r="F397">
        <v>16</v>
      </c>
      <c r="G397">
        <v>53</v>
      </c>
      <c r="H397" t="s">
        <v>3489</v>
      </c>
      <c r="I397" t="s">
        <v>3490</v>
      </c>
      <c r="J397" t="s">
        <v>2902</v>
      </c>
    </row>
    <row r="398" spans="1:10" x14ac:dyDescent="0.25">
      <c r="A398" t="s">
        <v>629</v>
      </c>
      <c r="B398" t="s">
        <v>159</v>
      </c>
      <c r="C398">
        <v>6</v>
      </c>
      <c r="D398" t="s">
        <v>3116</v>
      </c>
      <c r="E398">
        <v>56</v>
      </c>
      <c r="F398">
        <v>18</v>
      </c>
      <c r="G398">
        <v>38</v>
      </c>
      <c r="H398" t="s">
        <v>3493</v>
      </c>
      <c r="I398" t="s">
        <v>3490</v>
      </c>
      <c r="J398" t="s">
        <v>2902</v>
      </c>
    </row>
    <row r="399" spans="1:10" x14ac:dyDescent="0.25">
      <c r="A399" t="s">
        <v>629</v>
      </c>
      <c r="B399" t="s">
        <v>159</v>
      </c>
      <c r="C399">
        <v>6</v>
      </c>
      <c r="D399" t="s">
        <v>3118</v>
      </c>
      <c r="E399">
        <v>38</v>
      </c>
      <c r="F399">
        <v>11</v>
      </c>
      <c r="G399">
        <v>27</v>
      </c>
      <c r="H399" t="s">
        <v>3491</v>
      </c>
      <c r="I399" t="s">
        <v>3492</v>
      </c>
      <c r="J399" t="s">
        <v>2902</v>
      </c>
    </row>
    <row r="400" spans="1:10" x14ac:dyDescent="0.25">
      <c r="A400" t="s">
        <v>629</v>
      </c>
      <c r="B400" t="s">
        <v>159</v>
      </c>
      <c r="C400">
        <v>6</v>
      </c>
      <c r="D400" t="s">
        <v>3120</v>
      </c>
      <c r="E400">
        <v>56</v>
      </c>
      <c r="F400">
        <v>17</v>
      </c>
      <c r="G400">
        <v>39</v>
      </c>
      <c r="H400" t="s">
        <v>3493</v>
      </c>
      <c r="I400" t="s">
        <v>3490</v>
      </c>
      <c r="J400" t="s">
        <v>2902</v>
      </c>
    </row>
    <row r="401" spans="1:10" x14ac:dyDescent="0.25">
      <c r="A401" t="s">
        <v>629</v>
      </c>
      <c r="B401" t="s">
        <v>159</v>
      </c>
      <c r="C401">
        <v>6</v>
      </c>
      <c r="D401" t="s">
        <v>3122</v>
      </c>
      <c r="E401">
        <v>47</v>
      </c>
      <c r="F401">
        <v>27</v>
      </c>
      <c r="G401">
        <v>20</v>
      </c>
      <c r="H401" t="s">
        <v>3491</v>
      </c>
      <c r="I401" t="s">
        <v>3492</v>
      </c>
      <c r="J401" t="s">
        <v>2902</v>
      </c>
    </row>
    <row r="402" spans="1:10" x14ac:dyDescent="0.25">
      <c r="A402" t="s">
        <v>636</v>
      </c>
      <c r="B402" t="s">
        <v>63</v>
      </c>
      <c r="C402">
        <v>8</v>
      </c>
      <c r="D402" t="s">
        <v>3414</v>
      </c>
      <c r="E402">
        <v>74</v>
      </c>
      <c r="F402">
        <v>26</v>
      </c>
      <c r="G402">
        <v>48</v>
      </c>
      <c r="H402" t="s">
        <v>3494</v>
      </c>
      <c r="I402" t="s">
        <v>3490</v>
      </c>
      <c r="J402" t="s">
        <v>2932</v>
      </c>
    </row>
    <row r="403" spans="1:10" x14ac:dyDescent="0.25">
      <c r="A403" t="s">
        <v>636</v>
      </c>
      <c r="B403" t="s">
        <v>63</v>
      </c>
      <c r="C403">
        <v>8</v>
      </c>
      <c r="D403" t="s">
        <v>3416</v>
      </c>
      <c r="E403">
        <v>57</v>
      </c>
      <c r="F403">
        <v>16</v>
      </c>
      <c r="G403">
        <v>41</v>
      </c>
      <c r="H403" t="s">
        <v>3493</v>
      </c>
      <c r="I403" t="s">
        <v>3490</v>
      </c>
      <c r="J403" t="s">
        <v>2932</v>
      </c>
    </row>
    <row r="404" spans="1:10" x14ac:dyDescent="0.25">
      <c r="A404" t="s">
        <v>636</v>
      </c>
      <c r="B404" t="s">
        <v>63</v>
      </c>
      <c r="C404">
        <v>8</v>
      </c>
      <c r="D404" t="s">
        <v>3418</v>
      </c>
      <c r="E404">
        <v>54</v>
      </c>
      <c r="F404">
        <v>19</v>
      </c>
      <c r="G404">
        <v>35</v>
      </c>
      <c r="H404" t="s">
        <v>3493</v>
      </c>
      <c r="I404" t="s">
        <v>3490</v>
      </c>
      <c r="J404" t="s">
        <v>2932</v>
      </c>
    </row>
    <row r="405" spans="1:10" x14ac:dyDescent="0.25">
      <c r="A405" t="s">
        <v>636</v>
      </c>
      <c r="B405" t="s">
        <v>63</v>
      </c>
      <c r="C405">
        <v>8</v>
      </c>
      <c r="D405" t="s">
        <v>3420</v>
      </c>
      <c r="E405">
        <v>87</v>
      </c>
      <c r="F405">
        <v>25</v>
      </c>
      <c r="G405">
        <v>62</v>
      </c>
      <c r="H405" t="s">
        <v>196</v>
      </c>
      <c r="I405" t="s">
        <v>3490</v>
      </c>
      <c r="J405" t="s">
        <v>2932</v>
      </c>
    </row>
    <row r="406" spans="1:10" x14ac:dyDescent="0.25">
      <c r="A406" t="s">
        <v>636</v>
      </c>
      <c r="B406" t="s">
        <v>63</v>
      </c>
      <c r="C406">
        <v>8</v>
      </c>
      <c r="D406" t="s">
        <v>3422</v>
      </c>
      <c r="E406">
        <v>94</v>
      </c>
      <c r="F406">
        <v>27</v>
      </c>
      <c r="G406">
        <v>67</v>
      </c>
      <c r="H406" t="s">
        <v>3495</v>
      </c>
      <c r="I406" t="s">
        <v>3490</v>
      </c>
      <c r="J406" t="s">
        <v>2932</v>
      </c>
    </row>
    <row r="407" spans="1:10" x14ac:dyDescent="0.25">
      <c r="A407" t="s">
        <v>643</v>
      </c>
      <c r="B407" t="s">
        <v>212</v>
      </c>
      <c r="C407">
        <v>8</v>
      </c>
      <c r="D407" t="s">
        <v>3474</v>
      </c>
      <c r="E407">
        <v>54</v>
      </c>
      <c r="F407">
        <v>26</v>
      </c>
      <c r="G407">
        <v>28</v>
      </c>
      <c r="H407" t="s">
        <v>3493</v>
      </c>
      <c r="I407" t="s">
        <v>3490</v>
      </c>
      <c r="J407" t="s">
        <v>3001</v>
      </c>
    </row>
    <row r="408" spans="1:10" x14ac:dyDescent="0.25">
      <c r="A408" t="s">
        <v>643</v>
      </c>
      <c r="B408" t="s">
        <v>212</v>
      </c>
      <c r="C408">
        <v>8</v>
      </c>
      <c r="D408" t="s">
        <v>3476</v>
      </c>
      <c r="E408">
        <v>45</v>
      </c>
      <c r="F408">
        <v>23</v>
      </c>
      <c r="G408">
        <v>22</v>
      </c>
      <c r="H408" t="s">
        <v>3491</v>
      </c>
      <c r="I408" t="s">
        <v>3492</v>
      </c>
      <c r="J408" t="s">
        <v>3001</v>
      </c>
    </row>
    <row r="409" spans="1:10" x14ac:dyDescent="0.25">
      <c r="A409" t="s">
        <v>643</v>
      </c>
      <c r="B409" t="s">
        <v>212</v>
      </c>
      <c r="C409">
        <v>8</v>
      </c>
      <c r="D409" t="s">
        <v>3478</v>
      </c>
      <c r="E409">
        <v>50</v>
      </c>
      <c r="F409">
        <v>16</v>
      </c>
      <c r="G409">
        <v>34</v>
      </c>
      <c r="H409" t="s">
        <v>3493</v>
      </c>
      <c r="I409" t="s">
        <v>3490</v>
      </c>
      <c r="J409" t="s">
        <v>3001</v>
      </c>
    </row>
    <row r="410" spans="1:10" x14ac:dyDescent="0.25">
      <c r="A410" t="s">
        <v>643</v>
      </c>
      <c r="B410" t="s">
        <v>212</v>
      </c>
      <c r="C410">
        <v>8</v>
      </c>
      <c r="D410" t="s">
        <v>3480</v>
      </c>
      <c r="E410">
        <v>73</v>
      </c>
      <c r="F410">
        <v>30</v>
      </c>
      <c r="G410">
        <v>43</v>
      </c>
      <c r="H410" t="s">
        <v>3494</v>
      </c>
      <c r="I410" t="s">
        <v>3490</v>
      </c>
      <c r="J410" t="s">
        <v>3001</v>
      </c>
    </row>
    <row r="411" spans="1:10" x14ac:dyDescent="0.25">
      <c r="A411" t="s">
        <v>643</v>
      </c>
      <c r="B411" t="s">
        <v>212</v>
      </c>
      <c r="C411">
        <v>8</v>
      </c>
      <c r="D411" t="s">
        <v>3482</v>
      </c>
      <c r="E411">
        <v>95</v>
      </c>
      <c r="F411">
        <v>29</v>
      </c>
      <c r="G411">
        <v>66</v>
      </c>
      <c r="H411" t="s">
        <v>3495</v>
      </c>
      <c r="I411" t="s">
        <v>3490</v>
      </c>
      <c r="J411" t="s">
        <v>3001</v>
      </c>
    </row>
    <row r="412" spans="1:10" x14ac:dyDescent="0.25">
      <c r="A412" t="s">
        <v>650</v>
      </c>
      <c r="B412" t="s">
        <v>159</v>
      </c>
      <c r="C412">
        <v>6</v>
      </c>
      <c r="D412" t="s">
        <v>3114</v>
      </c>
      <c r="E412">
        <v>36</v>
      </c>
      <c r="F412">
        <v>13</v>
      </c>
      <c r="G412">
        <v>23</v>
      </c>
      <c r="H412" t="s">
        <v>3491</v>
      </c>
      <c r="I412" t="s">
        <v>3492</v>
      </c>
      <c r="J412" t="s">
        <v>2902</v>
      </c>
    </row>
    <row r="413" spans="1:10" x14ac:dyDescent="0.25">
      <c r="A413" t="s">
        <v>650</v>
      </c>
      <c r="B413" t="s">
        <v>159</v>
      </c>
      <c r="C413">
        <v>6</v>
      </c>
      <c r="D413" t="s">
        <v>3116</v>
      </c>
      <c r="E413">
        <v>75</v>
      </c>
      <c r="F413">
        <v>13</v>
      </c>
      <c r="G413">
        <v>62</v>
      </c>
      <c r="H413" t="s">
        <v>3494</v>
      </c>
      <c r="I413" t="s">
        <v>3490</v>
      </c>
      <c r="J413" t="s">
        <v>2902</v>
      </c>
    </row>
    <row r="414" spans="1:10" x14ac:dyDescent="0.25">
      <c r="A414" t="s">
        <v>650</v>
      </c>
      <c r="B414" t="s">
        <v>159</v>
      </c>
      <c r="C414">
        <v>6</v>
      </c>
      <c r="D414" t="s">
        <v>3118</v>
      </c>
      <c r="E414">
        <v>69</v>
      </c>
      <c r="F414">
        <v>21</v>
      </c>
      <c r="G414">
        <v>48</v>
      </c>
      <c r="H414" t="s">
        <v>3489</v>
      </c>
      <c r="I414" t="s">
        <v>3490</v>
      </c>
      <c r="J414" t="s">
        <v>2902</v>
      </c>
    </row>
    <row r="415" spans="1:10" x14ac:dyDescent="0.25">
      <c r="A415" t="s">
        <v>650</v>
      </c>
      <c r="B415" t="s">
        <v>159</v>
      </c>
      <c r="C415">
        <v>6</v>
      </c>
      <c r="D415" t="s">
        <v>3120</v>
      </c>
      <c r="E415">
        <v>68</v>
      </c>
      <c r="F415">
        <v>10</v>
      </c>
      <c r="G415">
        <v>58</v>
      </c>
      <c r="H415" t="s">
        <v>3489</v>
      </c>
      <c r="I415" t="s">
        <v>3490</v>
      </c>
      <c r="J415" t="s">
        <v>2902</v>
      </c>
    </row>
    <row r="416" spans="1:10" x14ac:dyDescent="0.25">
      <c r="A416" t="s">
        <v>650</v>
      </c>
      <c r="B416" t="s">
        <v>159</v>
      </c>
      <c r="C416">
        <v>6</v>
      </c>
      <c r="D416" t="s">
        <v>3122</v>
      </c>
      <c r="E416">
        <v>63</v>
      </c>
      <c r="F416">
        <v>11</v>
      </c>
      <c r="G416">
        <v>52</v>
      </c>
      <c r="H416" t="s">
        <v>3489</v>
      </c>
      <c r="I416" t="s">
        <v>3490</v>
      </c>
      <c r="J416" t="s">
        <v>2902</v>
      </c>
    </row>
    <row r="417" spans="1:10" x14ac:dyDescent="0.25">
      <c r="A417" t="s">
        <v>657</v>
      </c>
      <c r="B417" t="s">
        <v>105</v>
      </c>
      <c r="C417">
        <v>8</v>
      </c>
      <c r="D417" t="s">
        <v>3174</v>
      </c>
      <c r="E417">
        <v>77</v>
      </c>
      <c r="F417">
        <v>21</v>
      </c>
      <c r="G417">
        <v>56</v>
      </c>
      <c r="H417" t="s">
        <v>3494</v>
      </c>
      <c r="I417" t="s">
        <v>3490</v>
      </c>
      <c r="J417" t="s">
        <v>2908</v>
      </c>
    </row>
    <row r="418" spans="1:10" x14ac:dyDescent="0.25">
      <c r="A418" t="s">
        <v>657</v>
      </c>
      <c r="B418" t="s">
        <v>105</v>
      </c>
      <c r="C418">
        <v>8</v>
      </c>
      <c r="D418" t="s">
        <v>3176</v>
      </c>
      <c r="E418">
        <v>93</v>
      </c>
      <c r="F418">
        <v>28</v>
      </c>
      <c r="G418">
        <v>65</v>
      </c>
      <c r="H418" t="s">
        <v>3495</v>
      </c>
      <c r="I418" t="s">
        <v>3490</v>
      </c>
      <c r="J418" t="s">
        <v>2908</v>
      </c>
    </row>
    <row r="419" spans="1:10" x14ac:dyDescent="0.25">
      <c r="A419" t="s">
        <v>657</v>
      </c>
      <c r="B419" t="s">
        <v>105</v>
      </c>
      <c r="C419">
        <v>8</v>
      </c>
      <c r="D419" t="s">
        <v>3178</v>
      </c>
      <c r="E419">
        <v>50</v>
      </c>
      <c r="F419">
        <v>12</v>
      </c>
      <c r="G419">
        <v>38</v>
      </c>
      <c r="H419" t="s">
        <v>3493</v>
      </c>
      <c r="I419" t="s">
        <v>3490</v>
      </c>
      <c r="J419" t="s">
        <v>2908</v>
      </c>
    </row>
    <row r="420" spans="1:10" x14ac:dyDescent="0.25">
      <c r="A420" t="s">
        <v>657</v>
      </c>
      <c r="B420" t="s">
        <v>105</v>
      </c>
      <c r="C420">
        <v>8</v>
      </c>
      <c r="D420" t="s">
        <v>3180</v>
      </c>
      <c r="E420">
        <v>75</v>
      </c>
      <c r="F420">
        <v>19</v>
      </c>
      <c r="G420">
        <v>56</v>
      </c>
      <c r="H420" t="s">
        <v>3494</v>
      </c>
      <c r="I420" t="s">
        <v>3490</v>
      </c>
      <c r="J420" t="s">
        <v>2908</v>
      </c>
    </row>
    <row r="421" spans="1:10" x14ac:dyDescent="0.25">
      <c r="A421" t="s">
        <v>657</v>
      </c>
      <c r="B421" t="s">
        <v>105</v>
      </c>
      <c r="C421">
        <v>8</v>
      </c>
      <c r="D421" t="s">
        <v>3182</v>
      </c>
      <c r="E421">
        <v>36</v>
      </c>
      <c r="F421">
        <v>15</v>
      </c>
      <c r="G421">
        <v>21</v>
      </c>
      <c r="H421" t="s">
        <v>3491</v>
      </c>
      <c r="I421" t="s">
        <v>3492</v>
      </c>
      <c r="J421" t="s">
        <v>2908</v>
      </c>
    </row>
    <row r="422" spans="1:10" x14ac:dyDescent="0.25">
      <c r="A422" t="s">
        <v>664</v>
      </c>
      <c r="B422" t="s">
        <v>95</v>
      </c>
      <c r="C422">
        <v>4</v>
      </c>
      <c r="D422" t="s">
        <v>3214</v>
      </c>
      <c r="E422">
        <v>60</v>
      </c>
      <c r="F422">
        <v>24</v>
      </c>
      <c r="G422">
        <v>36</v>
      </c>
      <c r="H422" t="s">
        <v>3489</v>
      </c>
      <c r="I422" t="s">
        <v>3490</v>
      </c>
      <c r="J422" t="s">
        <v>2889</v>
      </c>
    </row>
    <row r="423" spans="1:10" x14ac:dyDescent="0.25">
      <c r="A423" t="s">
        <v>664</v>
      </c>
      <c r="B423" t="s">
        <v>95</v>
      </c>
      <c r="C423">
        <v>4</v>
      </c>
      <c r="D423" t="s">
        <v>3216</v>
      </c>
      <c r="E423">
        <v>58</v>
      </c>
      <c r="F423">
        <v>28</v>
      </c>
      <c r="G423">
        <v>30</v>
      </c>
      <c r="H423" t="s">
        <v>3493</v>
      </c>
      <c r="I423" t="s">
        <v>3490</v>
      </c>
      <c r="J423" t="s">
        <v>2889</v>
      </c>
    </row>
    <row r="424" spans="1:10" x14ac:dyDescent="0.25">
      <c r="A424" t="s">
        <v>664</v>
      </c>
      <c r="B424" t="s">
        <v>95</v>
      </c>
      <c r="C424">
        <v>4</v>
      </c>
      <c r="D424" t="s">
        <v>3218</v>
      </c>
      <c r="E424">
        <v>90</v>
      </c>
      <c r="F424">
        <v>22</v>
      </c>
      <c r="G424">
        <v>68</v>
      </c>
      <c r="H424" t="s">
        <v>3495</v>
      </c>
      <c r="I424" t="s">
        <v>3490</v>
      </c>
      <c r="J424" t="s">
        <v>2889</v>
      </c>
    </row>
    <row r="425" spans="1:10" x14ac:dyDescent="0.25">
      <c r="A425" t="s">
        <v>664</v>
      </c>
      <c r="B425" t="s">
        <v>95</v>
      </c>
      <c r="C425">
        <v>4</v>
      </c>
      <c r="D425" t="s">
        <v>3220</v>
      </c>
      <c r="E425">
        <v>94</v>
      </c>
      <c r="F425">
        <v>29</v>
      </c>
      <c r="G425">
        <v>65</v>
      </c>
      <c r="H425" t="s">
        <v>3495</v>
      </c>
      <c r="I425" t="s">
        <v>3490</v>
      </c>
      <c r="J425" t="s">
        <v>2889</v>
      </c>
    </row>
    <row r="426" spans="1:10" x14ac:dyDescent="0.25">
      <c r="A426" t="s">
        <v>664</v>
      </c>
      <c r="B426" t="s">
        <v>95</v>
      </c>
      <c r="C426">
        <v>4</v>
      </c>
      <c r="D426" t="s">
        <v>3222</v>
      </c>
      <c r="E426">
        <v>87</v>
      </c>
      <c r="F426">
        <v>28</v>
      </c>
      <c r="G426">
        <v>59</v>
      </c>
      <c r="H426" t="s">
        <v>196</v>
      </c>
      <c r="I426" t="s">
        <v>3490</v>
      </c>
      <c r="J426" t="s">
        <v>2889</v>
      </c>
    </row>
    <row r="427" spans="1:10" x14ac:dyDescent="0.25">
      <c r="A427" t="s">
        <v>670</v>
      </c>
      <c r="B427" t="s">
        <v>63</v>
      </c>
      <c r="C427">
        <v>8</v>
      </c>
      <c r="D427" t="s">
        <v>3414</v>
      </c>
      <c r="E427">
        <v>76</v>
      </c>
      <c r="F427">
        <v>30</v>
      </c>
      <c r="G427">
        <v>46</v>
      </c>
      <c r="H427" t="s">
        <v>3494</v>
      </c>
      <c r="I427" t="s">
        <v>3490</v>
      </c>
      <c r="J427" t="s">
        <v>2932</v>
      </c>
    </row>
    <row r="428" spans="1:10" x14ac:dyDescent="0.25">
      <c r="A428" t="s">
        <v>670</v>
      </c>
      <c r="B428" t="s">
        <v>63</v>
      </c>
      <c r="C428">
        <v>8</v>
      </c>
      <c r="D428" t="s">
        <v>3416</v>
      </c>
      <c r="E428">
        <v>85</v>
      </c>
      <c r="F428">
        <v>29</v>
      </c>
      <c r="G428">
        <v>56</v>
      </c>
      <c r="H428" t="s">
        <v>196</v>
      </c>
      <c r="I428" t="s">
        <v>3490</v>
      </c>
      <c r="J428" t="s">
        <v>2932</v>
      </c>
    </row>
    <row r="429" spans="1:10" x14ac:dyDescent="0.25">
      <c r="A429" t="s">
        <v>670</v>
      </c>
      <c r="B429" t="s">
        <v>63</v>
      </c>
      <c r="C429">
        <v>8</v>
      </c>
      <c r="D429" t="s">
        <v>3418</v>
      </c>
      <c r="E429">
        <v>91</v>
      </c>
      <c r="F429">
        <v>22</v>
      </c>
      <c r="G429">
        <v>69</v>
      </c>
      <c r="H429" t="s">
        <v>3495</v>
      </c>
      <c r="I429" t="s">
        <v>3490</v>
      </c>
      <c r="J429" t="s">
        <v>2932</v>
      </c>
    </row>
    <row r="430" spans="1:10" x14ac:dyDescent="0.25">
      <c r="A430" t="s">
        <v>670</v>
      </c>
      <c r="B430" t="s">
        <v>63</v>
      </c>
      <c r="C430">
        <v>8</v>
      </c>
      <c r="D430" t="s">
        <v>3420</v>
      </c>
      <c r="E430">
        <v>74</v>
      </c>
      <c r="F430">
        <v>19</v>
      </c>
      <c r="G430">
        <v>55</v>
      </c>
      <c r="H430" t="s">
        <v>3494</v>
      </c>
      <c r="I430" t="s">
        <v>3490</v>
      </c>
      <c r="J430" t="s">
        <v>2932</v>
      </c>
    </row>
    <row r="431" spans="1:10" x14ac:dyDescent="0.25">
      <c r="A431" t="s">
        <v>670</v>
      </c>
      <c r="B431" t="s">
        <v>63</v>
      </c>
      <c r="C431">
        <v>8</v>
      </c>
      <c r="D431" t="s">
        <v>3422</v>
      </c>
      <c r="E431">
        <v>88</v>
      </c>
      <c r="F431">
        <v>30</v>
      </c>
      <c r="G431">
        <v>58</v>
      </c>
      <c r="H431" t="s">
        <v>196</v>
      </c>
      <c r="I431" t="s">
        <v>3490</v>
      </c>
      <c r="J431" t="s">
        <v>2932</v>
      </c>
    </row>
    <row r="432" spans="1:10" x14ac:dyDescent="0.25">
      <c r="A432" t="s">
        <v>677</v>
      </c>
      <c r="B432" t="s">
        <v>212</v>
      </c>
      <c r="C432">
        <v>6</v>
      </c>
      <c r="D432" t="s">
        <v>3474</v>
      </c>
      <c r="E432">
        <v>96</v>
      </c>
      <c r="F432">
        <v>29</v>
      </c>
      <c r="G432">
        <v>67</v>
      </c>
      <c r="H432" t="s">
        <v>3495</v>
      </c>
      <c r="I432" t="s">
        <v>3490</v>
      </c>
      <c r="J432" t="s">
        <v>3001</v>
      </c>
    </row>
    <row r="433" spans="1:10" x14ac:dyDescent="0.25">
      <c r="A433" t="s">
        <v>677</v>
      </c>
      <c r="B433" t="s">
        <v>212</v>
      </c>
      <c r="C433">
        <v>6</v>
      </c>
      <c r="D433" t="s">
        <v>3476</v>
      </c>
      <c r="E433">
        <v>49</v>
      </c>
      <c r="F433">
        <v>24</v>
      </c>
      <c r="G433">
        <v>25</v>
      </c>
      <c r="H433" t="s">
        <v>3491</v>
      </c>
      <c r="I433" t="s">
        <v>3492</v>
      </c>
      <c r="J433" t="s">
        <v>3001</v>
      </c>
    </row>
    <row r="434" spans="1:10" x14ac:dyDescent="0.25">
      <c r="A434" t="s">
        <v>677</v>
      </c>
      <c r="B434" t="s">
        <v>212</v>
      </c>
      <c r="C434">
        <v>6</v>
      </c>
      <c r="D434" t="s">
        <v>3478</v>
      </c>
      <c r="E434">
        <v>64</v>
      </c>
      <c r="F434">
        <v>26</v>
      </c>
      <c r="G434">
        <v>38</v>
      </c>
      <c r="H434" t="s">
        <v>3489</v>
      </c>
      <c r="I434" t="s">
        <v>3490</v>
      </c>
      <c r="J434" t="s">
        <v>3001</v>
      </c>
    </row>
    <row r="435" spans="1:10" x14ac:dyDescent="0.25">
      <c r="A435" t="s">
        <v>677</v>
      </c>
      <c r="B435" t="s">
        <v>212</v>
      </c>
      <c r="C435">
        <v>6</v>
      </c>
      <c r="D435" t="s">
        <v>3480</v>
      </c>
      <c r="E435">
        <v>68</v>
      </c>
      <c r="F435">
        <v>14</v>
      </c>
      <c r="G435">
        <v>54</v>
      </c>
      <c r="H435" t="s">
        <v>3489</v>
      </c>
      <c r="I435" t="s">
        <v>3490</v>
      </c>
      <c r="J435" t="s">
        <v>3001</v>
      </c>
    </row>
    <row r="436" spans="1:10" x14ac:dyDescent="0.25">
      <c r="A436" t="s">
        <v>677</v>
      </c>
      <c r="B436" t="s">
        <v>212</v>
      </c>
      <c r="C436">
        <v>6</v>
      </c>
      <c r="D436" t="s">
        <v>3482</v>
      </c>
      <c r="E436">
        <v>78</v>
      </c>
      <c r="F436">
        <v>21</v>
      </c>
      <c r="G436">
        <v>57</v>
      </c>
      <c r="H436" t="s">
        <v>3494</v>
      </c>
      <c r="I436" t="s">
        <v>3490</v>
      </c>
      <c r="J436" t="s">
        <v>3001</v>
      </c>
    </row>
    <row r="437" spans="1:10" x14ac:dyDescent="0.25">
      <c r="A437" t="s">
        <v>684</v>
      </c>
      <c r="B437" t="s">
        <v>30</v>
      </c>
      <c r="C437">
        <v>4</v>
      </c>
      <c r="D437" t="s">
        <v>3334</v>
      </c>
      <c r="E437">
        <v>82</v>
      </c>
      <c r="F437">
        <v>22</v>
      </c>
      <c r="G437">
        <v>60</v>
      </c>
      <c r="H437" t="s">
        <v>196</v>
      </c>
      <c r="I437" t="s">
        <v>3490</v>
      </c>
      <c r="J437" t="s">
        <v>2895</v>
      </c>
    </row>
    <row r="438" spans="1:10" x14ac:dyDescent="0.25">
      <c r="A438" t="s">
        <v>684</v>
      </c>
      <c r="B438" t="s">
        <v>30</v>
      </c>
      <c r="C438">
        <v>4</v>
      </c>
      <c r="D438" t="s">
        <v>3336</v>
      </c>
      <c r="E438">
        <v>63</v>
      </c>
      <c r="F438">
        <v>28</v>
      </c>
      <c r="G438">
        <v>35</v>
      </c>
      <c r="H438" t="s">
        <v>3489</v>
      </c>
      <c r="I438" t="s">
        <v>3490</v>
      </c>
      <c r="J438" t="s">
        <v>2895</v>
      </c>
    </row>
    <row r="439" spans="1:10" x14ac:dyDescent="0.25">
      <c r="A439" t="s">
        <v>684</v>
      </c>
      <c r="B439" t="s">
        <v>30</v>
      </c>
      <c r="C439">
        <v>4</v>
      </c>
      <c r="D439" t="s">
        <v>3338</v>
      </c>
      <c r="E439">
        <v>55</v>
      </c>
      <c r="F439">
        <v>14</v>
      </c>
      <c r="G439">
        <v>41</v>
      </c>
      <c r="H439" t="s">
        <v>3493</v>
      </c>
      <c r="I439" t="s">
        <v>3490</v>
      </c>
      <c r="J439" t="s">
        <v>2895</v>
      </c>
    </row>
    <row r="440" spans="1:10" x14ac:dyDescent="0.25">
      <c r="A440" t="s">
        <v>684</v>
      </c>
      <c r="B440" t="s">
        <v>30</v>
      </c>
      <c r="C440">
        <v>4</v>
      </c>
      <c r="D440" t="s">
        <v>3340</v>
      </c>
      <c r="E440">
        <v>54</v>
      </c>
      <c r="F440">
        <v>28</v>
      </c>
      <c r="G440">
        <v>26</v>
      </c>
      <c r="H440" t="s">
        <v>3493</v>
      </c>
      <c r="I440" t="s">
        <v>3490</v>
      </c>
      <c r="J440" t="s">
        <v>2895</v>
      </c>
    </row>
    <row r="441" spans="1:10" x14ac:dyDescent="0.25">
      <c r="A441" t="s">
        <v>684</v>
      </c>
      <c r="B441" t="s">
        <v>30</v>
      </c>
      <c r="C441">
        <v>4</v>
      </c>
      <c r="D441" t="s">
        <v>3342</v>
      </c>
      <c r="E441">
        <v>40</v>
      </c>
      <c r="F441">
        <v>19</v>
      </c>
      <c r="G441">
        <v>21</v>
      </c>
      <c r="H441" t="s">
        <v>3491</v>
      </c>
      <c r="I441" t="s">
        <v>3492</v>
      </c>
      <c r="J441" t="s">
        <v>2895</v>
      </c>
    </row>
    <row r="442" spans="1:10" x14ac:dyDescent="0.25">
      <c r="A442" t="s">
        <v>691</v>
      </c>
      <c r="B442" t="s">
        <v>30</v>
      </c>
      <c r="C442">
        <v>8</v>
      </c>
      <c r="D442" t="s">
        <v>3354</v>
      </c>
      <c r="E442">
        <v>65</v>
      </c>
      <c r="F442">
        <v>26</v>
      </c>
      <c r="G442">
        <v>39</v>
      </c>
      <c r="H442" t="s">
        <v>3489</v>
      </c>
      <c r="I442" t="s">
        <v>3490</v>
      </c>
      <c r="J442" t="s">
        <v>2895</v>
      </c>
    </row>
    <row r="443" spans="1:10" x14ac:dyDescent="0.25">
      <c r="A443" t="s">
        <v>691</v>
      </c>
      <c r="B443" t="s">
        <v>30</v>
      </c>
      <c r="C443">
        <v>8</v>
      </c>
      <c r="D443" t="s">
        <v>3356</v>
      </c>
      <c r="E443">
        <v>87</v>
      </c>
      <c r="F443">
        <v>28</v>
      </c>
      <c r="G443">
        <v>59</v>
      </c>
      <c r="H443" t="s">
        <v>196</v>
      </c>
      <c r="I443" t="s">
        <v>3490</v>
      </c>
      <c r="J443" t="s">
        <v>2895</v>
      </c>
    </row>
    <row r="444" spans="1:10" x14ac:dyDescent="0.25">
      <c r="A444" t="s">
        <v>691</v>
      </c>
      <c r="B444" t="s">
        <v>30</v>
      </c>
      <c r="C444">
        <v>8</v>
      </c>
      <c r="D444" t="s">
        <v>3358</v>
      </c>
      <c r="E444">
        <v>47</v>
      </c>
      <c r="F444">
        <v>16</v>
      </c>
      <c r="G444">
        <v>31</v>
      </c>
      <c r="H444" t="s">
        <v>3491</v>
      </c>
      <c r="I444" t="s">
        <v>3492</v>
      </c>
      <c r="J444" t="s">
        <v>2895</v>
      </c>
    </row>
    <row r="445" spans="1:10" x14ac:dyDescent="0.25">
      <c r="A445" t="s">
        <v>691</v>
      </c>
      <c r="B445" t="s">
        <v>30</v>
      </c>
      <c r="C445">
        <v>8</v>
      </c>
      <c r="D445" t="s">
        <v>3360</v>
      </c>
      <c r="E445">
        <v>42</v>
      </c>
      <c r="F445">
        <v>16</v>
      </c>
      <c r="G445">
        <v>26</v>
      </c>
      <c r="H445" t="s">
        <v>3491</v>
      </c>
      <c r="I445" t="s">
        <v>3492</v>
      </c>
      <c r="J445" t="s">
        <v>2895</v>
      </c>
    </row>
    <row r="446" spans="1:10" x14ac:dyDescent="0.25">
      <c r="A446" t="s">
        <v>691</v>
      </c>
      <c r="B446" t="s">
        <v>30</v>
      </c>
      <c r="C446">
        <v>8</v>
      </c>
      <c r="D446" t="s">
        <v>3362</v>
      </c>
      <c r="E446">
        <v>84</v>
      </c>
      <c r="F446">
        <v>15</v>
      </c>
      <c r="G446">
        <v>69</v>
      </c>
      <c r="H446" t="s">
        <v>196</v>
      </c>
      <c r="I446" t="s">
        <v>3490</v>
      </c>
      <c r="J446" t="s">
        <v>2895</v>
      </c>
    </row>
    <row r="447" spans="1:10" x14ac:dyDescent="0.25">
      <c r="A447" t="s">
        <v>698</v>
      </c>
      <c r="B447" t="s">
        <v>63</v>
      </c>
      <c r="C447">
        <v>8</v>
      </c>
      <c r="D447" t="s">
        <v>3414</v>
      </c>
      <c r="E447">
        <v>55</v>
      </c>
      <c r="F447">
        <v>17</v>
      </c>
      <c r="G447">
        <v>38</v>
      </c>
      <c r="H447" t="s">
        <v>3493</v>
      </c>
      <c r="I447" t="s">
        <v>3490</v>
      </c>
      <c r="J447" t="s">
        <v>2932</v>
      </c>
    </row>
    <row r="448" spans="1:10" x14ac:dyDescent="0.25">
      <c r="A448" t="s">
        <v>698</v>
      </c>
      <c r="B448" t="s">
        <v>63</v>
      </c>
      <c r="C448">
        <v>8</v>
      </c>
      <c r="D448" t="s">
        <v>3416</v>
      </c>
      <c r="E448">
        <v>83</v>
      </c>
      <c r="F448">
        <v>14</v>
      </c>
      <c r="G448">
        <v>69</v>
      </c>
      <c r="H448" t="s">
        <v>196</v>
      </c>
      <c r="I448" t="s">
        <v>3490</v>
      </c>
      <c r="J448" t="s">
        <v>2932</v>
      </c>
    </row>
    <row r="449" spans="1:10" x14ac:dyDescent="0.25">
      <c r="A449" t="s">
        <v>698</v>
      </c>
      <c r="B449" t="s">
        <v>63</v>
      </c>
      <c r="C449">
        <v>8</v>
      </c>
      <c r="D449" t="s">
        <v>3418</v>
      </c>
      <c r="E449">
        <v>68</v>
      </c>
      <c r="F449">
        <v>23</v>
      </c>
      <c r="G449">
        <v>45</v>
      </c>
      <c r="H449" t="s">
        <v>3489</v>
      </c>
      <c r="I449" t="s">
        <v>3490</v>
      </c>
      <c r="J449" t="s">
        <v>2932</v>
      </c>
    </row>
    <row r="450" spans="1:10" x14ac:dyDescent="0.25">
      <c r="A450" t="s">
        <v>698</v>
      </c>
      <c r="B450" t="s">
        <v>63</v>
      </c>
      <c r="C450">
        <v>8</v>
      </c>
      <c r="D450" t="s">
        <v>3420</v>
      </c>
      <c r="E450">
        <v>83</v>
      </c>
      <c r="F450">
        <v>28</v>
      </c>
      <c r="G450">
        <v>55</v>
      </c>
      <c r="H450" t="s">
        <v>196</v>
      </c>
      <c r="I450" t="s">
        <v>3490</v>
      </c>
      <c r="J450" t="s">
        <v>2932</v>
      </c>
    </row>
    <row r="451" spans="1:10" x14ac:dyDescent="0.25">
      <c r="A451" t="s">
        <v>698</v>
      </c>
      <c r="B451" t="s">
        <v>63</v>
      </c>
      <c r="C451">
        <v>8</v>
      </c>
      <c r="D451" t="s">
        <v>3422</v>
      </c>
      <c r="E451">
        <v>57</v>
      </c>
      <c r="F451">
        <v>11</v>
      </c>
      <c r="G451">
        <v>46</v>
      </c>
      <c r="H451" t="s">
        <v>3493</v>
      </c>
      <c r="I451" t="s">
        <v>3490</v>
      </c>
      <c r="J451" t="s">
        <v>2932</v>
      </c>
    </row>
    <row r="452" spans="1:10" x14ac:dyDescent="0.25">
      <c r="A452" t="s">
        <v>705</v>
      </c>
      <c r="B452" t="s">
        <v>122</v>
      </c>
      <c r="C452">
        <v>8</v>
      </c>
      <c r="D452" t="s">
        <v>3294</v>
      </c>
      <c r="E452">
        <v>93</v>
      </c>
      <c r="F452">
        <v>29</v>
      </c>
      <c r="G452">
        <v>64</v>
      </c>
      <c r="H452" t="s">
        <v>3495</v>
      </c>
      <c r="I452" t="s">
        <v>3490</v>
      </c>
      <c r="J452" t="s">
        <v>2919</v>
      </c>
    </row>
    <row r="453" spans="1:10" x14ac:dyDescent="0.25">
      <c r="A453" t="s">
        <v>705</v>
      </c>
      <c r="B453" t="s">
        <v>122</v>
      </c>
      <c r="C453">
        <v>8</v>
      </c>
      <c r="D453" t="s">
        <v>3296</v>
      </c>
      <c r="E453">
        <v>65</v>
      </c>
      <c r="F453">
        <v>10</v>
      </c>
      <c r="G453">
        <v>55</v>
      </c>
      <c r="H453" t="s">
        <v>3489</v>
      </c>
      <c r="I453" t="s">
        <v>3490</v>
      </c>
      <c r="J453" t="s">
        <v>2919</v>
      </c>
    </row>
    <row r="454" spans="1:10" x14ac:dyDescent="0.25">
      <c r="A454" t="s">
        <v>705</v>
      </c>
      <c r="B454" t="s">
        <v>122</v>
      </c>
      <c r="C454">
        <v>8</v>
      </c>
      <c r="D454" t="s">
        <v>3298</v>
      </c>
      <c r="E454">
        <v>54</v>
      </c>
      <c r="F454">
        <v>25</v>
      </c>
      <c r="G454">
        <v>29</v>
      </c>
      <c r="H454" t="s">
        <v>3493</v>
      </c>
      <c r="I454" t="s">
        <v>3490</v>
      </c>
      <c r="J454" t="s">
        <v>2919</v>
      </c>
    </row>
    <row r="455" spans="1:10" x14ac:dyDescent="0.25">
      <c r="A455" t="s">
        <v>705</v>
      </c>
      <c r="B455" t="s">
        <v>122</v>
      </c>
      <c r="C455">
        <v>8</v>
      </c>
      <c r="D455" t="s">
        <v>3300</v>
      </c>
      <c r="E455">
        <v>82</v>
      </c>
      <c r="F455">
        <v>22</v>
      </c>
      <c r="G455">
        <v>60</v>
      </c>
      <c r="H455" t="s">
        <v>196</v>
      </c>
      <c r="I455" t="s">
        <v>3490</v>
      </c>
      <c r="J455" t="s">
        <v>2919</v>
      </c>
    </row>
    <row r="456" spans="1:10" x14ac:dyDescent="0.25">
      <c r="A456" t="s">
        <v>705</v>
      </c>
      <c r="B456" t="s">
        <v>122</v>
      </c>
      <c r="C456">
        <v>8</v>
      </c>
      <c r="D456" t="s">
        <v>3302</v>
      </c>
      <c r="E456">
        <v>62</v>
      </c>
      <c r="F456">
        <v>13</v>
      </c>
      <c r="G456">
        <v>49</v>
      </c>
      <c r="H456" t="s">
        <v>3489</v>
      </c>
      <c r="I456" t="s">
        <v>3490</v>
      </c>
      <c r="J456" t="s">
        <v>2919</v>
      </c>
    </row>
    <row r="457" spans="1:10" x14ac:dyDescent="0.25">
      <c r="A457" t="s">
        <v>711</v>
      </c>
      <c r="B457" t="s">
        <v>159</v>
      </c>
      <c r="C457">
        <v>8</v>
      </c>
      <c r="D457" t="s">
        <v>3114</v>
      </c>
      <c r="E457">
        <v>44</v>
      </c>
      <c r="F457">
        <v>23</v>
      </c>
      <c r="G457">
        <v>21</v>
      </c>
      <c r="H457" t="s">
        <v>3491</v>
      </c>
      <c r="I457" t="s">
        <v>3492</v>
      </c>
      <c r="J457" t="s">
        <v>2902</v>
      </c>
    </row>
    <row r="458" spans="1:10" x14ac:dyDescent="0.25">
      <c r="A458" t="s">
        <v>711</v>
      </c>
      <c r="B458" t="s">
        <v>159</v>
      </c>
      <c r="C458">
        <v>8</v>
      </c>
      <c r="D458" t="s">
        <v>3116</v>
      </c>
      <c r="E458">
        <v>78</v>
      </c>
      <c r="F458">
        <v>30</v>
      </c>
      <c r="G458">
        <v>48</v>
      </c>
      <c r="H458" t="s">
        <v>3494</v>
      </c>
      <c r="I458" t="s">
        <v>3490</v>
      </c>
      <c r="J458" t="s">
        <v>2902</v>
      </c>
    </row>
    <row r="459" spans="1:10" x14ac:dyDescent="0.25">
      <c r="A459" t="s">
        <v>711</v>
      </c>
      <c r="B459" t="s">
        <v>159</v>
      </c>
      <c r="C459">
        <v>8</v>
      </c>
      <c r="D459" t="s">
        <v>3118</v>
      </c>
      <c r="E459">
        <v>82</v>
      </c>
      <c r="F459">
        <v>15</v>
      </c>
      <c r="G459">
        <v>67</v>
      </c>
      <c r="H459" t="s">
        <v>196</v>
      </c>
      <c r="I459" t="s">
        <v>3490</v>
      </c>
      <c r="J459" t="s">
        <v>2902</v>
      </c>
    </row>
    <row r="460" spans="1:10" x14ac:dyDescent="0.25">
      <c r="A460" t="s">
        <v>711</v>
      </c>
      <c r="B460" t="s">
        <v>159</v>
      </c>
      <c r="C460">
        <v>8</v>
      </c>
      <c r="D460" t="s">
        <v>3120</v>
      </c>
      <c r="E460">
        <v>55</v>
      </c>
      <c r="F460">
        <v>16</v>
      </c>
      <c r="G460">
        <v>39</v>
      </c>
      <c r="H460" t="s">
        <v>3493</v>
      </c>
      <c r="I460" t="s">
        <v>3490</v>
      </c>
      <c r="J460" t="s">
        <v>2902</v>
      </c>
    </row>
    <row r="461" spans="1:10" x14ac:dyDescent="0.25">
      <c r="A461" t="s">
        <v>711</v>
      </c>
      <c r="B461" t="s">
        <v>159</v>
      </c>
      <c r="C461">
        <v>8</v>
      </c>
      <c r="D461" t="s">
        <v>3122</v>
      </c>
      <c r="E461">
        <v>93</v>
      </c>
      <c r="F461">
        <v>27</v>
      </c>
      <c r="G461">
        <v>66</v>
      </c>
      <c r="H461" t="s">
        <v>3495</v>
      </c>
      <c r="I461" t="s">
        <v>3490</v>
      </c>
      <c r="J461" t="s">
        <v>2902</v>
      </c>
    </row>
    <row r="462" spans="1:10" x14ac:dyDescent="0.25">
      <c r="A462" t="s">
        <v>717</v>
      </c>
      <c r="B462" t="s">
        <v>30</v>
      </c>
      <c r="C462">
        <v>8</v>
      </c>
      <c r="D462" t="s">
        <v>3354</v>
      </c>
      <c r="E462">
        <v>70</v>
      </c>
      <c r="F462">
        <v>17</v>
      </c>
      <c r="G462">
        <v>53</v>
      </c>
      <c r="H462" t="s">
        <v>3494</v>
      </c>
      <c r="I462" t="s">
        <v>3490</v>
      </c>
      <c r="J462" t="s">
        <v>2895</v>
      </c>
    </row>
    <row r="463" spans="1:10" x14ac:dyDescent="0.25">
      <c r="A463" t="s">
        <v>717</v>
      </c>
      <c r="B463" t="s">
        <v>30</v>
      </c>
      <c r="C463">
        <v>8</v>
      </c>
      <c r="D463" t="s">
        <v>3356</v>
      </c>
      <c r="E463">
        <v>63</v>
      </c>
      <c r="F463">
        <v>29</v>
      </c>
      <c r="G463">
        <v>34</v>
      </c>
      <c r="H463" t="s">
        <v>3489</v>
      </c>
      <c r="I463" t="s">
        <v>3490</v>
      </c>
      <c r="J463" t="s">
        <v>2895</v>
      </c>
    </row>
    <row r="464" spans="1:10" x14ac:dyDescent="0.25">
      <c r="A464" t="s">
        <v>717</v>
      </c>
      <c r="B464" t="s">
        <v>30</v>
      </c>
      <c r="C464">
        <v>8</v>
      </c>
      <c r="D464" t="s">
        <v>3358</v>
      </c>
      <c r="E464">
        <v>82</v>
      </c>
      <c r="F464">
        <v>20</v>
      </c>
      <c r="G464">
        <v>62</v>
      </c>
      <c r="H464" t="s">
        <v>196</v>
      </c>
      <c r="I464" t="s">
        <v>3490</v>
      </c>
      <c r="J464" t="s">
        <v>2895</v>
      </c>
    </row>
    <row r="465" spans="1:10" x14ac:dyDescent="0.25">
      <c r="A465" t="s">
        <v>717</v>
      </c>
      <c r="B465" t="s">
        <v>30</v>
      </c>
      <c r="C465">
        <v>8</v>
      </c>
      <c r="D465" t="s">
        <v>3360</v>
      </c>
      <c r="E465">
        <v>72</v>
      </c>
      <c r="F465">
        <v>29</v>
      </c>
      <c r="G465">
        <v>43</v>
      </c>
      <c r="H465" t="s">
        <v>3494</v>
      </c>
      <c r="I465" t="s">
        <v>3490</v>
      </c>
      <c r="J465" t="s">
        <v>2895</v>
      </c>
    </row>
    <row r="466" spans="1:10" x14ac:dyDescent="0.25">
      <c r="A466" t="s">
        <v>717</v>
      </c>
      <c r="B466" t="s">
        <v>30</v>
      </c>
      <c r="C466">
        <v>8</v>
      </c>
      <c r="D466" t="s">
        <v>3362</v>
      </c>
      <c r="E466">
        <v>65</v>
      </c>
      <c r="F466">
        <v>30</v>
      </c>
      <c r="G466">
        <v>35</v>
      </c>
      <c r="H466" t="s">
        <v>3489</v>
      </c>
      <c r="I466" t="s">
        <v>3490</v>
      </c>
      <c r="J466" t="s">
        <v>2895</v>
      </c>
    </row>
    <row r="467" spans="1:10" x14ac:dyDescent="0.25">
      <c r="A467" t="s">
        <v>723</v>
      </c>
      <c r="B467" t="s">
        <v>122</v>
      </c>
      <c r="C467">
        <v>8</v>
      </c>
      <c r="D467" t="s">
        <v>3294</v>
      </c>
      <c r="E467">
        <v>54</v>
      </c>
      <c r="F467">
        <v>26</v>
      </c>
      <c r="G467">
        <v>28</v>
      </c>
      <c r="H467" t="s">
        <v>3493</v>
      </c>
      <c r="I467" t="s">
        <v>3490</v>
      </c>
      <c r="J467" t="s">
        <v>2919</v>
      </c>
    </row>
    <row r="468" spans="1:10" x14ac:dyDescent="0.25">
      <c r="A468" t="s">
        <v>723</v>
      </c>
      <c r="B468" t="s">
        <v>122</v>
      </c>
      <c r="C468">
        <v>8</v>
      </c>
      <c r="D468" t="s">
        <v>3296</v>
      </c>
      <c r="E468">
        <v>95</v>
      </c>
      <c r="F468">
        <v>27</v>
      </c>
      <c r="G468">
        <v>68</v>
      </c>
      <c r="H468" t="s">
        <v>3495</v>
      </c>
      <c r="I468" t="s">
        <v>3490</v>
      </c>
      <c r="J468" t="s">
        <v>2919</v>
      </c>
    </row>
    <row r="469" spans="1:10" x14ac:dyDescent="0.25">
      <c r="A469" t="s">
        <v>723</v>
      </c>
      <c r="B469" t="s">
        <v>122</v>
      </c>
      <c r="C469">
        <v>8</v>
      </c>
      <c r="D469" t="s">
        <v>3298</v>
      </c>
      <c r="E469">
        <v>48</v>
      </c>
      <c r="F469">
        <v>10</v>
      </c>
      <c r="G469">
        <v>38</v>
      </c>
      <c r="H469" t="s">
        <v>3491</v>
      </c>
      <c r="I469" t="s">
        <v>3492</v>
      </c>
      <c r="J469" t="s">
        <v>2919</v>
      </c>
    </row>
    <row r="470" spans="1:10" x14ac:dyDescent="0.25">
      <c r="A470" t="s">
        <v>723</v>
      </c>
      <c r="B470" t="s">
        <v>122</v>
      </c>
      <c r="C470">
        <v>8</v>
      </c>
      <c r="D470" t="s">
        <v>3300</v>
      </c>
      <c r="E470">
        <v>52</v>
      </c>
      <c r="F470">
        <v>10</v>
      </c>
      <c r="G470">
        <v>42</v>
      </c>
      <c r="H470" t="s">
        <v>3493</v>
      </c>
      <c r="I470" t="s">
        <v>3490</v>
      </c>
      <c r="J470" t="s">
        <v>2919</v>
      </c>
    </row>
    <row r="471" spans="1:10" x14ac:dyDescent="0.25">
      <c r="A471" t="s">
        <v>723</v>
      </c>
      <c r="B471" t="s">
        <v>122</v>
      </c>
      <c r="C471">
        <v>8</v>
      </c>
      <c r="D471" t="s">
        <v>3302</v>
      </c>
      <c r="E471">
        <v>85</v>
      </c>
      <c r="F471">
        <v>23</v>
      </c>
      <c r="G471">
        <v>62</v>
      </c>
      <c r="H471" t="s">
        <v>196</v>
      </c>
      <c r="I471" t="s">
        <v>3490</v>
      </c>
      <c r="J471" t="s">
        <v>2919</v>
      </c>
    </row>
    <row r="472" spans="1:10" x14ac:dyDescent="0.25">
      <c r="A472" t="s">
        <v>728</v>
      </c>
      <c r="B472" t="s">
        <v>105</v>
      </c>
      <c r="C472">
        <v>4</v>
      </c>
      <c r="D472" t="s">
        <v>3154</v>
      </c>
      <c r="E472">
        <v>42</v>
      </c>
      <c r="F472">
        <v>13</v>
      </c>
      <c r="G472">
        <v>29</v>
      </c>
      <c r="H472" t="s">
        <v>3491</v>
      </c>
      <c r="I472" t="s">
        <v>3492</v>
      </c>
      <c r="J472" t="s">
        <v>2908</v>
      </c>
    </row>
    <row r="473" spans="1:10" x14ac:dyDescent="0.25">
      <c r="A473" t="s">
        <v>728</v>
      </c>
      <c r="B473" t="s">
        <v>105</v>
      </c>
      <c r="C473">
        <v>4</v>
      </c>
      <c r="D473" t="s">
        <v>3156</v>
      </c>
      <c r="E473">
        <v>87</v>
      </c>
      <c r="F473">
        <v>28</v>
      </c>
      <c r="G473">
        <v>59</v>
      </c>
      <c r="H473" t="s">
        <v>196</v>
      </c>
      <c r="I473" t="s">
        <v>3490</v>
      </c>
      <c r="J473" t="s">
        <v>2908</v>
      </c>
    </row>
    <row r="474" spans="1:10" x14ac:dyDescent="0.25">
      <c r="A474" t="s">
        <v>728</v>
      </c>
      <c r="B474" t="s">
        <v>105</v>
      </c>
      <c r="C474">
        <v>4</v>
      </c>
      <c r="D474" t="s">
        <v>3158</v>
      </c>
      <c r="E474">
        <v>64</v>
      </c>
      <c r="F474">
        <v>23</v>
      </c>
      <c r="G474">
        <v>41</v>
      </c>
      <c r="H474" t="s">
        <v>3489</v>
      </c>
      <c r="I474" t="s">
        <v>3490</v>
      </c>
      <c r="J474" t="s">
        <v>2908</v>
      </c>
    </row>
    <row r="475" spans="1:10" x14ac:dyDescent="0.25">
      <c r="A475" t="s">
        <v>728</v>
      </c>
      <c r="B475" t="s">
        <v>105</v>
      </c>
      <c r="C475">
        <v>4</v>
      </c>
      <c r="D475" t="s">
        <v>3160</v>
      </c>
      <c r="E475">
        <v>65</v>
      </c>
      <c r="F475">
        <v>10</v>
      </c>
      <c r="G475">
        <v>55</v>
      </c>
      <c r="H475" t="s">
        <v>3489</v>
      </c>
      <c r="I475" t="s">
        <v>3490</v>
      </c>
      <c r="J475" t="s">
        <v>2908</v>
      </c>
    </row>
    <row r="476" spans="1:10" x14ac:dyDescent="0.25">
      <c r="A476" t="s">
        <v>728</v>
      </c>
      <c r="B476" t="s">
        <v>105</v>
      </c>
      <c r="C476">
        <v>4</v>
      </c>
      <c r="D476" t="s">
        <v>3162</v>
      </c>
      <c r="E476">
        <v>59</v>
      </c>
      <c r="F476">
        <v>14</v>
      </c>
      <c r="G476">
        <v>45</v>
      </c>
      <c r="H476" t="s">
        <v>3493</v>
      </c>
      <c r="I476" t="s">
        <v>3490</v>
      </c>
      <c r="J476" t="s">
        <v>2908</v>
      </c>
    </row>
    <row r="477" spans="1:10" x14ac:dyDescent="0.25">
      <c r="A477" t="s">
        <v>733</v>
      </c>
      <c r="B477" t="s">
        <v>122</v>
      </c>
      <c r="C477">
        <v>8</v>
      </c>
      <c r="D477" t="s">
        <v>3294</v>
      </c>
      <c r="E477">
        <v>96</v>
      </c>
      <c r="F477">
        <v>28</v>
      </c>
      <c r="G477">
        <v>68</v>
      </c>
      <c r="H477" t="s">
        <v>3495</v>
      </c>
      <c r="I477" t="s">
        <v>3490</v>
      </c>
      <c r="J477" t="s">
        <v>2919</v>
      </c>
    </row>
    <row r="478" spans="1:10" x14ac:dyDescent="0.25">
      <c r="A478" t="s">
        <v>733</v>
      </c>
      <c r="B478" t="s">
        <v>122</v>
      </c>
      <c r="C478">
        <v>8</v>
      </c>
      <c r="D478" t="s">
        <v>3296</v>
      </c>
      <c r="E478">
        <v>75</v>
      </c>
      <c r="F478">
        <v>21</v>
      </c>
      <c r="G478">
        <v>54</v>
      </c>
      <c r="H478" t="s">
        <v>3494</v>
      </c>
      <c r="I478" t="s">
        <v>3490</v>
      </c>
      <c r="J478" t="s">
        <v>2919</v>
      </c>
    </row>
    <row r="479" spans="1:10" x14ac:dyDescent="0.25">
      <c r="A479" t="s">
        <v>733</v>
      </c>
      <c r="B479" t="s">
        <v>122</v>
      </c>
      <c r="C479">
        <v>8</v>
      </c>
      <c r="D479" t="s">
        <v>3298</v>
      </c>
      <c r="E479">
        <v>61</v>
      </c>
      <c r="F479">
        <v>14</v>
      </c>
      <c r="G479">
        <v>47</v>
      </c>
      <c r="H479" t="s">
        <v>3489</v>
      </c>
      <c r="I479" t="s">
        <v>3490</v>
      </c>
      <c r="J479" t="s">
        <v>2919</v>
      </c>
    </row>
    <row r="480" spans="1:10" x14ac:dyDescent="0.25">
      <c r="A480" t="s">
        <v>733</v>
      </c>
      <c r="B480" t="s">
        <v>122</v>
      </c>
      <c r="C480">
        <v>8</v>
      </c>
      <c r="D480" t="s">
        <v>3300</v>
      </c>
      <c r="E480">
        <v>43</v>
      </c>
      <c r="F480">
        <v>18</v>
      </c>
      <c r="G480">
        <v>25</v>
      </c>
      <c r="H480" t="s">
        <v>3491</v>
      </c>
      <c r="I480" t="s">
        <v>3492</v>
      </c>
      <c r="J480" t="s">
        <v>2919</v>
      </c>
    </row>
    <row r="481" spans="1:10" x14ac:dyDescent="0.25">
      <c r="A481" t="s">
        <v>733</v>
      </c>
      <c r="B481" t="s">
        <v>122</v>
      </c>
      <c r="C481">
        <v>8</v>
      </c>
      <c r="D481" t="s">
        <v>3302</v>
      </c>
      <c r="E481">
        <v>71</v>
      </c>
      <c r="F481">
        <v>27</v>
      </c>
      <c r="G481">
        <v>44</v>
      </c>
      <c r="H481" t="s">
        <v>3494</v>
      </c>
      <c r="I481" t="s">
        <v>3490</v>
      </c>
      <c r="J481" t="s">
        <v>2919</v>
      </c>
    </row>
    <row r="482" spans="1:10" x14ac:dyDescent="0.25">
      <c r="A482" t="s">
        <v>740</v>
      </c>
      <c r="B482" t="s">
        <v>105</v>
      </c>
      <c r="C482">
        <v>8</v>
      </c>
      <c r="D482" t="s">
        <v>3174</v>
      </c>
      <c r="E482">
        <v>72</v>
      </c>
      <c r="F482">
        <v>28</v>
      </c>
      <c r="G482">
        <v>44</v>
      </c>
      <c r="H482" t="s">
        <v>3494</v>
      </c>
      <c r="I482" t="s">
        <v>3490</v>
      </c>
      <c r="J482" t="s">
        <v>2908</v>
      </c>
    </row>
    <row r="483" spans="1:10" x14ac:dyDescent="0.25">
      <c r="A483" t="s">
        <v>740</v>
      </c>
      <c r="B483" t="s">
        <v>105</v>
      </c>
      <c r="C483">
        <v>8</v>
      </c>
      <c r="D483" t="s">
        <v>3176</v>
      </c>
      <c r="E483">
        <v>67</v>
      </c>
      <c r="F483">
        <v>21</v>
      </c>
      <c r="G483">
        <v>46</v>
      </c>
      <c r="H483" t="s">
        <v>3489</v>
      </c>
      <c r="I483" t="s">
        <v>3490</v>
      </c>
      <c r="J483" t="s">
        <v>2908</v>
      </c>
    </row>
    <row r="484" spans="1:10" x14ac:dyDescent="0.25">
      <c r="A484" t="s">
        <v>740</v>
      </c>
      <c r="B484" t="s">
        <v>105</v>
      </c>
      <c r="C484">
        <v>8</v>
      </c>
      <c r="D484" t="s">
        <v>3178</v>
      </c>
      <c r="E484">
        <v>54</v>
      </c>
      <c r="F484">
        <v>30</v>
      </c>
      <c r="G484">
        <v>24</v>
      </c>
      <c r="H484" t="s">
        <v>3493</v>
      </c>
      <c r="I484" t="s">
        <v>3490</v>
      </c>
      <c r="J484" t="s">
        <v>2908</v>
      </c>
    </row>
    <row r="485" spans="1:10" x14ac:dyDescent="0.25">
      <c r="A485" t="s">
        <v>740</v>
      </c>
      <c r="B485" t="s">
        <v>105</v>
      </c>
      <c r="C485">
        <v>8</v>
      </c>
      <c r="D485" t="s">
        <v>3180</v>
      </c>
      <c r="E485">
        <v>36</v>
      </c>
      <c r="F485">
        <v>16</v>
      </c>
      <c r="G485">
        <v>20</v>
      </c>
      <c r="H485" t="s">
        <v>3491</v>
      </c>
      <c r="I485" t="s">
        <v>3492</v>
      </c>
      <c r="J485" t="s">
        <v>2908</v>
      </c>
    </row>
    <row r="486" spans="1:10" x14ac:dyDescent="0.25">
      <c r="A486" t="s">
        <v>740</v>
      </c>
      <c r="B486" t="s">
        <v>105</v>
      </c>
      <c r="C486">
        <v>8</v>
      </c>
      <c r="D486" t="s">
        <v>3182</v>
      </c>
      <c r="E486">
        <v>77</v>
      </c>
      <c r="F486">
        <v>27</v>
      </c>
      <c r="G486">
        <v>50</v>
      </c>
      <c r="H486" t="s">
        <v>3494</v>
      </c>
      <c r="I486" t="s">
        <v>3490</v>
      </c>
      <c r="J486" t="s">
        <v>2908</v>
      </c>
    </row>
    <row r="487" spans="1:10" x14ac:dyDescent="0.25">
      <c r="A487" t="s">
        <v>745</v>
      </c>
      <c r="B487" t="s">
        <v>95</v>
      </c>
      <c r="C487">
        <v>8</v>
      </c>
      <c r="D487" t="s">
        <v>3234</v>
      </c>
      <c r="E487">
        <v>49</v>
      </c>
      <c r="F487">
        <v>23</v>
      </c>
      <c r="G487">
        <v>26</v>
      </c>
      <c r="H487" t="s">
        <v>3491</v>
      </c>
      <c r="I487" t="s">
        <v>3492</v>
      </c>
      <c r="J487" t="s">
        <v>2889</v>
      </c>
    </row>
    <row r="488" spans="1:10" x14ac:dyDescent="0.25">
      <c r="A488" t="s">
        <v>745</v>
      </c>
      <c r="B488" t="s">
        <v>95</v>
      </c>
      <c r="C488">
        <v>8</v>
      </c>
      <c r="D488" t="s">
        <v>3236</v>
      </c>
      <c r="E488">
        <v>83</v>
      </c>
      <c r="F488">
        <v>14</v>
      </c>
      <c r="G488">
        <v>69</v>
      </c>
      <c r="H488" t="s">
        <v>196</v>
      </c>
      <c r="I488" t="s">
        <v>3490</v>
      </c>
      <c r="J488" t="s">
        <v>2889</v>
      </c>
    </row>
    <row r="489" spans="1:10" x14ac:dyDescent="0.25">
      <c r="A489" t="s">
        <v>745</v>
      </c>
      <c r="B489" t="s">
        <v>95</v>
      </c>
      <c r="C489">
        <v>8</v>
      </c>
      <c r="D489" t="s">
        <v>3238</v>
      </c>
      <c r="E489">
        <v>69</v>
      </c>
      <c r="F489">
        <v>16</v>
      </c>
      <c r="G489">
        <v>53</v>
      </c>
      <c r="H489" t="s">
        <v>3489</v>
      </c>
      <c r="I489" t="s">
        <v>3490</v>
      </c>
      <c r="J489" t="s">
        <v>2889</v>
      </c>
    </row>
    <row r="490" spans="1:10" x14ac:dyDescent="0.25">
      <c r="A490" t="s">
        <v>745</v>
      </c>
      <c r="B490" t="s">
        <v>95</v>
      </c>
      <c r="C490">
        <v>8</v>
      </c>
      <c r="D490" t="s">
        <v>3240</v>
      </c>
      <c r="E490">
        <v>76</v>
      </c>
      <c r="F490">
        <v>20</v>
      </c>
      <c r="G490">
        <v>56</v>
      </c>
      <c r="H490" t="s">
        <v>3494</v>
      </c>
      <c r="I490" t="s">
        <v>3490</v>
      </c>
      <c r="J490" t="s">
        <v>2889</v>
      </c>
    </row>
    <row r="491" spans="1:10" x14ac:dyDescent="0.25">
      <c r="A491" t="s">
        <v>745</v>
      </c>
      <c r="B491" t="s">
        <v>95</v>
      </c>
      <c r="C491">
        <v>8</v>
      </c>
      <c r="D491" t="s">
        <v>3242</v>
      </c>
      <c r="E491">
        <v>88</v>
      </c>
      <c r="F491">
        <v>20</v>
      </c>
      <c r="G491">
        <v>68</v>
      </c>
      <c r="H491" t="s">
        <v>196</v>
      </c>
      <c r="I491" t="s">
        <v>3490</v>
      </c>
      <c r="J491" t="s">
        <v>2889</v>
      </c>
    </row>
    <row r="492" spans="1:10" x14ac:dyDescent="0.25">
      <c r="A492" t="s">
        <v>751</v>
      </c>
      <c r="B492" t="s">
        <v>95</v>
      </c>
      <c r="C492">
        <v>8</v>
      </c>
      <c r="D492" t="s">
        <v>3234</v>
      </c>
      <c r="E492">
        <v>49</v>
      </c>
      <c r="F492">
        <v>13</v>
      </c>
      <c r="G492">
        <v>36</v>
      </c>
      <c r="H492" t="s">
        <v>3491</v>
      </c>
      <c r="I492" t="s">
        <v>3492</v>
      </c>
      <c r="J492" t="s">
        <v>2889</v>
      </c>
    </row>
    <row r="493" spans="1:10" x14ac:dyDescent="0.25">
      <c r="A493" t="s">
        <v>751</v>
      </c>
      <c r="B493" t="s">
        <v>95</v>
      </c>
      <c r="C493">
        <v>8</v>
      </c>
      <c r="D493" t="s">
        <v>3236</v>
      </c>
      <c r="E493">
        <v>85</v>
      </c>
      <c r="F493">
        <v>16</v>
      </c>
      <c r="G493">
        <v>69</v>
      </c>
      <c r="H493" t="s">
        <v>196</v>
      </c>
      <c r="I493" t="s">
        <v>3490</v>
      </c>
      <c r="J493" t="s">
        <v>2889</v>
      </c>
    </row>
    <row r="494" spans="1:10" x14ac:dyDescent="0.25">
      <c r="A494" t="s">
        <v>751</v>
      </c>
      <c r="B494" t="s">
        <v>95</v>
      </c>
      <c r="C494">
        <v>8</v>
      </c>
      <c r="D494" t="s">
        <v>3238</v>
      </c>
      <c r="E494">
        <v>63</v>
      </c>
      <c r="F494">
        <v>18</v>
      </c>
      <c r="G494">
        <v>45</v>
      </c>
      <c r="H494" t="s">
        <v>3489</v>
      </c>
      <c r="I494" t="s">
        <v>3490</v>
      </c>
      <c r="J494" t="s">
        <v>2889</v>
      </c>
    </row>
    <row r="495" spans="1:10" x14ac:dyDescent="0.25">
      <c r="A495" t="s">
        <v>751</v>
      </c>
      <c r="B495" t="s">
        <v>95</v>
      </c>
      <c r="C495">
        <v>8</v>
      </c>
      <c r="D495" t="s">
        <v>3240</v>
      </c>
      <c r="E495">
        <v>56</v>
      </c>
      <c r="F495">
        <v>27</v>
      </c>
      <c r="G495">
        <v>29</v>
      </c>
      <c r="H495" t="s">
        <v>3493</v>
      </c>
      <c r="I495" t="s">
        <v>3490</v>
      </c>
      <c r="J495" t="s">
        <v>2889</v>
      </c>
    </row>
    <row r="496" spans="1:10" x14ac:dyDescent="0.25">
      <c r="A496" t="s">
        <v>751</v>
      </c>
      <c r="B496" t="s">
        <v>95</v>
      </c>
      <c r="C496">
        <v>8</v>
      </c>
      <c r="D496" t="s">
        <v>3242</v>
      </c>
      <c r="E496">
        <v>74</v>
      </c>
      <c r="F496">
        <v>17</v>
      </c>
      <c r="G496">
        <v>57</v>
      </c>
      <c r="H496" t="s">
        <v>3494</v>
      </c>
      <c r="I496" t="s">
        <v>3490</v>
      </c>
      <c r="J496" t="s">
        <v>2889</v>
      </c>
    </row>
    <row r="497" spans="1:10" x14ac:dyDescent="0.25">
      <c r="A497" t="s">
        <v>758</v>
      </c>
      <c r="B497" t="s">
        <v>122</v>
      </c>
      <c r="C497">
        <v>6</v>
      </c>
      <c r="D497" t="s">
        <v>3294</v>
      </c>
      <c r="E497">
        <v>71</v>
      </c>
      <c r="F497">
        <v>19</v>
      </c>
      <c r="G497">
        <v>52</v>
      </c>
      <c r="H497" t="s">
        <v>3494</v>
      </c>
      <c r="I497" t="s">
        <v>3490</v>
      </c>
      <c r="J497" t="s">
        <v>2919</v>
      </c>
    </row>
    <row r="498" spans="1:10" x14ac:dyDescent="0.25">
      <c r="A498" t="s">
        <v>758</v>
      </c>
      <c r="B498" t="s">
        <v>122</v>
      </c>
      <c r="C498">
        <v>6</v>
      </c>
      <c r="D498" t="s">
        <v>3296</v>
      </c>
      <c r="E498">
        <v>78</v>
      </c>
      <c r="F498">
        <v>18</v>
      </c>
      <c r="G498">
        <v>60</v>
      </c>
      <c r="H498" t="s">
        <v>3494</v>
      </c>
      <c r="I498" t="s">
        <v>3490</v>
      </c>
      <c r="J498" t="s">
        <v>2919</v>
      </c>
    </row>
    <row r="499" spans="1:10" x14ac:dyDescent="0.25">
      <c r="A499" t="s">
        <v>758</v>
      </c>
      <c r="B499" t="s">
        <v>122</v>
      </c>
      <c r="C499">
        <v>6</v>
      </c>
      <c r="D499" t="s">
        <v>3298</v>
      </c>
      <c r="E499">
        <v>32</v>
      </c>
      <c r="F499">
        <v>11</v>
      </c>
      <c r="G499">
        <v>21</v>
      </c>
      <c r="H499" t="s">
        <v>3491</v>
      </c>
      <c r="I499" t="s">
        <v>3492</v>
      </c>
      <c r="J499" t="s">
        <v>2919</v>
      </c>
    </row>
    <row r="500" spans="1:10" x14ac:dyDescent="0.25">
      <c r="A500" t="s">
        <v>758</v>
      </c>
      <c r="B500" t="s">
        <v>122</v>
      </c>
      <c r="C500">
        <v>6</v>
      </c>
      <c r="D500" t="s">
        <v>3300</v>
      </c>
      <c r="E500">
        <v>65</v>
      </c>
      <c r="F500">
        <v>15</v>
      </c>
      <c r="G500">
        <v>50</v>
      </c>
      <c r="H500" t="s">
        <v>3489</v>
      </c>
      <c r="I500" t="s">
        <v>3490</v>
      </c>
      <c r="J500" t="s">
        <v>2919</v>
      </c>
    </row>
    <row r="501" spans="1:10" x14ac:dyDescent="0.25">
      <c r="A501" t="s">
        <v>758</v>
      </c>
      <c r="B501" t="s">
        <v>122</v>
      </c>
      <c r="C501">
        <v>6</v>
      </c>
      <c r="D501" t="s">
        <v>3302</v>
      </c>
      <c r="E501">
        <v>37</v>
      </c>
      <c r="F501">
        <v>17</v>
      </c>
      <c r="G501">
        <v>20</v>
      </c>
      <c r="H501" t="s">
        <v>3491</v>
      </c>
      <c r="I501" t="s">
        <v>3492</v>
      </c>
      <c r="J501" t="s">
        <v>2919</v>
      </c>
    </row>
    <row r="502" spans="1:10" x14ac:dyDescent="0.25">
      <c r="A502" t="s">
        <v>766</v>
      </c>
      <c r="B502" t="s">
        <v>212</v>
      </c>
      <c r="C502">
        <v>8</v>
      </c>
      <c r="D502" t="s">
        <v>3474</v>
      </c>
      <c r="E502">
        <v>72</v>
      </c>
      <c r="F502">
        <v>10</v>
      </c>
      <c r="G502">
        <v>62</v>
      </c>
      <c r="H502" t="s">
        <v>3494</v>
      </c>
      <c r="I502" t="s">
        <v>3490</v>
      </c>
      <c r="J502" t="s">
        <v>3001</v>
      </c>
    </row>
    <row r="503" spans="1:10" x14ac:dyDescent="0.25">
      <c r="A503" t="s">
        <v>766</v>
      </c>
      <c r="B503" t="s">
        <v>212</v>
      </c>
      <c r="C503">
        <v>8</v>
      </c>
      <c r="D503" t="s">
        <v>3476</v>
      </c>
      <c r="E503">
        <v>73</v>
      </c>
      <c r="F503">
        <v>26</v>
      </c>
      <c r="G503">
        <v>47</v>
      </c>
      <c r="H503" t="s">
        <v>3494</v>
      </c>
      <c r="I503" t="s">
        <v>3490</v>
      </c>
      <c r="J503" t="s">
        <v>3001</v>
      </c>
    </row>
    <row r="504" spans="1:10" x14ac:dyDescent="0.25">
      <c r="A504" t="s">
        <v>766</v>
      </c>
      <c r="B504" t="s">
        <v>212</v>
      </c>
      <c r="C504">
        <v>8</v>
      </c>
      <c r="D504" t="s">
        <v>3478</v>
      </c>
      <c r="E504">
        <v>74</v>
      </c>
      <c r="F504">
        <v>29</v>
      </c>
      <c r="G504">
        <v>45</v>
      </c>
      <c r="H504" t="s">
        <v>3494</v>
      </c>
      <c r="I504" t="s">
        <v>3490</v>
      </c>
      <c r="J504" t="s">
        <v>3001</v>
      </c>
    </row>
    <row r="505" spans="1:10" x14ac:dyDescent="0.25">
      <c r="A505" t="s">
        <v>766</v>
      </c>
      <c r="B505" t="s">
        <v>212</v>
      </c>
      <c r="C505">
        <v>8</v>
      </c>
      <c r="D505" t="s">
        <v>3480</v>
      </c>
      <c r="E505">
        <v>46</v>
      </c>
      <c r="F505">
        <v>22</v>
      </c>
      <c r="G505">
        <v>24</v>
      </c>
      <c r="H505" t="s">
        <v>3491</v>
      </c>
      <c r="I505" t="s">
        <v>3492</v>
      </c>
      <c r="J505" t="s">
        <v>3001</v>
      </c>
    </row>
    <row r="506" spans="1:10" x14ac:dyDescent="0.25">
      <c r="A506" t="s">
        <v>766</v>
      </c>
      <c r="B506" t="s">
        <v>212</v>
      </c>
      <c r="C506">
        <v>8</v>
      </c>
      <c r="D506" t="s">
        <v>3482</v>
      </c>
      <c r="E506">
        <v>38</v>
      </c>
      <c r="F506">
        <v>11</v>
      </c>
      <c r="G506">
        <v>27</v>
      </c>
      <c r="H506" t="s">
        <v>3491</v>
      </c>
      <c r="I506" t="s">
        <v>3492</v>
      </c>
      <c r="J506" t="s">
        <v>3001</v>
      </c>
    </row>
    <row r="507" spans="1:10" x14ac:dyDescent="0.25">
      <c r="A507" t="s">
        <v>771</v>
      </c>
      <c r="B507" t="s">
        <v>159</v>
      </c>
      <c r="C507">
        <v>8</v>
      </c>
      <c r="D507" t="s">
        <v>3114</v>
      </c>
      <c r="E507">
        <v>74</v>
      </c>
      <c r="F507">
        <v>22</v>
      </c>
      <c r="G507">
        <v>52</v>
      </c>
      <c r="H507" t="s">
        <v>3494</v>
      </c>
      <c r="I507" t="s">
        <v>3490</v>
      </c>
      <c r="J507" t="s">
        <v>2902</v>
      </c>
    </row>
    <row r="508" spans="1:10" x14ac:dyDescent="0.25">
      <c r="A508" t="s">
        <v>771</v>
      </c>
      <c r="B508" t="s">
        <v>159</v>
      </c>
      <c r="C508">
        <v>8</v>
      </c>
      <c r="D508" t="s">
        <v>3116</v>
      </c>
      <c r="E508">
        <v>40</v>
      </c>
      <c r="F508">
        <v>16</v>
      </c>
      <c r="G508">
        <v>24</v>
      </c>
      <c r="H508" t="s">
        <v>3491</v>
      </c>
      <c r="I508" t="s">
        <v>3492</v>
      </c>
      <c r="J508" t="s">
        <v>2902</v>
      </c>
    </row>
    <row r="509" spans="1:10" x14ac:dyDescent="0.25">
      <c r="A509" t="s">
        <v>771</v>
      </c>
      <c r="B509" t="s">
        <v>159</v>
      </c>
      <c r="C509">
        <v>8</v>
      </c>
      <c r="D509" t="s">
        <v>3118</v>
      </c>
      <c r="E509">
        <v>74</v>
      </c>
      <c r="F509">
        <v>12</v>
      </c>
      <c r="G509">
        <v>62</v>
      </c>
      <c r="H509" t="s">
        <v>3494</v>
      </c>
      <c r="I509" t="s">
        <v>3490</v>
      </c>
      <c r="J509" t="s">
        <v>2902</v>
      </c>
    </row>
    <row r="510" spans="1:10" x14ac:dyDescent="0.25">
      <c r="A510" t="s">
        <v>771</v>
      </c>
      <c r="B510" t="s">
        <v>159</v>
      </c>
      <c r="C510">
        <v>8</v>
      </c>
      <c r="D510" t="s">
        <v>3120</v>
      </c>
      <c r="E510">
        <v>75</v>
      </c>
      <c r="F510">
        <v>16</v>
      </c>
      <c r="G510">
        <v>59</v>
      </c>
      <c r="H510" t="s">
        <v>3494</v>
      </c>
      <c r="I510" t="s">
        <v>3490</v>
      </c>
      <c r="J510" t="s">
        <v>2902</v>
      </c>
    </row>
    <row r="511" spans="1:10" x14ac:dyDescent="0.25">
      <c r="A511" t="s">
        <v>771</v>
      </c>
      <c r="B511" t="s">
        <v>159</v>
      </c>
      <c r="C511">
        <v>8</v>
      </c>
      <c r="D511" t="s">
        <v>3122</v>
      </c>
      <c r="E511">
        <v>41</v>
      </c>
      <c r="F511">
        <v>20</v>
      </c>
      <c r="G511">
        <v>21</v>
      </c>
      <c r="H511" t="s">
        <v>3491</v>
      </c>
      <c r="I511" t="s">
        <v>3492</v>
      </c>
      <c r="J511" t="s">
        <v>2902</v>
      </c>
    </row>
    <row r="512" spans="1:10" x14ac:dyDescent="0.25">
      <c r="A512" t="s">
        <v>778</v>
      </c>
      <c r="B512" t="s">
        <v>212</v>
      </c>
      <c r="C512">
        <v>8</v>
      </c>
      <c r="D512" t="s">
        <v>3474</v>
      </c>
      <c r="E512">
        <v>35</v>
      </c>
      <c r="F512">
        <v>11</v>
      </c>
      <c r="G512">
        <v>24</v>
      </c>
      <c r="H512" t="s">
        <v>3491</v>
      </c>
      <c r="I512" t="s">
        <v>3492</v>
      </c>
      <c r="J512" t="s">
        <v>3001</v>
      </c>
    </row>
    <row r="513" spans="1:10" x14ac:dyDescent="0.25">
      <c r="A513" t="s">
        <v>778</v>
      </c>
      <c r="B513" t="s">
        <v>212</v>
      </c>
      <c r="C513">
        <v>8</v>
      </c>
      <c r="D513" t="s">
        <v>3476</v>
      </c>
      <c r="E513">
        <v>75</v>
      </c>
      <c r="F513">
        <v>22</v>
      </c>
      <c r="G513">
        <v>53</v>
      </c>
      <c r="H513" t="s">
        <v>3494</v>
      </c>
      <c r="I513" t="s">
        <v>3490</v>
      </c>
      <c r="J513" t="s">
        <v>3001</v>
      </c>
    </row>
    <row r="514" spans="1:10" x14ac:dyDescent="0.25">
      <c r="A514" t="s">
        <v>778</v>
      </c>
      <c r="B514" t="s">
        <v>212</v>
      </c>
      <c r="C514">
        <v>8</v>
      </c>
      <c r="D514" t="s">
        <v>3478</v>
      </c>
      <c r="E514">
        <v>70</v>
      </c>
      <c r="F514">
        <v>11</v>
      </c>
      <c r="G514">
        <v>59</v>
      </c>
      <c r="H514" t="s">
        <v>3494</v>
      </c>
      <c r="I514" t="s">
        <v>3490</v>
      </c>
      <c r="J514" t="s">
        <v>3001</v>
      </c>
    </row>
    <row r="515" spans="1:10" x14ac:dyDescent="0.25">
      <c r="A515" t="s">
        <v>778</v>
      </c>
      <c r="B515" t="s">
        <v>212</v>
      </c>
      <c r="C515">
        <v>8</v>
      </c>
      <c r="D515" t="s">
        <v>3480</v>
      </c>
      <c r="E515">
        <v>67</v>
      </c>
      <c r="F515">
        <v>30</v>
      </c>
      <c r="G515">
        <v>37</v>
      </c>
      <c r="H515" t="s">
        <v>3489</v>
      </c>
      <c r="I515" t="s">
        <v>3490</v>
      </c>
      <c r="J515" t="s">
        <v>3001</v>
      </c>
    </row>
    <row r="516" spans="1:10" x14ac:dyDescent="0.25">
      <c r="A516" t="s">
        <v>778</v>
      </c>
      <c r="B516" t="s">
        <v>212</v>
      </c>
      <c r="C516">
        <v>8</v>
      </c>
      <c r="D516" t="s">
        <v>3482</v>
      </c>
      <c r="E516">
        <v>50</v>
      </c>
      <c r="F516">
        <v>12</v>
      </c>
      <c r="G516">
        <v>38</v>
      </c>
      <c r="H516" t="s">
        <v>3493</v>
      </c>
      <c r="I516" t="s">
        <v>3490</v>
      </c>
      <c r="J516" t="s">
        <v>3001</v>
      </c>
    </row>
    <row r="517" spans="1:10" x14ac:dyDescent="0.25">
      <c r="A517" t="s">
        <v>783</v>
      </c>
      <c r="B517" t="s">
        <v>122</v>
      </c>
      <c r="C517">
        <v>8</v>
      </c>
      <c r="D517" t="s">
        <v>3294</v>
      </c>
      <c r="E517">
        <v>88</v>
      </c>
      <c r="F517">
        <v>30</v>
      </c>
      <c r="G517">
        <v>58</v>
      </c>
      <c r="H517" t="s">
        <v>196</v>
      </c>
      <c r="I517" t="s">
        <v>3490</v>
      </c>
      <c r="J517" t="s">
        <v>2919</v>
      </c>
    </row>
    <row r="518" spans="1:10" x14ac:dyDescent="0.25">
      <c r="A518" t="s">
        <v>783</v>
      </c>
      <c r="B518" t="s">
        <v>122</v>
      </c>
      <c r="C518">
        <v>8</v>
      </c>
      <c r="D518" t="s">
        <v>3296</v>
      </c>
      <c r="E518">
        <v>79</v>
      </c>
      <c r="F518">
        <v>12</v>
      </c>
      <c r="G518">
        <v>67</v>
      </c>
      <c r="H518" t="s">
        <v>3494</v>
      </c>
      <c r="I518" t="s">
        <v>3490</v>
      </c>
      <c r="J518" t="s">
        <v>2919</v>
      </c>
    </row>
    <row r="519" spans="1:10" x14ac:dyDescent="0.25">
      <c r="A519" t="s">
        <v>783</v>
      </c>
      <c r="B519" t="s">
        <v>122</v>
      </c>
      <c r="C519">
        <v>8</v>
      </c>
      <c r="D519" t="s">
        <v>3298</v>
      </c>
      <c r="E519">
        <v>43</v>
      </c>
      <c r="F519">
        <v>20</v>
      </c>
      <c r="G519">
        <v>23</v>
      </c>
      <c r="H519" t="s">
        <v>3491</v>
      </c>
      <c r="I519" t="s">
        <v>3492</v>
      </c>
      <c r="J519" t="s">
        <v>2919</v>
      </c>
    </row>
    <row r="520" spans="1:10" x14ac:dyDescent="0.25">
      <c r="A520" t="s">
        <v>783</v>
      </c>
      <c r="B520" t="s">
        <v>122</v>
      </c>
      <c r="C520">
        <v>8</v>
      </c>
      <c r="D520" t="s">
        <v>3300</v>
      </c>
      <c r="E520">
        <v>70</v>
      </c>
      <c r="F520">
        <v>24</v>
      </c>
      <c r="G520">
        <v>46</v>
      </c>
      <c r="H520" t="s">
        <v>3494</v>
      </c>
      <c r="I520" t="s">
        <v>3490</v>
      </c>
      <c r="J520" t="s">
        <v>2919</v>
      </c>
    </row>
    <row r="521" spans="1:10" x14ac:dyDescent="0.25">
      <c r="A521" t="s">
        <v>783</v>
      </c>
      <c r="B521" t="s">
        <v>122</v>
      </c>
      <c r="C521">
        <v>8</v>
      </c>
      <c r="D521" t="s">
        <v>3302</v>
      </c>
      <c r="E521">
        <v>75</v>
      </c>
      <c r="F521">
        <v>15</v>
      </c>
      <c r="G521">
        <v>60</v>
      </c>
      <c r="H521" t="s">
        <v>3494</v>
      </c>
      <c r="I521" t="s">
        <v>3490</v>
      </c>
      <c r="J521" t="s">
        <v>2919</v>
      </c>
    </row>
    <row r="522" spans="1:10" x14ac:dyDescent="0.25">
      <c r="A522" t="s">
        <v>789</v>
      </c>
      <c r="B522" t="s">
        <v>159</v>
      </c>
      <c r="C522">
        <v>8</v>
      </c>
      <c r="D522" t="s">
        <v>3114</v>
      </c>
      <c r="E522">
        <v>58</v>
      </c>
      <c r="F522">
        <v>26</v>
      </c>
      <c r="G522">
        <v>32</v>
      </c>
      <c r="H522" t="s">
        <v>3493</v>
      </c>
      <c r="I522" t="s">
        <v>3490</v>
      </c>
      <c r="J522" t="s">
        <v>2902</v>
      </c>
    </row>
    <row r="523" spans="1:10" x14ac:dyDescent="0.25">
      <c r="A523" t="s">
        <v>789</v>
      </c>
      <c r="B523" t="s">
        <v>159</v>
      </c>
      <c r="C523">
        <v>8</v>
      </c>
      <c r="D523" t="s">
        <v>3116</v>
      </c>
      <c r="E523">
        <v>76</v>
      </c>
      <c r="F523">
        <v>28</v>
      </c>
      <c r="G523">
        <v>48</v>
      </c>
      <c r="H523" t="s">
        <v>3494</v>
      </c>
      <c r="I523" t="s">
        <v>3490</v>
      </c>
      <c r="J523" t="s">
        <v>2902</v>
      </c>
    </row>
    <row r="524" spans="1:10" x14ac:dyDescent="0.25">
      <c r="A524" t="s">
        <v>789</v>
      </c>
      <c r="B524" t="s">
        <v>159</v>
      </c>
      <c r="C524">
        <v>8</v>
      </c>
      <c r="D524" t="s">
        <v>3118</v>
      </c>
      <c r="E524">
        <v>76</v>
      </c>
      <c r="F524">
        <v>30</v>
      </c>
      <c r="G524">
        <v>46</v>
      </c>
      <c r="H524" t="s">
        <v>3494</v>
      </c>
      <c r="I524" t="s">
        <v>3490</v>
      </c>
      <c r="J524" t="s">
        <v>2902</v>
      </c>
    </row>
    <row r="525" spans="1:10" x14ac:dyDescent="0.25">
      <c r="A525" t="s">
        <v>789</v>
      </c>
      <c r="B525" t="s">
        <v>159</v>
      </c>
      <c r="C525">
        <v>8</v>
      </c>
      <c r="D525" t="s">
        <v>3120</v>
      </c>
      <c r="E525">
        <v>59</v>
      </c>
      <c r="F525">
        <v>30</v>
      </c>
      <c r="G525">
        <v>29</v>
      </c>
      <c r="H525" t="s">
        <v>3493</v>
      </c>
      <c r="I525" t="s">
        <v>3490</v>
      </c>
      <c r="J525" t="s">
        <v>2902</v>
      </c>
    </row>
    <row r="526" spans="1:10" x14ac:dyDescent="0.25">
      <c r="A526" t="s">
        <v>789</v>
      </c>
      <c r="B526" t="s">
        <v>159</v>
      </c>
      <c r="C526">
        <v>8</v>
      </c>
      <c r="D526" t="s">
        <v>3122</v>
      </c>
      <c r="E526">
        <v>77</v>
      </c>
      <c r="F526">
        <v>11</v>
      </c>
      <c r="G526">
        <v>66</v>
      </c>
      <c r="H526" t="s">
        <v>3494</v>
      </c>
      <c r="I526" t="s">
        <v>3490</v>
      </c>
      <c r="J526" t="s">
        <v>2902</v>
      </c>
    </row>
    <row r="527" spans="1:10" x14ac:dyDescent="0.25">
      <c r="A527" t="s">
        <v>795</v>
      </c>
      <c r="B527" t="s">
        <v>95</v>
      </c>
      <c r="C527">
        <v>6</v>
      </c>
      <c r="D527" t="s">
        <v>3234</v>
      </c>
      <c r="E527">
        <v>55</v>
      </c>
      <c r="F527">
        <v>21</v>
      </c>
      <c r="G527">
        <v>34</v>
      </c>
      <c r="H527" t="s">
        <v>3493</v>
      </c>
      <c r="I527" t="s">
        <v>3490</v>
      </c>
      <c r="J527" t="s">
        <v>2889</v>
      </c>
    </row>
    <row r="528" spans="1:10" x14ac:dyDescent="0.25">
      <c r="A528" t="s">
        <v>795</v>
      </c>
      <c r="B528" t="s">
        <v>95</v>
      </c>
      <c r="C528">
        <v>6</v>
      </c>
      <c r="D528" t="s">
        <v>3236</v>
      </c>
      <c r="E528">
        <v>67</v>
      </c>
      <c r="F528">
        <v>30</v>
      </c>
      <c r="G528">
        <v>37</v>
      </c>
      <c r="H528" t="s">
        <v>3489</v>
      </c>
      <c r="I528" t="s">
        <v>3490</v>
      </c>
      <c r="J528" t="s">
        <v>2889</v>
      </c>
    </row>
    <row r="529" spans="1:10" x14ac:dyDescent="0.25">
      <c r="A529" t="s">
        <v>795</v>
      </c>
      <c r="B529" t="s">
        <v>95</v>
      </c>
      <c r="C529">
        <v>6</v>
      </c>
      <c r="D529" t="s">
        <v>3238</v>
      </c>
      <c r="E529">
        <v>39</v>
      </c>
      <c r="F529">
        <v>18</v>
      </c>
      <c r="G529">
        <v>21</v>
      </c>
      <c r="H529" t="s">
        <v>3491</v>
      </c>
      <c r="I529" t="s">
        <v>3492</v>
      </c>
      <c r="J529" t="s">
        <v>2889</v>
      </c>
    </row>
    <row r="530" spans="1:10" x14ac:dyDescent="0.25">
      <c r="A530" t="s">
        <v>795</v>
      </c>
      <c r="B530" t="s">
        <v>95</v>
      </c>
      <c r="C530">
        <v>6</v>
      </c>
      <c r="D530" t="s">
        <v>3240</v>
      </c>
      <c r="E530">
        <v>73</v>
      </c>
      <c r="F530">
        <v>25</v>
      </c>
      <c r="G530">
        <v>48</v>
      </c>
      <c r="H530" t="s">
        <v>3494</v>
      </c>
      <c r="I530" t="s">
        <v>3490</v>
      </c>
      <c r="J530" t="s">
        <v>2889</v>
      </c>
    </row>
    <row r="531" spans="1:10" x14ac:dyDescent="0.25">
      <c r="A531" t="s">
        <v>795</v>
      </c>
      <c r="B531" t="s">
        <v>95</v>
      </c>
      <c r="C531">
        <v>6</v>
      </c>
      <c r="D531" t="s">
        <v>3242</v>
      </c>
      <c r="E531">
        <v>82</v>
      </c>
      <c r="F531">
        <v>24</v>
      </c>
      <c r="G531">
        <v>58</v>
      </c>
      <c r="H531" t="s">
        <v>196</v>
      </c>
      <c r="I531" t="s">
        <v>3490</v>
      </c>
      <c r="J531" t="s">
        <v>2889</v>
      </c>
    </row>
    <row r="532" spans="1:10" x14ac:dyDescent="0.25">
      <c r="A532" t="s">
        <v>803</v>
      </c>
      <c r="B532" t="s">
        <v>75</v>
      </c>
      <c r="C532">
        <v>8</v>
      </c>
      <c r="D532" t="s">
        <v>3054</v>
      </c>
      <c r="E532">
        <v>64</v>
      </c>
      <c r="F532">
        <v>19</v>
      </c>
      <c r="G532">
        <v>45</v>
      </c>
      <c r="H532" t="s">
        <v>3489</v>
      </c>
      <c r="I532" t="s">
        <v>3490</v>
      </c>
      <c r="J532" t="s">
        <v>2961</v>
      </c>
    </row>
    <row r="533" spans="1:10" x14ac:dyDescent="0.25">
      <c r="A533" t="s">
        <v>803</v>
      </c>
      <c r="B533" t="s">
        <v>75</v>
      </c>
      <c r="C533">
        <v>8</v>
      </c>
      <c r="D533" t="s">
        <v>3056</v>
      </c>
      <c r="E533">
        <v>38</v>
      </c>
      <c r="F533">
        <v>15</v>
      </c>
      <c r="G533">
        <v>23</v>
      </c>
      <c r="H533" t="s">
        <v>3491</v>
      </c>
      <c r="I533" t="s">
        <v>3492</v>
      </c>
      <c r="J533" t="s">
        <v>2961</v>
      </c>
    </row>
    <row r="534" spans="1:10" x14ac:dyDescent="0.25">
      <c r="A534" t="s">
        <v>803</v>
      </c>
      <c r="B534" t="s">
        <v>75</v>
      </c>
      <c r="C534">
        <v>8</v>
      </c>
      <c r="D534" t="s">
        <v>3058</v>
      </c>
      <c r="E534">
        <v>52</v>
      </c>
      <c r="F534">
        <v>24</v>
      </c>
      <c r="G534">
        <v>28</v>
      </c>
      <c r="H534" t="s">
        <v>3493</v>
      </c>
      <c r="I534" t="s">
        <v>3490</v>
      </c>
      <c r="J534" t="s">
        <v>2961</v>
      </c>
    </row>
    <row r="535" spans="1:10" x14ac:dyDescent="0.25">
      <c r="A535" t="s">
        <v>803</v>
      </c>
      <c r="B535" t="s">
        <v>75</v>
      </c>
      <c r="C535">
        <v>8</v>
      </c>
      <c r="D535" t="s">
        <v>3060</v>
      </c>
      <c r="E535">
        <v>90</v>
      </c>
      <c r="F535">
        <v>22</v>
      </c>
      <c r="G535">
        <v>68</v>
      </c>
      <c r="H535" t="s">
        <v>3495</v>
      </c>
      <c r="I535" t="s">
        <v>3490</v>
      </c>
      <c r="J535" t="s">
        <v>2961</v>
      </c>
    </row>
    <row r="536" spans="1:10" x14ac:dyDescent="0.25">
      <c r="A536" t="s">
        <v>803</v>
      </c>
      <c r="B536" t="s">
        <v>75</v>
      </c>
      <c r="C536">
        <v>8</v>
      </c>
      <c r="D536" t="s">
        <v>3062</v>
      </c>
      <c r="E536">
        <v>85</v>
      </c>
      <c r="F536">
        <v>23</v>
      </c>
      <c r="G536">
        <v>62</v>
      </c>
      <c r="H536" t="s">
        <v>196</v>
      </c>
      <c r="I536" t="s">
        <v>3490</v>
      </c>
      <c r="J536" t="s">
        <v>2961</v>
      </c>
    </row>
    <row r="537" spans="1:10" x14ac:dyDescent="0.25">
      <c r="A537" t="s">
        <v>809</v>
      </c>
      <c r="B537" t="s">
        <v>159</v>
      </c>
      <c r="C537">
        <v>8</v>
      </c>
      <c r="D537" t="s">
        <v>3114</v>
      </c>
      <c r="E537">
        <v>72</v>
      </c>
      <c r="F537">
        <v>14</v>
      </c>
      <c r="G537">
        <v>58</v>
      </c>
      <c r="H537" t="s">
        <v>3494</v>
      </c>
      <c r="I537" t="s">
        <v>3490</v>
      </c>
      <c r="J537" t="s">
        <v>2902</v>
      </c>
    </row>
    <row r="538" spans="1:10" x14ac:dyDescent="0.25">
      <c r="A538" t="s">
        <v>809</v>
      </c>
      <c r="B538" t="s">
        <v>159</v>
      </c>
      <c r="C538">
        <v>8</v>
      </c>
      <c r="D538" t="s">
        <v>3116</v>
      </c>
      <c r="E538">
        <v>56</v>
      </c>
      <c r="F538">
        <v>14</v>
      </c>
      <c r="G538">
        <v>42</v>
      </c>
      <c r="H538" t="s">
        <v>3493</v>
      </c>
      <c r="I538" t="s">
        <v>3490</v>
      </c>
      <c r="J538" t="s">
        <v>2902</v>
      </c>
    </row>
    <row r="539" spans="1:10" x14ac:dyDescent="0.25">
      <c r="A539" t="s">
        <v>809</v>
      </c>
      <c r="B539" t="s">
        <v>159</v>
      </c>
      <c r="C539">
        <v>8</v>
      </c>
      <c r="D539" t="s">
        <v>3118</v>
      </c>
      <c r="E539">
        <v>65</v>
      </c>
      <c r="F539">
        <v>10</v>
      </c>
      <c r="G539">
        <v>55</v>
      </c>
      <c r="H539" t="s">
        <v>3489</v>
      </c>
      <c r="I539" t="s">
        <v>3490</v>
      </c>
      <c r="J539" t="s">
        <v>2902</v>
      </c>
    </row>
    <row r="540" spans="1:10" x14ac:dyDescent="0.25">
      <c r="A540" t="s">
        <v>809</v>
      </c>
      <c r="B540" t="s">
        <v>159</v>
      </c>
      <c r="C540">
        <v>8</v>
      </c>
      <c r="D540" t="s">
        <v>3120</v>
      </c>
      <c r="E540">
        <v>79</v>
      </c>
      <c r="F540">
        <v>12</v>
      </c>
      <c r="G540">
        <v>67</v>
      </c>
      <c r="H540" t="s">
        <v>3494</v>
      </c>
      <c r="I540" t="s">
        <v>3490</v>
      </c>
      <c r="J540" t="s">
        <v>2902</v>
      </c>
    </row>
    <row r="541" spans="1:10" x14ac:dyDescent="0.25">
      <c r="A541" t="s">
        <v>809</v>
      </c>
      <c r="B541" t="s">
        <v>159</v>
      </c>
      <c r="C541">
        <v>8</v>
      </c>
      <c r="D541" t="s">
        <v>3122</v>
      </c>
      <c r="E541">
        <v>91</v>
      </c>
      <c r="F541">
        <v>25</v>
      </c>
      <c r="G541">
        <v>66</v>
      </c>
      <c r="H541" t="s">
        <v>3495</v>
      </c>
      <c r="I541" t="s">
        <v>3490</v>
      </c>
      <c r="J541" t="s">
        <v>2902</v>
      </c>
    </row>
    <row r="542" spans="1:10" x14ac:dyDescent="0.25">
      <c r="A542" t="s">
        <v>816</v>
      </c>
      <c r="B542" t="s">
        <v>159</v>
      </c>
      <c r="C542">
        <v>6</v>
      </c>
      <c r="D542" t="s">
        <v>3114</v>
      </c>
      <c r="E542">
        <v>80</v>
      </c>
      <c r="F542">
        <v>30</v>
      </c>
      <c r="G542">
        <v>50</v>
      </c>
      <c r="H542" t="s">
        <v>196</v>
      </c>
      <c r="I542" t="s">
        <v>3490</v>
      </c>
      <c r="J542" t="s">
        <v>2902</v>
      </c>
    </row>
    <row r="543" spans="1:10" x14ac:dyDescent="0.25">
      <c r="A543" t="s">
        <v>816</v>
      </c>
      <c r="B543" t="s">
        <v>159</v>
      </c>
      <c r="C543">
        <v>6</v>
      </c>
      <c r="D543" t="s">
        <v>3116</v>
      </c>
      <c r="E543">
        <v>45</v>
      </c>
      <c r="F543">
        <v>22</v>
      </c>
      <c r="G543">
        <v>23</v>
      </c>
      <c r="H543" t="s">
        <v>3491</v>
      </c>
      <c r="I543" t="s">
        <v>3492</v>
      </c>
      <c r="J543" t="s">
        <v>2902</v>
      </c>
    </row>
    <row r="544" spans="1:10" x14ac:dyDescent="0.25">
      <c r="A544" t="s">
        <v>816</v>
      </c>
      <c r="B544" t="s">
        <v>159</v>
      </c>
      <c r="C544">
        <v>6</v>
      </c>
      <c r="D544" t="s">
        <v>3118</v>
      </c>
      <c r="E544">
        <v>71</v>
      </c>
      <c r="F544">
        <v>15</v>
      </c>
      <c r="G544">
        <v>56</v>
      </c>
      <c r="H544" t="s">
        <v>3494</v>
      </c>
      <c r="I544" t="s">
        <v>3490</v>
      </c>
      <c r="J544" t="s">
        <v>2902</v>
      </c>
    </row>
    <row r="545" spans="1:10" x14ac:dyDescent="0.25">
      <c r="A545" t="s">
        <v>816</v>
      </c>
      <c r="B545" t="s">
        <v>159</v>
      </c>
      <c r="C545">
        <v>6</v>
      </c>
      <c r="D545" t="s">
        <v>3120</v>
      </c>
      <c r="E545">
        <v>53</v>
      </c>
      <c r="F545">
        <v>29</v>
      </c>
      <c r="G545">
        <v>24</v>
      </c>
      <c r="H545" t="s">
        <v>3493</v>
      </c>
      <c r="I545" t="s">
        <v>3490</v>
      </c>
      <c r="J545" t="s">
        <v>2902</v>
      </c>
    </row>
    <row r="546" spans="1:10" x14ac:dyDescent="0.25">
      <c r="A546" t="s">
        <v>816</v>
      </c>
      <c r="B546" t="s">
        <v>159</v>
      </c>
      <c r="C546">
        <v>6</v>
      </c>
      <c r="D546" t="s">
        <v>3122</v>
      </c>
      <c r="E546">
        <v>39</v>
      </c>
      <c r="F546">
        <v>18</v>
      </c>
      <c r="G546">
        <v>21</v>
      </c>
      <c r="H546" t="s">
        <v>3491</v>
      </c>
      <c r="I546" t="s">
        <v>3492</v>
      </c>
      <c r="J546" t="s">
        <v>2902</v>
      </c>
    </row>
    <row r="547" spans="1:10" x14ac:dyDescent="0.25">
      <c r="A547" t="s">
        <v>821</v>
      </c>
      <c r="B547" t="s">
        <v>212</v>
      </c>
      <c r="C547">
        <v>4</v>
      </c>
      <c r="D547" t="s">
        <v>3454</v>
      </c>
      <c r="E547">
        <v>75</v>
      </c>
      <c r="F547">
        <v>22</v>
      </c>
      <c r="G547">
        <v>53</v>
      </c>
      <c r="H547" t="s">
        <v>3494</v>
      </c>
      <c r="I547" t="s">
        <v>3490</v>
      </c>
      <c r="J547" t="s">
        <v>3001</v>
      </c>
    </row>
    <row r="548" spans="1:10" x14ac:dyDescent="0.25">
      <c r="A548" t="s">
        <v>821</v>
      </c>
      <c r="B548" t="s">
        <v>212</v>
      </c>
      <c r="C548">
        <v>4</v>
      </c>
      <c r="D548" t="s">
        <v>3456</v>
      </c>
      <c r="E548">
        <v>63</v>
      </c>
      <c r="F548">
        <v>27</v>
      </c>
      <c r="G548">
        <v>36</v>
      </c>
      <c r="H548" t="s">
        <v>3489</v>
      </c>
      <c r="I548" t="s">
        <v>3490</v>
      </c>
      <c r="J548" t="s">
        <v>3001</v>
      </c>
    </row>
    <row r="549" spans="1:10" x14ac:dyDescent="0.25">
      <c r="A549" t="s">
        <v>821</v>
      </c>
      <c r="B549" t="s">
        <v>212</v>
      </c>
      <c r="C549">
        <v>4</v>
      </c>
      <c r="D549" t="s">
        <v>3458</v>
      </c>
      <c r="E549">
        <v>44</v>
      </c>
      <c r="F549">
        <v>12</v>
      </c>
      <c r="G549">
        <v>32</v>
      </c>
      <c r="H549" t="s">
        <v>3491</v>
      </c>
      <c r="I549" t="s">
        <v>3492</v>
      </c>
      <c r="J549" t="s">
        <v>3001</v>
      </c>
    </row>
    <row r="550" spans="1:10" x14ac:dyDescent="0.25">
      <c r="A550" t="s">
        <v>821</v>
      </c>
      <c r="B550" t="s">
        <v>212</v>
      </c>
      <c r="C550">
        <v>4</v>
      </c>
      <c r="D550" t="s">
        <v>3460</v>
      </c>
      <c r="E550">
        <v>48</v>
      </c>
      <c r="F550">
        <v>16</v>
      </c>
      <c r="G550">
        <v>32</v>
      </c>
      <c r="H550" t="s">
        <v>3491</v>
      </c>
      <c r="I550" t="s">
        <v>3492</v>
      </c>
      <c r="J550" t="s">
        <v>3001</v>
      </c>
    </row>
    <row r="551" spans="1:10" x14ac:dyDescent="0.25">
      <c r="A551" t="s">
        <v>821</v>
      </c>
      <c r="B551" t="s">
        <v>212</v>
      </c>
      <c r="C551">
        <v>4</v>
      </c>
      <c r="D551" t="s">
        <v>3462</v>
      </c>
      <c r="E551">
        <v>58</v>
      </c>
      <c r="F551">
        <v>24</v>
      </c>
      <c r="G551">
        <v>34</v>
      </c>
      <c r="H551" t="s">
        <v>3493</v>
      </c>
      <c r="I551" t="s">
        <v>3490</v>
      </c>
      <c r="J551" t="s">
        <v>3001</v>
      </c>
    </row>
    <row r="552" spans="1:10" x14ac:dyDescent="0.25">
      <c r="A552" t="s">
        <v>826</v>
      </c>
      <c r="B552" t="s">
        <v>159</v>
      </c>
      <c r="C552">
        <v>4</v>
      </c>
      <c r="D552" t="s">
        <v>3094</v>
      </c>
      <c r="E552">
        <v>40</v>
      </c>
      <c r="F552">
        <v>12</v>
      </c>
      <c r="G552">
        <v>28</v>
      </c>
      <c r="H552" t="s">
        <v>3491</v>
      </c>
      <c r="I552" t="s">
        <v>3492</v>
      </c>
      <c r="J552" t="s">
        <v>2902</v>
      </c>
    </row>
    <row r="553" spans="1:10" x14ac:dyDescent="0.25">
      <c r="A553" t="s">
        <v>826</v>
      </c>
      <c r="B553" t="s">
        <v>159</v>
      </c>
      <c r="C553">
        <v>4</v>
      </c>
      <c r="D553" t="s">
        <v>3096</v>
      </c>
      <c r="E553">
        <v>62</v>
      </c>
      <c r="F553">
        <v>20</v>
      </c>
      <c r="G553">
        <v>42</v>
      </c>
      <c r="H553" t="s">
        <v>3489</v>
      </c>
      <c r="I553" t="s">
        <v>3490</v>
      </c>
      <c r="J553" t="s">
        <v>2902</v>
      </c>
    </row>
    <row r="554" spans="1:10" x14ac:dyDescent="0.25">
      <c r="A554" t="s">
        <v>826</v>
      </c>
      <c r="B554" t="s">
        <v>159</v>
      </c>
      <c r="C554">
        <v>4</v>
      </c>
      <c r="D554" t="s">
        <v>3098</v>
      </c>
      <c r="E554">
        <v>47</v>
      </c>
      <c r="F554">
        <v>15</v>
      </c>
      <c r="G554">
        <v>32</v>
      </c>
      <c r="H554" t="s">
        <v>3491</v>
      </c>
      <c r="I554" t="s">
        <v>3492</v>
      </c>
      <c r="J554" t="s">
        <v>2902</v>
      </c>
    </row>
    <row r="555" spans="1:10" x14ac:dyDescent="0.25">
      <c r="A555" t="s">
        <v>826</v>
      </c>
      <c r="B555" t="s">
        <v>159</v>
      </c>
      <c r="C555">
        <v>4</v>
      </c>
      <c r="D555" t="s">
        <v>3100</v>
      </c>
      <c r="E555">
        <v>66</v>
      </c>
      <c r="F555">
        <v>21</v>
      </c>
      <c r="G555">
        <v>45</v>
      </c>
      <c r="H555" t="s">
        <v>3489</v>
      </c>
      <c r="I555" t="s">
        <v>3490</v>
      </c>
      <c r="J555" t="s">
        <v>2902</v>
      </c>
    </row>
    <row r="556" spans="1:10" x14ac:dyDescent="0.25">
      <c r="A556" t="s">
        <v>826</v>
      </c>
      <c r="B556" t="s">
        <v>159</v>
      </c>
      <c r="C556">
        <v>4</v>
      </c>
      <c r="D556" t="s">
        <v>3102</v>
      </c>
      <c r="E556">
        <v>62</v>
      </c>
      <c r="F556">
        <v>13</v>
      </c>
      <c r="G556">
        <v>49</v>
      </c>
      <c r="H556" t="s">
        <v>3489</v>
      </c>
      <c r="I556" t="s">
        <v>3490</v>
      </c>
      <c r="J556" t="s">
        <v>2902</v>
      </c>
    </row>
    <row r="557" spans="1:10" x14ac:dyDescent="0.25">
      <c r="A557" t="s">
        <v>832</v>
      </c>
      <c r="B557" t="s">
        <v>212</v>
      </c>
      <c r="C557">
        <v>8</v>
      </c>
      <c r="D557" t="s">
        <v>3474</v>
      </c>
      <c r="E557">
        <v>52</v>
      </c>
      <c r="F557">
        <v>27</v>
      </c>
      <c r="G557">
        <v>25</v>
      </c>
      <c r="H557" t="s">
        <v>3493</v>
      </c>
      <c r="I557" t="s">
        <v>3490</v>
      </c>
      <c r="J557" t="s">
        <v>3001</v>
      </c>
    </row>
    <row r="558" spans="1:10" x14ac:dyDescent="0.25">
      <c r="A558" t="s">
        <v>832</v>
      </c>
      <c r="B558" t="s">
        <v>212</v>
      </c>
      <c r="C558">
        <v>8</v>
      </c>
      <c r="D558" t="s">
        <v>3476</v>
      </c>
      <c r="E558">
        <v>44</v>
      </c>
      <c r="F558">
        <v>24</v>
      </c>
      <c r="G558">
        <v>20</v>
      </c>
      <c r="H558" t="s">
        <v>3491</v>
      </c>
      <c r="I558" t="s">
        <v>3492</v>
      </c>
      <c r="J558" t="s">
        <v>3001</v>
      </c>
    </row>
    <row r="559" spans="1:10" x14ac:dyDescent="0.25">
      <c r="A559" t="s">
        <v>832</v>
      </c>
      <c r="B559" t="s">
        <v>212</v>
      </c>
      <c r="C559">
        <v>8</v>
      </c>
      <c r="D559" t="s">
        <v>3478</v>
      </c>
      <c r="E559">
        <v>46</v>
      </c>
      <c r="F559">
        <v>16</v>
      </c>
      <c r="G559">
        <v>30</v>
      </c>
      <c r="H559" t="s">
        <v>3491</v>
      </c>
      <c r="I559" t="s">
        <v>3492</v>
      </c>
      <c r="J559" t="s">
        <v>3001</v>
      </c>
    </row>
    <row r="560" spans="1:10" x14ac:dyDescent="0.25">
      <c r="A560" t="s">
        <v>832</v>
      </c>
      <c r="B560" t="s">
        <v>212</v>
      </c>
      <c r="C560">
        <v>8</v>
      </c>
      <c r="D560" t="s">
        <v>3480</v>
      </c>
      <c r="E560">
        <v>38</v>
      </c>
      <c r="F560">
        <v>13</v>
      </c>
      <c r="G560">
        <v>25</v>
      </c>
      <c r="H560" t="s">
        <v>3491</v>
      </c>
      <c r="I560" t="s">
        <v>3492</v>
      </c>
      <c r="J560" t="s">
        <v>3001</v>
      </c>
    </row>
    <row r="561" spans="1:10" x14ac:dyDescent="0.25">
      <c r="A561" t="s">
        <v>832</v>
      </c>
      <c r="B561" t="s">
        <v>212</v>
      </c>
      <c r="C561">
        <v>8</v>
      </c>
      <c r="D561" t="s">
        <v>3482</v>
      </c>
      <c r="E561">
        <v>59</v>
      </c>
      <c r="F561">
        <v>29</v>
      </c>
      <c r="G561">
        <v>30</v>
      </c>
      <c r="H561" t="s">
        <v>3493</v>
      </c>
      <c r="I561" t="s">
        <v>3490</v>
      </c>
      <c r="J561" t="s">
        <v>3001</v>
      </c>
    </row>
    <row r="562" spans="1:10" x14ac:dyDescent="0.25">
      <c r="A562" t="s">
        <v>838</v>
      </c>
      <c r="B562" t="s">
        <v>30</v>
      </c>
      <c r="C562">
        <v>4</v>
      </c>
      <c r="D562" t="s">
        <v>3334</v>
      </c>
      <c r="E562">
        <v>54</v>
      </c>
      <c r="F562">
        <v>10</v>
      </c>
      <c r="G562">
        <v>44</v>
      </c>
      <c r="H562" t="s">
        <v>3493</v>
      </c>
      <c r="I562" t="s">
        <v>3490</v>
      </c>
      <c r="J562" t="s">
        <v>2895</v>
      </c>
    </row>
    <row r="563" spans="1:10" x14ac:dyDescent="0.25">
      <c r="A563" t="s">
        <v>838</v>
      </c>
      <c r="B563" t="s">
        <v>30</v>
      </c>
      <c r="C563">
        <v>4</v>
      </c>
      <c r="D563" t="s">
        <v>3336</v>
      </c>
      <c r="E563">
        <v>47</v>
      </c>
      <c r="F563">
        <v>13</v>
      </c>
      <c r="G563">
        <v>34</v>
      </c>
      <c r="H563" t="s">
        <v>3491</v>
      </c>
      <c r="I563" t="s">
        <v>3492</v>
      </c>
      <c r="J563" t="s">
        <v>2895</v>
      </c>
    </row>
    <row r="564" spans="1:10" x14ac:dyDescent="0.25">
      <c r="A564" t="s">
        <v>838</v>
      </c>
      <c r="B564" t="s">
        <v>30</v>
      </c>
      <c r="C564">
        <v>4</v>
      </c>
      <c r="D564" t="s">
        <v>3338</v>
      </c>
      <c r="E564">
        <v>58</v>
      </c>
      <c r="F564">
        <v>23</v>
      </c>
      <c r="G564">
        <v>35</v>
      </c>
      <c r="H564" t="s">
        <v>3493</v>
      </c>
      <c r="I564" t="s">
        <v>3490</v>
      </c>
      <c r="J564" t="s">
        <v>2895</v>
      </c>
    </row>
    <row r="565" spans="1:10" x14ac:dyDescent="0.25">
      <c r="A565" t="s">
        <v>838</v>
      </c>
      <c r="B565" t="s">
        <v>30</v>
      </c>
      <c r="C565">
        <v>4</v>
      </c>
      <c r="D565" t="s">
        <v>3340</v>
      </c>
      <c r="E565">
        <v>88</v>
      </c>
      <c r="F565">
        <v>26</v>
      </c>
      <c r="G565">
        <v>62</v>
      </c>
      <c r="H565" t="s">
        <v>196</v>
      </c>
      <c r="I565" t="s">
        <v>3490</v>
      </c>
      <c r="J565" t="s">
        <v>2895</v>
      </c>
    </row>
    <row r="566" spans="1:10" x14ac:dyDescent="0.25">
      <c r="A566" t="s">
        <v>838</v>
      </c>
      <c r="B566" t="s">
        <v>30</v>
      </c>
      <c r="C566">
        <v>4</v>
      </c>
      <c r="D566" t="s">
        <v>3342</v>
      </c>
      <c r="E566">
        <v>48</v>
      </c>
      <c r="F566">
        <v>20</v>
      </c>
      <c r="G566">
        <v>28</v>
      </c>
      <c r="H566" t="s">
        <v>3491</v>
      </c>
      <c r="I566" t="s">
        <v>3492</v>
      </c>
      <c r="J566" t="s">
        <v>2895</v>
      </c>
    </row>
    <row r="567" spans="1:10" x14ac:dyDescent="0.25">
      <c r="A567" t="s">
        <v>846</v>
      </c>
      <c r="B567" t="s">
        <v>122</v>
      </c>
      <c r="C567">
        <v>4</v>
      </c>
      <c r="D567" t="s">
        <v>3274</v>
      </c>
      <c r="E567">
        <v>75</v>
      </c>
      <c r="F567">
        <v>24</v>
      </c>
      <c r="G567">
        <v>51</v>
      </c>
      <c r="H567" t="s">
        <v>3494</v>
      </c>
      <c r="I567" t="s">
        <v>3490</v>
      </c>
      <c r="J567" t="s">
        <v>2919</v>
      </c>
    </row>
    <row r="568" spans="1:10" x14ac:dyDescent="0.25">
      <c r="A568" t="s">
        <v>846</v>
      </c>
      <c r="B568" t="s">
        <v>122</v>
      </c>
      <c r="C568">
        <v>4</v>
      </c>
      <c r="D568" t="s">
        <v>3276</v>
      </c>
      <c r="E568">
        <v>83</v>
      </c>
      <c r="F568">
        <v>27</v>
      </c>
      <c r="G568">
        <v>56</v>
      </c>
      <c r="H568" t="s">
        <v>196</v>
      </c>
      <c r="I568" t="s">
        <v>3490</v>
      </c>
      <c r="J568" t="s">
        <v>2919</v>
      </c>
    </row>
    <row r="569" spans="1:10" x14ac:dyDescent="0.25">
      <c r="A569" t="s">
        <v>846</v>
      </c>
      <c r="B569" t="s">
        <v>122</v>
      </c>
      <c r="C569">
        <v>4</v>
      </c>
      <c r="D569" t="s">
        <v>3278</v>
      </c>
      <c r="E569">
        <v>65</v>
      </c>
      <c r="F569">
        <v>21</v>
      </c>
      <c r="G569">
        <v>44</v>
      </c>
      <c r="H569" t="s">
        <v>3489</v>
      </c>
      <c r="I569" t="s">
        <v>3490</v>
      </c>
      <c r="J569" t="s">
        <v>2919</v>
      </c>
    </row>
    <row r="570" spans="1:10" x14ac:dyDescent="0.25">
      <c r="A570" t="s">
        <v>846</v>
      </c>
      <c r="B570" t="s">
        <v>122</v>
      </c>
      <c r="C570">
        <v>4</v>
      </c>
      <c r="D570" t="s">
        <v>3280</v>
      </c>
      <c r="E570">
        <v>45</v>
      </c>
      <c r="F570">
        <v>13</v>
      </c>
      <c r="G570">
        <v>32</v>
      </c>
      <c r="H570" t="s">
        <v>3491</v>
      </c>
      <c r="I570" t="s">
        <v>3492</v>
      </c>
      <c r="J570" t="s">
        <v>2919</v>
      </c>
    </row>
    <row r="571" spans="1:10" x14ac:dyDescent="0.25">
      <c r="A571" t="s">
        <v>846</v>
      </c>
      <c r="B571" t="s">
        <v>122</v>
      </c>
      <c r="C571">
        <v>4</v>
      </c>
      <c r="D571" t="s">
        <v>3282</v>
      </c>
      <c r="E571">
        <v>64</v>
      </c>
      <c r="F571">
        <v>16</v>
      </c>
      <c r="G571">
        <v>48</v>
      </c>
      <c r="H571" t="s">
        <v>3489</v>
      </c>
      <c r="I571" t="s">
        <v>3490</v>
      </c>
      <c r="J571" t="s">
        <v>2919</v>
      </c>
    </row>
    <row r="572" spans="1:10" x14ac:dyDescent="0.25">
      <c r="A572" t="s">
        <v>852</v>
      </c>
      <c r="B572" t="s">
        <v>75</v>
      </c>
      <c r="C572">
        <v>6</v>
      </c>
      <c r="D572" t="s">
        <v>3054</v>
      </c>
      <c r="E572">
        <v>74</v>
      </c>
      <c r="F572">
        <v>12</v>
      </c>
      <c r="G572">
        <v>62</v>
      </c>
      <c r="H572" t="s">
        <v>3494</v>
      </c>
      <c r="I572" t="s">
        <v>3490</v>
      </c>
      <c r="J572" t="s">
        <v>2961</v>
      </c>
    </row>
    <row r="573" spans="1:10" x14ac:dyDescent="0.25">
      <c r="A573" t="s">
        <v>852</v>
      </c>
      <c r="B573" t="s">
        <v>75</v>
      </c>
      <c r="C573">
        <v>6</v>
      </c>
      <c r="D573" t="s">
        <v>3056</v>
      </c>
      <c r="E573">
        <v>65</v>
      </c>
      <c r="F573">
        <v>27</v>
      </c>
      <c r="G573">
        <v>38</v>
      </c>
      <c r="H573" t="s">
        <v>3489</v>
      </c>
      <c r="I573" t="s">
        <v>3490</v>
      </c>
      <c r="J573" t="s">
        <v>2961</v>
      </c>
    </row>
    <row r="574" spans="1:10" x14ac:dyDescent="0.25">
      <c r="A574" t="s">
        <v>852</v>
      </c>
      <c r="B574" t="s">
        <v>75</v>
      </c>
      <c r="C574">
        <v>6</v>
      </c>
      <c r="D574" t="s">
        <v>3058</v>
      </c>
      <c r="E574">
        <v>55</v>
      </c>
      <c r="F574">
        <v>19</v>
      </c>
      <c r="G574">
        <v>36</v>
      </c>
      <c r="H574" t="s">
        <v>3493</v>
      </c>
      <c r="I574" t="s">
        <v>3490</v>
      </c>
      <c r="J574" t="s">
        <v>2961</v>
      </c>
    </row>
    <row r="575" spans="1:10" x14ac:dyDescent="0.25">
      <c r="A575" t="s">
        <v>852</v>
      </c>
      <c r="B575" t="s">
        <v>75</v>
      </c>
      <c r="C575">
        <v>6</v>
      </c>
      <c r="D575" t="s">
        <v>3060</v>
      </c>
      <c r="E575">
        <v>51</v>
      </c>
      <c r="F575">
        <v>28</v>
      </c>
      <c r="G575">
        <v>23</v>
      </c>
      <c r="H575" t="s">
        <v>3493</v>
      </c>
      <c r="I575" t="s">
        <v>3490</v>
      </c>
      <c r="J575" t="s">
        <v>2961</v>
      </c>
    </row>
    <row r="576" spans="1:10" x14ac:dyDescent="0.25">
      <c r="A576" t="s">
        <v>852</v>
      </c>
      <c r="B576" t="s">
        <v>75</v>
      </c>
      <c r="C576">
        <v>6</v>
      </c>
      <c r="D576" t="s">
        <v>3062</v>
      </c>
      <c r="E576">
        <v>72</v>
      </c>
      <c r="F576">
        <v>15</v>
      </c>
      <c r="G576">
        <v>57</v>
      </c>
      <c r="H576" t="s">
        <v>3494</v>
      </c>
      <c r="I576" t="s">
        <v>3490</v>
      </c>
      <c r="J576" t="s">
        <v>2961</v>
      </c>
    </row>
    <row r="577" spans="1:10" x14ac:dyDescent="0.25">
      <c r="A577" t="s">
        <v>858</v>
      </c>
      <c r="B577" t="s">
        <v>63</v>
      </c>
      <c r="C577">
        <v>8</v>
      </c>
      <c r="D577" t="s">
        <v>3414</v>
      </c>
      <c r="E577">
        <v>43</v>
      </c>
      <c r="F577">
        <v>20</v>
      </c>
      <c r="G577">
        <v>23</v>
      </c>
      <c r="H577" t="s">
        <v>3491</v>
      </c>
      <c r="I577" t="s">
        <v>3492</v>
      </c>
      <c r="J577" t="s">
        <v>2932</v>
      </c>
    </row>
    <row r="578" spans="1:10" x14ac:dyDescent="0.25">
      <c r="A578" t="s">
        <v>858</v>
      </c>
      <c r="B578" t="s">
        <v>63</v>
      </c>
      <c r="C578">
        <v>8</v>
      </c>
      <c r="D578" t="s">
        <v>3416</v>
      </c>
      <c r="E578">
        <v>59</v>
      </c>
      <c r="F578">
        <v>14</v>
      </c>
      <c r="G578">
        <v>45</v>
      </c>
      <c r="H578" t="s">
        <v>3493</v>
      </c>
      <c r="I578" t="s">
        <v>3490</v>
      </c>
      <c r="J578" t="s">
        <v>2932</v>
      </c>
    </row>
    <row r="579" spans="1:10" x14ac:dyDescent="0.25">
      <c r="A579" t="s">
        <v>858</v>
      </c>
      <c r="B579" t="s">
        <v>63</v>
      </c>
      <c r="C579">
        <v>8</v>
      </c>
      <c r="D579" t="s">
        <v>3418</v>
      </c>
      <c r="E579">
        <v>71</v>
      </c>
      <c r="F579">
        <v>19</v>
      </c>
      <c r="G579">
        <v>52</v>
      </c>
      <c r="H579" t="s">
        <v>3494</v>
      </c>
      <c r="I579" t="s">
        <v>3490</v>
      </c>
      <c r="J579" t="s">
        <v>2932</v>
      </c>
    </row>
    <row r="580" spans="1:10" x14ac:dyDescent="0.25">
      <c r="A580" t="s">
        <v>858</v>
      </c>
      <c r="B580" t="s">
        <v>63</v>
      </c>
      <c r="C580">
        <v>8</v>
      </c>
      <c r="D580" t="s">
        <v>3420</v>
      </c>
      <c r="E580">
        <v>37</v>
      </c>
      <c r="F580">
        <v>11</v>
      </c>
      <c r="G580">
        <v>26</v>
      </c>
      <c r="H580" t="s">
        <v>3491</v>
      </c>
      <c r="I580" t="s">
        <v>3492</v>
      </c>
      <c r="J580" t="s">
        <v>2932</v>
      </c>
    </row>
    <row r="581" spans="1:10" x14ac:dyDescent="0.25">
      <c r="A581" t="s">
        <v>858</v>
      </c>
      <c r="B581" t="s">
        <v>63</v>
      </c>
      <c r="C581">
        <v>8</v>
      </c>
      <c r="D581" t="s">
        <v>3422</v>
      </c>
      <c r="E581">
        <v>60</v>
      </c>
      <c r="F581">
        <v>23</v>
      </c>
      <c r="G581">
        <v>37</v>
      </c>
      <c r="H581" t="s">
        <v>3489</v>
      </c>
      <c r="I581" t="s">
        <v>3490</v>
      </c>
      <c r="J581" t="s">
        <v>2932</v>
      </c>
    </row>
    <row r="582" spans="1:10" x14ac:dyDescent="0.25">
      <c r="A582" t="s">
        <v>865</v>
      </c>
      <c r="B582" t="s">
        <v>63</v>
      </c>
      <c r="C582">
        <v>8</v>
      </c>
      <c r="D582" t="s">
        <v>3414</v>
      </c>
      <c r="E582">
        <v>42</v>
      </c>
      <c r="F582">
        <v>19</v>
      </c>
      <c r="G582">
        <v>23</v>
      </c>
      <c r="H582" t="s">
        <v>3491</v>
      </c>
      <c r="I582" t="s">
        <v>3492</v>
      </c>
      <c r="J582" t="s">
        <v>2932</v>
      </c>
    </row>
    <row r="583" spans="1:10" x14ac:dyDescent="0.25">
      <c r="A583" t="s">
        <v>865</v>
      </c>
      <c r="B583" t="s">
        <v>63</v>
      </c>
      <c r="C583">
        <v>8</v>
      </c>
      <c r="D583" t="s">
        <v>3416</v>
      </c>
      <c r="E583">
        <v>65</v>
      </c>
      <c r="F583">
        <v>17</v>
      </c>
      <c r="G583">
        <v>48</v>
      </c>
      <c r="H583" t="s">
        <v>3489</v>
      </c>
      <c r="I583" t="s">
        <v>3490</v>
      </c>
      <c r="J583" t="s">
        <v>2932</v>
      </c>
    </row>
    <row r="584" spans="1:10" x14ac:dyDescent="0.25">
      <c r="A584" t="s">
        <v>865</v>
      </c>
      <c r="B584" t="s">
        <v>63</v>
      </c>
      <c r="C584">
        <v>8</v>
      </c>
      <c r="D584" t="s">
        <v>3418</v>
      </c>
      <c r="E584">
        <v>79</v>
      </c>
      <c r="F584">
        <v>16</v>
      </c>
      <c r="G584">
        <v>63</v>
      </c>
      <c r="H584" t="s">
        <v>3494</v>
      </c>
      <c r="I584" t="s">
        <v>3490</v>
      </c>
      <c r="J584" t="s">
        <v>2932</v>
      </c>
    </row>
    <row r="585" spans="1:10" x14ac:dyDescent="0.25">
      <c r="A585" t="s">
        <v>865</v>
      </c>
      <c r="B585" t="s">
        <v>63</v>
      </c>
      <c r="C585">
        <v>8</v>
      </c>
      <c r="D585" t="s">
        <v>3420</v>
      </c>
      <c r="E585">
        <v>44</v>
      </c>
      <c r="F585">
        <v>18</v>
      </c>
      <c r="G585">
        <v>26</v>
      </c>
      <c r="H585" t="s">
        <v>3491</v>
      </c>
      <c r="I585" t="s">
        <v>3492</v>
      </c>
      <c r="J585" t="s">
        <v>2932</v>
      </c>
    </row>
    <row r="586" spans="1:10" x14ac:dyDescent="0.25">
      <c r="A586" t="s">
        <v>865</v>
      </c>
      <c r="B586" t="s">
        <v>63</v>
      </c>
      <c r="C586">
        <v>8</v>
      </c>
      <c r="D586" t="s">
        <v>3422</v>
      </c>
      <c r="E586">
        <v>72</v>
      </c>
      <c r="F586">
        <v>22</v>
      </c>
      <c r="G586">
        <v>50</v>
      </c>
      <c r="H586" t="s">
        <v>3494</v>
      </c>
      <c r="I586" t="s">
        <v>3490</v>
      </c>
      <c r="J586" t="s">
        <v>2932</v>
      </c>
    </row>
    <row r="587" spans="1:10" x14ac:dyDescent="0.25">
      <c r="A587" t="s">
        <v>870</v>
      </c>
      <c r="B587" t="s">
        <v>122</v>
      </c>
      <c r="C587">
        <v>6</v>
      </c>
      <c r="D587" t="s">
        <v>3294</v>
      </c>
      <c r="E587">
        <v>53</v>
      </c>
      <c r="F587">
        <v>27</v>
      </c>
      <c r="G587">
        <v>26</v>
      </c>
      <c r="H587" t="s">
        <v>3493</v>
      </c>
      <c r="I587" t="s">
        <v>3490</v>
      </c>
      <c r="J587" t="s">
        <v>2919</v>
      </c>
    </row>
    <row r="588" spans="1:10" x14ac:dyDescent="0.25">
      <c r="A588" t="s">
        <v>870</v>
      </c>
      <c r="B588" t="s">
        <v>122</v>
      </c>
      <c r="C588">
        <v>6</v>
      </c>
      <c r="D588" t="s">
        <v>3296</v>
      </c>
      <c r="E588">
        <v>63</v>
      </c>
      <c r="F588">
        <v>14</v>
      </c>
      <c r="G588">
        <v>49</v>
      </c>
      <c r="H588" t="s">
        <v>3489</v>
      </c>
      <c r="I588" t="s">
        <v>3490</v>
      </c>
      <c r="J588" t="s">
        <v>2919</v>
      </c>
    </row>
    <row r="589" spans="1:10" x14ac:dyDescent="0.25">
      <c r="A589" t="s">
        <v>870</v>
      </c>
      <c r="B589" t="s">
        <v>122</v>
      </c>
      <c r="C589">
        <v>6</v>
      </c>
      <c r="D589" t="s">
        <v>3298</v>
      </c>
      <c r="E589">
        <v>87</v>
      </c>
      <c r="F589">
        <v>25</v>
      </c>
      <c r="G589">
        <v>62</v>
      </c>
      <c r="H589" t="s">
        <v>196</v>
      </c>
      <c r="I589" t="s">
        <v>3490</v>
      </c>
      <c r="J589" t="s">
        <v>2919</v>
      </c>
    </row>
    <row r="590" spans="1:10" x14ac:dyDescent="0.25">
      <c r="A590" t="s">
        <v>870</v>
      </c>
      <c r="B590" t="s">
        <v>122</v>
      </c>
      <c r="C590">
        <v>6</v>
      </c>
      <c r="D590" t="s">
        <v>3300</v>
      </c>
      <c r="E590">
        <v>56</v>
      </c>
      <c r="F590">
        <v>26</v>
      </c>
      <c r="G590">
        <v>30</v>
      </c>
      <c r="H590" t="s">
        <v>3493</v>
      </c>
      <c r="I590" t="s">
        <v>3490</v>
      </c>
      <c r="J590" t="s">
        <v>2919</v>
      </c>
    </row>
    <row r="591" spans="1:10" x14ac:dyDescent="0.25">
      <c r="A591" t="s">
        <v>870</v>
      </c>
      <c r="B591" t="s">
        <v>122</v>
      </c>
      <c r="C591">
        <v>6</v>
      </c>
      <c r="D591" t="s">
        <v>3302</v>
      </c>
      <c r="E591">
        <v>39</v>
      </c>
      <c r="F591">
        <v>15</v>
      </c>
      <c r="G591">
        <v>24</v>
      </c>
      <c r="H591" t="s">
        <v>3491</v>
      </c>
      <c r="I591" t="s">
        <v>3492</v>
      </c>
      <c r="J591" t="s">
        <v>2919</v>
      </c>
    </row>
    <row r="592" spans="1:10" x14ac:dyDescent="0.25">
      <c r="A592" t="s">
        <v>877</v>
      </c>
      <c r="B592" t="s">
        <v>105</v>
      </c>
      <c r="C592">
        <v>8</v>
      </c>
      <c r="D592" t="s">
        <v>3174</v>
      </c>
      <c r="E592">
        <v>40</v>
      </c>
      <c r="F592">
        <v>10</v>
      </c>
      <c r="G592">
        <v>30</v>
      </c>
      <c r="H592" t="s">
        <v>3491</v>
      </c>
      <c r="I592" t="s">
        <v>3492</v>
      </c>
      <c r="J592" t="s">
        <v>2908</v>
      </c>
    </row>
    <row r="593" spans="1:10" x14ac:dyDescent="0.25">
      <c r="A593" t="s">
        <v>877</v>
      </c>
      <c r="B593" t="s">
        <v>105</v>
      </c>
      <c r="C593">
        <v>8</v>
      </c>
      <c r="D593" t="s">
        <v>3176</v>
      </c>
      <c r="E593">
        <v>55</v>
      </c>
      <c r="F593">
        <v>30</v>
      </c>
      <c r="G593">
        <v>25</v>
      </c>
      <c r="H593" t="s">
        <v>3493</v>
      </c>
      <c r="I593" t="s">
        <v>3490</v>
      </c>
      <c r="J593" t="s">
        <v>2908</v>
      </c>
    </row>
    <row r="594" spans="1:10" x14ac:dyDescent="0.25">
      <c r="A594" t="s">
        <v>877</v>
      </c>
      <c r="B594" t="s">
        <v>105</v>
      </c>
      <c r="C594">
        <v>8</v>
      </c>
      <c r="D594" t="s">
        <v>3178</v>
      </c>
      <c r="E594">
        <v>82</v>
      </c>
      <c r="F594">
        <v>25</v>
      </c>
      <c r="G594">
        <v>57</v>
      </c>
      <c r="H594" t="s">
        <v>196</v>
      </c>
      <c r="I594" t="s">
        <v>3490</v>
      </c>
      <c r="J594" t="s">
        <v>2908</v>
      </c>
    </row>
    <row r="595" spans="1:10" x14ac:dyDescent="0.25">
      <c r="A595" t="s">
        <v>877</v>
      </c>
      <c r="B595" t="s">
        <v>105</v>
      </c>
      <c r="C595">
        <v>8</v>
      </c>
      <c r="D595" t="s">
        <v>3180</v>
      </c>
      <c r="E595">
        <v>58</v>
      </c>
      <c r="F595">
        <v>27</v>
      </c>
      <c r="G595">
        <v>31</v>
      </c>
      <c r="H595" t="s">
        <v>3493</v>
      </c>
      <c r="I595" t="s">
        <v>3490</v>
      </c>
      <c r="J595" t="s">
        <v>2908</v>
      </c>
    </row>
    <row r="596" spans="1:10" x14ac:dyDescent="0.25">
      <c r="A596" t="s">
        <v>877</v>
      </c>
      <c r="B596" t="s">
        <v>105</v>
      </c>
      <c r="C596">
        <v>8</v>
      </c>
      <c r="D596" t="s">
        <v>3182</v>
      </c>
      <c r="E596">
        <v>73</v>
      </c>
      <c r="F596">
        <v>13</v>
      </c>
      <c r="G596">
        <v>60</v>
      </c>
      <c r="H596" t="s">
        <v>3494</v>
      </c>
      <c r="I596" t="s">
        <v>3490</v>
      </c>
      <c r="J596" t="s">
        <v>2908</v>
      </c>
    </row>
    <row r="597" spans="1:10" x14ac:dyDescent="0.25">
      <c r="A597" t="s">
        <v>883</v>
      </c>
      <c r="B597" t="s">
        <v>159</v>
      </c>
      <c r="C597">
        <v>6</v>
      </c>
      <c r="D597" t="s">
        <v>3114</v>
      </c>
      <c r="E597">
        <v>52</v>
      </c>
      <c r="F597">
        <v>16</v>
      </c>
      <c r="G597">
        <v>36</v>
      </c>
      <c r="H597" t="s">
        <v>3493</v>
      </c>
      <c r="I597" t="s">
        <v>3490</v>
      </c>
      <c r="J597" t="s">
        <v>2902</v>
      </c>
    </row>
    <row r="598" spans="1:10" x14ac:dyDescent="0.25">
      <c r="A598" t="s">
        <v>883</v>
      </c>
      <c r="B598" t="s">
        <v>159</v>
      </c>
      <c r="C598">
        <v>6</v>
      </c>
      <c r="D598" t="s">
        <v>3116</v>
      </c>
      <c r="E598">
        <v>72</v>
      </c>
      <c r="F598">
        <v>26</v>
      </c>
      <c r="G598">
        <v>46</v>
      </c>
      <c r="H598" t="s">
        <v>3494</v>
      </c>
      <c r="I598" t="s">
        <v>3490</v>
      </c>
      <c r="J598" t="s">
        <v>2902</v>
      </c>
    </row>
    <row r="599" spans="1:10" x14ac:dyDescent="0.25">
      <c r="A599" t="s">
        <v>883</v>
      </c>
      <c r="B599" t="s">
        <v>159</v>
      </c>
      <c r="C599">
        <v>6</v>
      </c>
      <c r="D599" t="s">
        <v>3118</v>
      </c>
      <c r="E599">
        <v>71</v>
      </c>
      <c r="F599">
        <v>15</v>
      </c>
      <c r="G599">
        <v>56</v>
      </c>
      <c r="H599" t="s">
        <v>3494</v>
      </c>
      <c r="I599" t="s">
        <v>3490</v>
      </c>
      <c r="J599" t="s">
        <v>2902</v>
      </c>
    </row>
    <row r="600" spans="1:10" x14ac:dyDescent="0.25">
      <c r="A600" t="s">
        <v>883</v>
      </c>
      <c r="B600" t="s">
        <v>159</v>
      </c>
      <c r="C600">
        <v>6</v>
      </c>
      <c r="D600" t="s">
        <v>3120</v>
      </c>
      <c r="E600">
        <v>68</v>
      </c>
      <c r="F600">
        <v>27</v>
      </c>
      <c r="G600">
        <v>41</v>
      </c>
      <c r="H600" t="s">
        <v>3489</v>
      </c>
      <c r="I600" t="s">
        <v>3490</v>
      </c>
      <c r="J600" t="s">
        <v>2902</v>
      </c>
    </row>
    <row r="601" spans="1:10" x14ac:dyDescent="0.25">
      <c r="A601" t="s">
        <v>883</v>
      </c>
      <c r="B601" t="s">
        <v>159</v>
      </c>
      <c r="C601">
        <v>6</v>
      </c>
      <c r="D601" t="s">
        <v>3122</v>
      </c>
      <c r="E601">
        <v>95</v>
      </c>
      <c r="F601">
        <v>25</v>
      </c>
      <c r="G601">
        <v>70</v>
      </c>
      <c r="H601" t="s">
        <v>3495</v>
      </c>
      <c r="I601" t="s">
        <v>3490</v>
      </c>
      <c r="J601" t="s">
        <v>2902</v>
      </c>
    </row>
    <row r="602" spans="1:10" x14ac:dyDescent="0.25">
      <c r="A602" t="s">
        <v>888</v>
      </c>
      <c r="B602" t="s">
        <v>30</v>
      </c>
      <c r="C602">
        <v>8</v>
      </c>
      <c r="D602" t="s">
        <v>3354</v>
      </c>
      <c r="E602">
        <v>77</v>
      </c>
      <c r="F602">
        <v>29</v>
      </c>
      <c r="G602">
        <v>48</v>
      </c>
      <c r="H602" t="s">
        <v>3494</v>
      </c>
      <c r="I602" t="s">
        <v>3490</v>
      </c>
      <c r="J602" t="s">
        <v>2895</v>
      </c>
    </row>
    <row r="603" spans="1:10" x14ac:dyDescent="0.25">
      <c r="A603" t="s">
        <v>888</v>
      </c>
      <c r="B603" t="s">
        <v>30</v>
      </c>
      <c r="C603">
        <v>8</v>
      </c>
      <c r="D603" t="s">
        <v>3356</v>
      </c>
      <c r="E603">
        <v>85</v>
      </c>
      <c r="F603">
        <v>17</v>
      </c>
      <c r="G603">
        <v>68</v>
      </c>
      <c r="H603" t="s">
        <v>196</v>
      </c>
      <c r="I603" t="s">
        <v>3490</v>
      </c>
      <c r="J603" t="s">
        <v>2895</v>
      </c>
    </row>
    <row r="604" spans="1:10" x14ac:dyDescent="0.25">
      <c r="A604" t="s">
        <v>888</v>
      </c>
      <c r="B604" t="s">
        <v>30</v>
      </c>
      <c r="C604">
        <v>8</v>
      </c>
      <c r="D604" t="s">
        <v>3358</v>
      </c>
      <c r="E604">
        <v>57</v>
      </c>
      <c r="F604">
        <v>23</v>
      </c>
      <c r="G604">
        <v>34</v>
      </c>
      <c r="H604" t="s">
        <v>3493</v>
      </c>
      <c r="I604" t="s">
        <v>3490</v>
      </c>
      <c r="J604" t="s">
        <v>2895</v>
      </c>
    </row>
    <row r="605" spans="1:10" x14ac:dyDescent="0.25">
      <c r="A605" t="s">
        <v>888</v>
      </c>
      <c r="B605" t="s">
        <v>30</v>
      </c>
      <c r="C605">
        <v>8</v>
      </c>
      <c r="D605" t="s">
        <v>3360</v>
      </c>
      <c r="E605">
        <v>62</v>
      </c>
      <c r="F605">
        <v>27</v>
      </c>
      <c r="G605">
        <v>35</v>
      </c>
      <c r="H605" t="s">
        <v>3489</v>
      </c>
      <c r="I605" t="s">
        <v>3490</v>
      </c>
      <c r="J605" t="s">
        <v>2895</v>
      </c>
    </row>
    <row r="606" spans="1:10" x14ac:dyDescent="0.25">
      <c r="A606" t="s">
        <v>888</v>
      </c>
      <c r="B606" t="s">
        <v>30</v>
      </c>
      <c r="C606">
        <v>8</v>
      </c>
      <c r="D606" t="s">
        <v>3362</v>
      </c>
      <c r="E606">
        <v>65</v>
      </c>
      <c r="F606">
        <v>13</v>
      </c>
      <c r="G606">
        <v>52</v>
      </c>
      <c r="H606" t="s">
        <v>3489</v>
      </c>
      <c r="I606" t="s">
        <v>3490</v>
      </c>
      <c r="J606" t="s">
        <v>2895</v>
      </c>
    </row>
    <row r="607" spans="1:10" x14ac:dyDescent="0.25">
      <c r="A607" t="s">
        <v>893</v>
      </c>
      <c r="B607" t="s">
        <v>159</v>
      </c>
      <c r="C607">
        <v>6</v>
      </c>
      <c r="D607" t="s">
        <v>3114</v>
      </c>
      <c r="E607">
        <v>69</v>
      </c>
      <c r="F607">
        <v>15</v>
      </c>
      <c r="G607">
        <v>54</v>
      </c>
      <c r="H607" t="s">
        <v>3489</v>
      </c>
      <c r="I607" t="s">
        <v>3490</v>
      </c>
      <c r="J607" t="s">
        <v>2902</v>
      </c>
    </row>
    <row r="608" spans="1:10" x14ac:dyDescent="0.25">
      <c r="A608" t="s">
        <v>893</v>
      </c>
      <c r="B608" t="s">
        <v>159</v>
      </c>
      <c r="C608">
        <v>6</v>
      </c>
      <c r="D608" t="s">
        <v>3116</v>
      </c>
      <c r="E608">
        <v>66</v>
      </c>
      <c r="F608">
        <v>20</v>
      </c>
      <c r="G608">
        <v>46</v>
      </c>
      <c r="H608" t="s">
        <v>3489</v>
      </c>
      <c r="I608" t="s">
        <v>3490</v>
      </c>
      <c r="J608" t="s">
        <v>2902</v>
      </c>
    </row>
    <row r="609" spans="1:10" x14ac:dyDescent="0.25">
      <c r="A609" t="s">
        <v>893</v>
      </c>
      <c r="B609" t="s">
        <v>159</v>
      </c>
      <c r="C609">
        <v>6</v>
      </c>
      <c r="D609" t="s">
        <v>3118</v>
      </c>
      <c r="E609">
        <v>51</v>
      </c>
      <c r="F609">
        <v>10</v>
      </c>
      <c r="G609">
        <v>41</v>
      </c>
      <c r="H609" t="s">
        <v>3493</v>
      </c>
      <c r="I609" t="s">
        <v>3490</v>
      </c>
      <c r="J609" t="s">
        <v>2902</v>
      </c>
    </row>
    <row r="610" spans="1:10" x14ac:dyDescent="0.25">
      <c r="A610" t="s">
        <v>893</v>
      </c>
      <c r="B610" t="s">
        <v>159</v>
      </c>
      <c r="C610">
        <v>6</v>
      </c>
      <c r="D610" t="s">
        <v>3120</v>
      </c>
      <c r="E610">
        <v>73</v>
      </c>
      <c r="F610">
        <v>17</v>
      </c>
      <c r="G610">
        <v>56</v>
      </c>
      <c r="H610" t="s">
        <v>3494</v>
      </c>
      <c r="I610" t="s">
        <v>3490</v>
      </c>
      <c r="J610" t="s">
        <v>2902</v>
      </c>
    </row>
    <row r="611" spans="1:10" x14ac:dyDescent="0.25">
      <c r="A611" t="s">
        <v>893</v>
      </c>
      <c r="B611" t="s">
        <v>159</v>
      </c>
      <c r="C611">
        <v>6</v>
      </c>
      <c r="D611" t="s">
        <v>3122</v>
      </c>
      <c r="E611">
        <v>91</v>
      </c>
      <c r="F611">
        <v>24</v>
      </c>
      <c r="G611">
        <v>67</v>
      </c>
      <c r="H611" t="s">
        <v>3495</v>
      </c>
      <c r="I611" t="s">
        <v>3490</v>
      </c>
      <c r="J611" t="s">
        <v>2902</v>
      </c>
    </row>
    <row r="612" spans="1:10" x14ac:dyDescent="0.25">
      <c r="A612" t="s">
        <v>898</v>
      </c>
      <c r="B612" t="s">
        <v>122</v>
      </c>
      <c r="C612">
        <v>8</v>
      </c>
      <c r="D612" t="s">
        <v>3294</v>
      </c>
      <c r="E612">
        <v>61</v>
      </c>
      <c r="F612">
        <v>10</v>
      </c>
      <c r="G612">
        <v>51</v>
      </c>
      <c r="H612" t="s">
        <v>3489</v>
      </c>
      <c r="I612" t="s">
        <v>3490</v>
      </c>
      <c r="J612" t="s">
        <v>2919</v>
      </c>
    </row>
    <row r="613" spans="1:10" x14ac:dyDescent="0.25">
      <c r="A613" t="s">
        <v>898</v>
      </c>
      <c r="B613" t="s">
        <v>122</v>
      </c>
      <c r="C613">
        <v>8</v>
      </c>
      <c r="D613" t="s">
        <v>3296</v>
      </c>
      <c r="E613">
        <v>82</v>
      </c>
      <c r="F613">
        <v>28</v>
      </c>
      <c r="G613">
        <v>54</v>
      </c>
      <c r="H613" t="s">
        <v>196</v>
      </c>
      <c r="I613" t="s">
        <v>3490</v>
      </c>
      <c r="J613" t="s">
        <v>2919</v>
      </c>
    </row>
    <row r="614" spans="1:10" x14ac:dyDescent="0.25">
      <c r="A614" t="s">
        <v>898</v>
      </c>
      <c r="B614" t="s">
        <v>122</v>
      </c>
      <c r="C614">
        <v>8</v>
      </c>
      <c r="D614" t="s">
        <v>3298</v>
      </c>
      <c r="E614">
        <v>77</v>
      </c>
      <c r="F614">
        <v>30</v>
      </c>
      <c r="G614">
        <v>47</v>
      </c>
      <c r="H614" t="s">
        <v>3494</v>
      </c>
      <c r="I614" t="s">
        <v>3490</v>
      </c>
      <c r="J614" t="s">
        <v>2919</v>
      </c>
    </row>
    <row r="615" spans="1:10" x14ac:dyDescent="0.25">
      <c r="A615" t="s">
        <v>898</v>
      </c>
      <c r="B615" t="s">
        <v>122</v>
      </c>
      <c r="C615">
        <v>8</v>
      </c>
      <c r="D615" t="s">
        <v>3300</v>
      </c>
      <c r="E615">
        <v>85</v>
      </c>
      <c r="F615">
        <v>22</v>
      </c>
      <c r="G615">
        <v>63</v>
      </c>
      <c r="H615" t="s">
        <v>196</v>
      </c>
      <c r="I615" t="s">
        <v>3490</v>
      </c>
      <c r="J615" t="s">
        <v>2919</v>
      </c>
    </row>
    <row r="616" spans="1:10" x14ac:dyDescent="0.25">
      <c r="A616" t="s">
        <v>898</v>
      </c>
      <c r="B616" t="s">
        <v>122</v>
      </c>
      <c r="C616">
        <v>8</v>
      </c>
      <c r="D616" t="s">
        <v>3302</v>
      </c>
      <c r="E616">
        <v>62</v>
      </c>
      <c r="F616">
        <v>13</v>
      </c>
      <c r="G616">
        <v>49</v>
      </c>
      <c r="H616" t="s">
        <v>3489</v>
      </c>
      <c r="I616" t="s">
        <v>3490</v>
      </c>
      <c r="J616" t="s">
        <v>2919</v>
      </c>
    </row>
    <row r="617" spans="1:10" x14ac:dyDescent="0.25">
      <c r="A617" t="s">
        <v>903</v>
      </c>
      <c r="B617" t="s">
        <v>75</v>
      </c>
      <c r="C617">
        <v>6</v>
      </c>
      <c r="D617" t="s">
        <v>3054</v>
      </c>
      <c r="E617">
        <v>89</v>
      </c>
      <c r="F617">
        <v>25</v>
      </c>
      <c r="G617">
        <v>64</v>
      </c>
      <c r="H617" t="s">
        <v>196</v>
      </c>
      <c r="I617" t="s">
        <v>3490</v>
      </c>
      <c r="J617" t="s">
        <v>2961</v>
      </c>
    </row>
    <row r="618" spans="1:10" x14ac:dyDescent="0.25">
      <c r="A618" t="s">
        <v>903</v>
      </c>
      <c r="B618" t="s">
        <v>75</v>
      </c>
      <c r="C618">
        <v>6</v>
      </c>
      <c r="D618" t="s">
        <v>3056</v>
      </c>
      <c r="E618">
        <v>56</v>
      </c>
      <c r="F618">
        <v>11</v>
      </c>
      <c r="G618">
        <v>45</v>
      </c>
      <c r="H618" t="s">
        <v>3493</v>
      </c>
      <c r="I618" t="s">
        <v>3490</v>
      </c>
      <c r="J618" t="s">
        <v>2961</v>
      </c>
    </row>
    <row r="619" spans="1:10" x14ac:dyDescent="0.25">
      <c r="A619" t="s">
        <v>903</v>
      </c>
      <c r="B619" t="s">
        <v>75</v>
      </c>
      <c r="C619">
        <v>6</v>
      </c>
      <c r="D619" t="s">
        <v>3058</v>
      </c>
      <c r="E619">
        <v>60</v>
      </c>
      <c r="F619">
        <v>25</v>
      </c>
      <c r="G619">
        <v>35</v>
      </c>
      <c r="H619" t="s">
        <v>3489</v>
      </c>
      <c r="I619" t="s">
        <v>3490</v>
      </c>
      <c r="J619" t="s">
        <v>2961</v>
      </c>
    </row>
    <row r="620" spans="1:10" x14ac:dyDescent="0.25">
      <c r="A620" t="s">
        <v>903</v>
      </c>
      <c r="B620" t="s">
        <v>75</v>
      </c>
      <c r="C620">
        <v>6</v>
      </c>
      <c r="D620" t="s">
        <v>3060</v>
      </c>
      <c r="E620">
        <v>75</v>
      </c>
      <c r="F620">
        <v>22</v>
      </c>
      <c r="G620">
        <v>53</v>
      </c>
      <c r="H620" t="s">
        <v>3494</v>
      </c>
      <c r="I620" t="s">
        <v>3490</v>
      </c>
      <c r="J620" t="s">
        <v>2961</v>
      </c>
    </row>
    <row r="621" spans="1:10" x14ac:dyDescent="0.25">
      <c r="A621" t="s">
        <v>903</v>
      </c>
      <c r="B621" t="s">
        <v>75</v>
      </c>
      <c r="C621">
        <v>6</v>
      </c>
      <c r="D621" t="s">
        <v>3062</v>
      </c>
      <c r="E621">
        <v>84</v>
      </c>
      <c r="F621">
        <v>14</v>
      </c>
      <c r="G621">
        <v>70</v>
      </c>
      <c r="H621" t="s">
        <v>196</v>
      </c>
      <c r="I621" t="s">
        <v>3490</v>
      </c>
      <c r="J621" t="s">
        <v>2961</v>
      </c>
    </row>
    <row r="622" spans="1:10" x14ac:dyDescent="0.25">
      <c r="A622" t="s">
        <v>909</v>
      </c>
      <c r="B622" t="s">
        <v>122</v>
      </c>
      <c r="C622">
        <v>6</v>
      </c>
      <c r="D622" t="s">
        <v>3294</v>
      </c>
      <c r="E622">
        <v>53</v>
      </c>
      <c r="F622">
        <v>10</v>
      </c>
      <c r="G622">
        <v>43</v>
      </c>
      <c r="H622" t="s">
        <v>3493</v>
      </c>
      <c r="I622" t="s">
        <v>3490</v>
      </c>
      <c r="J622" t="s">
        <v>2919</v>
      </c>
    </row>
    <row r="623" spans="1:10" x14ac:dyDescent="0.25">
      <c r="A623" t="s">
        <v>909</v>
      </c>
      <c r="B623" t="s">
        <v>122</v>
      </c>
      <c r="C623">
        <v>6</v>
      </c>
      <c r="D623" t="s">
        <v>3296</v>
      </c>
      <c r="E623">
        <v>54</v>
      </c>
      <c r="F623">
        <v>10</v>
      </c>
      <c r="G623">
        <v>44</v>
      </c>
      <c r="H623" t="s">
        <v>3493</v>
      </c>
      <c r="I623" t="s">
        <v>3490</v>
      </c>
      <c r="J623" t="s">
        <v>2919</v>
      </c>
    </row>
    <row r="624" spans="1:10" x14ac:dyDescent="0.25">
      <c r="A624" t="s">
        <v>909</v>
      </c>
      <c r="B624" t="s">
        <v>122</v>
      </c>
      <c r="C624">
        <v>6</v>
      </c>
      <c r="D624" t="s">
        <v>3298</v>
      </c>
      <c r="E624">
        <v>56</v>
      </c>
      <c r="F624">
        <v>27</v>
      </c>
      <c r="G624">
        <v>29</v>
      </c>
      <c r="H624" t="s">
        <v>3493</v>
      </c>
      <c r="I624" t="s">
        <v>3490</v>
      </c>
      <c r="J624" t="s">
        <v>2919</v>
      </c>
    </row>
    <row r="625" spans="1:10" x14ac:dyDescent="0.25">
      <c r="A625" t="s">
        <v>909</v>
      </c>
      <c r="B625" t="s">
        <v>122</v>
      </c>
      <c r="C625">
        <v>6</v>
      </c>
      <c r="D625" t="s">
        <v>3300</v>
      </c>
      <c r="E625">
        <v>74</v>
      </c>
      <c r="F625">
        <v>12</v>
      </c>
      <c r="G625">
        <v>62</v>
      </c>
      <c r="H625" t="s">
        <v>3494</v>
      </c>
      <c r="I625" t="s">
        <v>3490</v>
      </c>
      <c r="J625" t="s">
        <v>2919</v>
      </c>
    </row>
    <row r="626" spans="1:10" x14ac:dyDescent="0.25">
      <c r="A626" t="s">
        <v>909</v>
      </c>
      <c r="B626" t="s">
        <v>122</v>
      </c>
      <c r="C626">
        <v>6</v>
      </c>
      <c r="D626" t="s">
        <v>3302</v>
      </c>
      <c r="E626">
        <v>46</v>
      </c>
      <c r="F626">
        <v>15</v>
      </c>
      <c r="G626">
        <v>31</v>
      </c>
      <c r="H626" t="s">
        <v>3491</v>
      </c>
      <c r="I626" t="s">
        <v>3492</v>
      </c>
      <c r="J626" t="s">
        <v>2919</v>
      </c>
    </row>
    <row r="627" spans="1:10" x14ac:dyDescent="0.25">
      <c r="A627" t="s">
        <v>914</v>
      </c>
      <c r="B627" t="s">
        <v>63</v>
      </c>
      <c r="C627">
        <v>8</v>
      </c>
      <c r="D627" t="s">
        <v>3414</v>
      </c>
      <c r="E627">
        <v>77</v>
      </c>
      <c r="F627">
        <v>17</v>
      </c>
      <c r="G627">
        <v>60</v>
      </c>
      <c r="H627" t="s">
        <v>3494</v>
      </c>
      <c r="I627" t="s">
        <v>3490</v>
      </c>
      <c r="J627" t="s">
        <v>2932</v>
      </c>
    </row>
    <row r="628" spans="1:10" x14ac:dyDescent="0.25">
      <c r="A628" t="s">
        <v>914</v>
      </c>
      <c r="B628" t="s">
        <v>63</v>
      </c>
      <c r="C628">
        <v>8</v>
      </c>
      <c r="D628" t="s">
        <v>3416</v>
      </c>
      <c r="E628">
        <v>61</v>
      </c>
      <c r="F628">
        <v>21</v>
      </c>
      <c r="G628">
        <v>40</v>
      </c>
      <c r="H628" t="s">
        <v>3489</v>
      </c>
      <c r="I628" t="s">
        <v>3490</v>
      </c>
      <c r="J628" t="s">
        <v>2932</v>
      </c>
    </row>
    <row r="629" spans="1:10" x14ac:dyDescent="0.25">
      <c r="A629" t="s">
        <v>914</v>
      </c>
      <c r="B629" t="s">
        <v>63</v>
      </c>
      <c r="C629">
        <v>8</v>
      </c>
      <c r="D629" t="s">
        <v>3418</v>
      </c>
      <c r="E629">
        <v>40</v>
      </c>
      <c r="F629">
        <v>15</v>
      </c>
      <c r="G629">
        <v>25</v>
      </c>
      <c r="H629" t="s">
        <v>3491</v>
      </c>
      <c r="I629" t="s">
        <v>3492</v>
      </c>
      <c r="J629" t="s">
        <v>2932</v>
      </c>
    </row>
    <row r="630" spans="1:10" x14ac:dyDescent="0.25">
      <c r="A630" t="s">
        <v>914</v>
      </c>
      <c r="B630" t="s">
        <v>63</v>
      </c>
      <c r="C630">
        <v>8</v>
      </c>
      <c r="D630" t="s">
        <v>3420</v>
      </c>
      <c r="E630">
        <v>85</v>
      </c>
      <c r="F630">
        <v>22</v>
      </c>
      <c r="G630">
        <v>63</v>
      </c>
      <c r="H630" t="s">
        <v>196</v>
      </c>
      <c r="I630" t="s">
        <v>3490</v>
      </c>
      <c r="J630" t="s">
        <v>2932</v>
      </c>
    </row>
    <row r="631" spans="1:10" x14ac:dyDescent="0.25">
      <c r="A631" t="s">
        <v>914</v>
      </c>
      <c r="B631" t="s">
        <v>63</v>
      </c>
      <c r="C631">
        <v>8</v>
      </c>
      <c r="D631" t="s">
        <v>3422</v>
      </c>
      <c r="E631">
        <v>41</v>
      </c>
      <c r="F631">
        <v>21</v>
      </c>
      <c r="G631">
        <v>20</v>
      </c>
      <c r="H631" t="s">
        <v>3491</v>
      </c>
      <c r="I631" t="s">
        <v>3492</v>
      </c>
      <c r="J631" t="s">
        <v>2932</v>
      </c>
    </row>
    <row r="632" spans="1:10" x14ac:dyDescent="0.25">
      <c r="A632" t="s">
        <v>922</v>
      </c>
      <c r="B632" t="s">
        <v>212</v>
      </c>
      <c r="C632">
        <v>8</v>
      </c>
      <c r="D632" t="s">
        <v>3474</v>
      </c>
      <c r="E632">
        <v>74</v>
      </c>
      <c r="F632">
        <v>20</v>
      </c>
      <c r="G632">
        <v>54</v>
      </c>
      <c r="H632" t="s">
        <v>3494</v>
      </c>
      <c r="I632" t="s">
        <v>3490</v>
      </c>
      <c r="J632" t="s">
        <v>3001</v>
      </c>
    </row>
    <row r="633" spans="1:10" x14ac:dyDescent="0.25">
      <c r="A633" t="s">
        <v>922</v>
      </c>
      <c r="B633" t="s">
        <v>212</v>
      </c>
      <c r="C633">
        <v>8</v>
      </c>
      <c r="D633" t="s">
        <v>3476</v>
      </c>
      <c r="E633">
        <v>50</v>
      </c>
      <c r="F633">
        <v>24</v>
      </c>
      <c r="G633">
        <v>26</v>
      </c>
      <c r="H633" t="s">
        <v>3493</v>
      </c>
      <c r="I633" t="s">
        <v>3490</v>
      </c>
      <c r="J633" t="s">
        <v>3001</v>
      </c>
    </row>
    <row r="634" spans="1:10" x14ac:dyDescent="0.25">
      <c r="A634" t="s">
        <v>922</v>
      </c>
      <c r="B634" t="s">
        <v>212</v>
      </c>
      <c r="C634">
        <v>8</v>
      </c>
      <c r="D634" t="s">
        <v>3478</v>
      </c>
      <c r="E634">
        <v>63</v>
      </c>
      <c r="F634">
        <v>18</v>
      </c>
      <c r="G634">
        <v>45</v>
      </c>
      <c r="H634" t="s">
        <v>3489</v>
      </c>
      <c r="I634" t="s">
        <v>3490</v>
      </c>
      <c r="J634" t="s">
        <v>3001</v>
      </c>
    </row>
    <row r="635" spans="1:10" x14ac:dyDescent="0.25">
      <c r="A635" t="s">
        <v>922</v>
      </c>
      <c r="B635" t="s">
        <v>212</v>
      </c>
      <c r="C635">
        <v>8</v>
      </c>
      <c r="D635" t="s">
        <v>3480</v>
      </c>
      <c r="E635">
        <v>57</v>
      </c>
      <c r="F635">
        <v>28</v>
      </c>
      <c r="G635">
        <v>29</v>
      </c>
      <c r="H635" t="s">
        <v>3493</v>
      </c>
      <c r="I635" t="s">
        <v>3490</v>
      </c>
      <c r="J635" t="s">
        <v>3001</v>
      </c>
    </row>
    <row r="636" spans="1:10" x14ac:dyDescent="0.25">
      <c r="A636" t="s">
        <v>922</v>
      </c>
      <c r="B636" t="s">
        <v>212</v>
      </c>
      <c r="C636">
        <v>8</v>
      </c>
      <c r="D636" t="s">
        <v>3482</v>
      </c>
      <c r="E636">
        <v>65</v>
      </c>
      <c r="F636">
        <v>12</v>
      </c>
      <c r="G636">
        <v>53</v>
      </c>
      <c r="H636" t="s">
        <v>3489</v>
      </c>
      <c r="I636" t="s">
        <v>3490</v>
      </c>
      <c r="J636" t="s">
        <v>3001</v>
      </c>
    </row>
    <row r="637" spans="1:10" x14ac:dyDescent="0.25">
      <c r="A637" t="s">
        <v>929</v>
      </c>
      <c r="B637" t="s">
        <v>159</v>
      </c>
      <c r="C637">
        <v>8</v>
      </c>
      <c r="D637" t="s">
        <v>3114</v>
      </c>
      <c r="E637">
        <v>99</v>
      </c>
      <c r="F637">
        <v>30</v>
      </c>
      <c r="G637">
        <v>69</v>
      </c>
      <c r="H637" t="s">
        <v>3495</v>
      </c>
      <c r="I637" t="s">
        <v>3490</v>
      </c>
      <c r="J637" t="s">
        <v>2902</v>
      </c>
    </row>
    <row r="638" spans="1:10" x14ac:dyDescent="0.25">
      <c r="A638" t="s">
        <v>929</v>
      </c>
      <c r="B638" t="s">
        <v>159</v>
      </c>
      <c r="C638">
        <v>8</v>
      </c>
      <c r="D638" t="s">
        <v>3116</v>
      </c>
      <c r="E638">
        <v>39</v>
      </c>
      <c r="F638">
        <v>15</v>
      </c>
      <c r="G638">
        <v>24</v>
      </c>
      <c r="H638" t="s">
        <v>3491</v>
      </c>
      <c r="I638" t="s">
        <v>3492</v>
      </c>
      <c r="J638" t="s">
        <v>2902</v>
      </c>
    </row>
    <row r="639" spans="1:10" x14ac:dyDescent="0.25">
      <c r="A639" t="s">
        <v>929</v>
      </c>
      <c r="B639" t="s">
        <v>159</v>
      </c>
      <c r="C639">
        <v>8</v>
      </c>
      <c r="D639" t="s">
        <v>3118</v>
      </c>
      <c r="E639">
        <v>56</v>
      </c>
      <c r="F639">
        <v>28</v>
      </c>
      <c r="G639">
        <v>28</v>
      </c>
      <c r="H639" t="s">
        <v>3493</v>
      </c>
      <c r="I639" t="s">
        <v>3490</v>
      </c>
      <c r="J639" t="s">
        <v>2902</v>
      </c>
    </row>
    <row r="640" spans="1:10" x14ac:dyDescent="0.25">
      <c r="A640" t="s">
        <v>929</v>
      </c>
      <c r="B640" t="s">
        <v>159</v>
      </c>
      <c r="C640">
        <v>8</v>
      </c>
      <c r="D640" t="s">
        <v>3120</v>
      </c>
      <c r="E640">
        <v>76</v>
      </c>
      <c r="F640">
        <v>20</v>
      </c>
      <c r="G640">
        <v>56</v>
      </c>
      <c r="H640" t="s">
        <v>3494</v>
      </c>
      <c r="I640" t="s">
        <v>3490</v>
      </c>
      <c r="J640" t="s">
        <v>2902</v>
      </c>
    </row>
    <row r="641" spans="1:10" x14ac:dyDescent="0.25">
      <c r="A641" t="s">
        <v>929</v>
      </c>
      <c r="B641" t="s">
        <v>159</v>
      </c>
      <c r="C641">
        <v>8</v>
      </c>
      <c r="D641" t="s">
        <v>3122</v>
      </c>
      <c r="E641">
        <v>71</v>
      </c>
      <c r="F641">
        <v>22</v>
      </c>
      <c r="G641">
        <v>49</v>
      </c>
      <c r="H641" t="s">
        <v>3494</v>
      </c>
      <c r="I641" t="s">
        <v>3490</v>
      </c>
      <c r="J641" t="s">
        <v>2902</v>
      </c>
    </row>
    <row r="642" spans="1:10" x14ac:dyDescent="0.25">
      <c r="A642" t="s">
        <v>935</v>
      </c>
      <c r="B642" t="s">
        <v>122</v>
      </c>
      <c r="C642">
        <v>4</v>
      </c>
      <c r="D642" t="s">
        <v>3274</v>
      </c>
      <c r="E642">
        <v>51</v>
      </c>
      <c r="F642">
        <v>29</v>
      </c>
      <c r="G642">
        <v>22</v>
      </c>
      <c r="H642" t="s">
        <v>3493</v>
      </c>
      <c r="I642" t="s">
        <v>3490</v>
      </c>
      <c r="J642" t="s">
        <v>2919</v>
      </c>
    </row>
    <row r="643" spans="1:10" x14ac:dyDescent="0.25">
      <c r="A643" t="s">
        <v>935</v>
      </c>
      <c r="B643" t="s">
        <v>122</v>
      </c>
      <c r="C643">
        <v>4</v>
      </c>
      <c r="D643" t="s">
        <v>3276</v>
      </c>
      <c r="E643">
        <v>84</v>
      </c>
      <c r="F643">
        <v>27</v>
      </c>
      <c r="G643">
        <v>57</v>
      </c>
      <c r="H643" t="s">
        <v>196</v>
      </c>
      <c r="I643" t="s">
        <v>3490</v>
      </c>
      <c r="J643" t="s">
        <v>2919</v>
      </c>
    </row>
    <row r="644" spans="1:10" x14ac:dyDescent="0.25">
      <c r="A644" t="s">
        <v>935</v>
      </c>
      <c r="B644" t="s">
        <v>122</v>
      </c>
      <c r="C644">
        <v>4</v>
      </c>
      <c r="D644" t="s">
        <v>3278</v>
      </c>
      <c r="E644">
        <v>96</v>
      </c>
      <c r="F644">
        <v>27</v>
      </c>
      <c r="G644">
        <v>69</v>
      </c>
      <c r="H644" t="s">
        <v>3495</v>
      </c>
      <c r="I644" t="s">
        <v>3490</v>
      </c>
      <c r="J644" t="s">
        <v>2919</v>
      </c>
    </row>
    <row r="645" spans="1:10" x14ac:dyDescent="0.25">
      <c r="A645" t="s">
        <v>935</v>
      </c>
      <c r="B645" t="s">
        <v>122</v>
      </c>
      <c r="C645">
        <v>4</v>
      </c>
      <c r="D645" t="s">
        <v>3280</v>
      </c>
      <c r="E645">
        <v>53</v>
      </c>
      <c r="F645">
        <v>18</v>
      </c>
      <c r="G645">
        <v>35</v>
      </c>
      <c r="H645" t="s">
        <v>3493</v>
      </c>
      <c r="I645" t="s">
        <v>3490</v>
      </c>
      <c r="J645" t="s">
        <v>2919</v>
      </c>
    </row>
    <row r="646" spans="1:10" x14ac:dyDescent="0.25">
      <c r="A646" t="s">
        <v>935</v>
      </c>
      <c r="B646" t="s">
        <v>122</v>
      </c>
      <c r="C646">
        <v>4</v>
      </c>
      <c r="D646" t="s">
        <v>3282</v>
      </c>
      <c r="E646">
        <v>82</v>
      </c>
      <c r="F646">
        <v>23</v>
      </c>
      <c r="G646">
        <v>59</v>
      </c>
      <c r="H646" t="s">
        <v>196</v>
      </c>
      <c r="I646" t="s">
        <v>3490</v>
      </c>
      <c r="J646" t="s">
        <v>2919</v>
      </c>
    </row>
    <row r="647" spans="1:10" x14ac:dyDescent="0.25">
      <c r="A647" t="s">
        <v>941</v>
      </c>
      <c r="B647" t="s">
        <v>30</v>
      </c>
      <c r="C647">
        <v>6</v>
      </c>
      <c r="D647" t="s">
        <v>3354</v>
      </c>
      <c r="E647">
        <v>83</v>
      </c>
      <c r="F647">
        <v>29</v>
      </c>
      <c r="G647">
        <v>54</v>
      </c>
      <c r="H647" t="s">
        <v>196</v>
      </c>
      <c r="I647" t="s">
        <v>3490</v>
      </c>
      <c r="J647" t="s">
        <v>2895</v>
      </c>
    </row>
    <row r="648" spans="1:10" x14ac:dyDescent="0.25">
      <c r="A648" t="s">
        <v>941</v>
      </c>
      <c r="B648" t="s">
        <v>30</v>
      </c>
      <c r="C648">
        <v>6</v>
      </c>
      <c r="D648" t="s">
        <v>3356</v>
      </c>
      <c r="E648">
        <v>89</v>
      </c>
      <c r="F648">
        <v>19</v>
      </c>
      <c r="G648">
        <v>70</v>
      </c>
      <c r="H648" t="s">
        <v>196</v>
      </c>
      <c r="I648" t="s">
        <v>3490</v>
      </c>
      <c r="J648" t="s">
        <v>2895</v>
      </c>
    </row>
    <row r="649" spans="1:10" x14ac:dyDescent="0.25">
      <c r="A649" t="s">
        <v>941</v>
      </c>
      <c r="B649" t="s">
        <v>30</v>
      </c>
      <c r="C649">
        <v>6</v>
      </c>
      <c r="D649" t="s">
        <v>3358</v>
      </c>
      <c r="E649">
        <v>48</v>
      </c>
      <c r="F649">
        <v>27</v>
      </c>
      <c r="G649">
        <v>21</v>
      </c>
      <c r="H649" t="s">
        <v>3491</v>
      </c>
      <c r="I649" t="s">
        <v>3492</v>
      </c>
      <c r="J649" t="s">
        <v>2895</v>
      </c>
    </row>
    <row r="650" spans="1:10" x14ac:dyDescent="0.25">
      <c r="A650" t="s">
        <v>941</v>
      </c>
      <c r="B650" t="s">
        <v>30</v>
      </c>
      <c r="C650">
        <v>6</v>
      </c>
      <c r="D650" t="s">
        <v>3360</v>
      </c>
      <c r="E650">
        <v>43</v>
      </c>
      <c r="F650">
        <v>15</v>
      </c>
      <c r="G650">
        <v>28</v>
      </c>
      <c r="H650" t="s">
        <v>3491</v>
      </c>
      <c r="I650" t="s">
        <v>3492</v>
      </c>
      <c r="J650" t="s">
        <v>2895</v>
      </c>
    </row>
    <row r="651" spans="1:10" x14ac:dyDescent="0.25">
      <c r="A651" t="s">
        <v>941</v>
      </c>
      <c r="B651" t="s">
        <v>30</v>
      </c>
      <c r="C651">
        <v>6</v>
      </c>
      <c r="D651" t="s">
        <v>3362</v>
      </c>
      <c r="E651">
        <v>52</v>
      </c>
      <c r="F651">
        <v>11</v>
      </c>
      <c r="G651">
        <v>41</v>
      </c>
      <c r="H651" t="s">
        <v>3493</v>
      </c>
      <c r="I651" t="s">
        <v>3490</v>
      </c>
      <c r="J651" t="s">
        <v>2895</v>
      </c>
    </row>
    <row r="652" spans="1:10" x14ac:dyDescent="0.25">
      <c r="A652" t="s">
        <v>948</v>
      </c>
      <c r="B652" t="s">
        <v>63</v>
      </c>
      <c r="C652">
        <v>4</v>
      </c>
      <c r="D652" t="s">
        <v>3394</v>
      </c>
      <c r="E652">
        <v>69</v>
      </c>
      <c r="F652">
        <v>11</v>
      </c>
      <c r="G652">
        <v>58</v>
      </c>
      <c r="H652" t="s">
        <v>3489</v>
      </c>
      <c r="I652" t="s">
        <v>3490</v>
      </c>
      <c r="J652" t="s">
        <v>2932</v>
      </c>
    </row>
    <row r="653" spans="1:10" x14ac:dyDescent="0.25">
      <c r="A653" t="s">
        <v>948</v>
      </c>
      <c r="B653" t="s">
        <v>63</v>
      </c>
      <c r="C653">
        <v>4</v>
      </c>
      <c r="D653" t="s">
        <v>3396</v>
      </c>
      <c r="E653">
        <v>79</v>
      </c>
      <c r="F653">
        <v>17</v>
      </c>
      <c r="G653">
        <v>62</v>
      </c>
      <c r="H653" t="s">
        <v>3494</v>
      </c>
      <c r="I653" t="s">
        <v>3490</v>
      </c>
      <c r="J653" t="s">
        <v>2932</v>
      </c>
    </row>
    <row r="654" spans="1:10" x14ac:dyDescent="0.25">
      <c r="A654" t="s">
        <v>948</v>
      </c>
      <c r="B654" t="s">
        <v>63</v>
      </c>
      <c r="C654">
        <v>4</v>
      </c>
      <c r="D654" t="s">
        <v>3398</v>
      </c>
      <c r="E654">
        <v>74</v>
      </c>
      <c r="F654">
        <v>27</v>
      </c>
      <c r="G654">
        <v>47</v>
      </c>
      <c r="H654" t="s">
        <v>3494</v>
      </c>
      <c r="I654" t="s">
        <v>3490</v>
      </c>
      <c r="J654" t="s">
        <v>2932</v>
      </c>
    </row>
    <row r="655" spans="1:10" x14ac:dyDescent="0.25">
      <c r="A655" t="s">
        <v>948</v>
      </c>
      <c r="B655" t="s">
        <v>63</v>
      </c>
      <c r="C655">
        <v>4</v>
      </c>
      <c r="D655" t="s">
        <v>3400</v>
      </c>
      <c r="E655">
        <v>94</v>
      </c>
      <c r="F655">
        <v>29</v>
      </c>
      <c r="G655">
        <v>65</v>
      </c>
      <c r="H655" t="s">
        <v>3495</v>
      </c>
      <c r="I655" t="s">
        <v>3490</v>
      </c>
      <c r="J655" t="s">
        <v>2932</v>
      </c>
    </row>
    <row r="656" spans="1:10" x14ac:dyDescent="0.25">
      <c r="A656" t="s">
        <v>948</v>
      </c>
      <c r="B656" t="s">
        <v>63</v>
      </c>
      <c r="C656">
        <v>4</v>
      </c>
      <c r="D656" t="s">
        <v>3402</v>
      </c>
      <c r="E656">
        <v>70</v>
      </c>
      <c r="F656">
        <v>18</v>
      </c>
      <c r="G656">
        <v>52</v>
      </c>
      <c r="H656" t="s">
        <v>3494</v>
      </c>
      <c r="I656" t="s">
        <v>3490</v>
      </c>
      <c r="J656" t="s">
        <v>2932</v>
      </c>
    </row>
    <row r="657" spans="1:10" x14ac:dyDescent="0.25">
      <c r="A657" t="s">
        <v>955</v>
      </c>
      <c r="B657" t="s">
        <v>75</v>
      </c>
      <c r="C657">
        <v>8</v>
      </c>
      <c r="D657" t="s">
        <v>3054</v>
      </c>
      <c r="E657">
        <v>80</v>
      </c>
      <c r="F657">
        <v>19</v>
      </c>
      <c r="G657">
        <v>61</v>
      </c>
      <c r="H657" t="s">
        <v>196</v>
      </c>
      <c r="I657" t="s">
        <v>3490</v>
      </c>
      <c r="J657" t="s">
        <v>2961</v>
      </c>
    </row>
    <row r="658" spans="1:10" x14ac:dyDescent="0.25">
      <c r="A658" t="s">
        <v>955</v>
      </c>
      <c r="B658" t="s">
        <v>75</v>
      </c>
      <c r="C658">
        <v>8</v>
      </c>
      <c r="D658" t="s">
        <v>3056</v>
      </c>
      <c r="E658">
        <v>53</v>
      </c>
      <c r="F658">
        <v>14</v>
      </c>
      <c r="G658">
        <v>39</v>
      </c>
      <c r="H658" t="s">
        <v>3493</v>
      </c>
      <c r="I658" t="s">
        <v>3490</v>
      </c>
      <c r="J658" t="s">
        <v>2961</v>
      </c>
    </row>
    <row r="659" spans="1:10" x14ac:dyDescent="0.25">
      <c r="A659" t="s">
        <v>955</v>
      </c>
      <c r="B659" t="s">
        <v>75</v>
      </c>
      <c r="C659">
        <v>8</v>
      </c>
      <c r="D659" t="s">
        <v>3058</v>
      </c>
      <c r="E659">
        <v>70</v>
      </c>
      <c r="F659">
        <v>29</v>
      </c>
      <c r="G659">
        <v>41</v>
      </c>
      <c r="H659" t="s">
        <v>3494</v>
      </c>
      <c r="I659" t="s">
        <v>3490</v>
      </c>
      <c r="J659" t="s">
        <v>2961</v>
      </c>
    </row>
    <row r="660" spans="1:10" x14ac:dyDescent="0.25">
      <c r="A660" t="s">
        <v>955</v>
      </c>
      <c r="B660" t="s">
        <v>75</v>
      </c>
      <c r="C660">
        <v>8</v>
      </c>
      <c r="D660" t="s">
        <v>3060</v>
      </c>
      <c r="E660">
        <v>81</v>
      </c>
      <c r="F660">
        <v>29</v>
      </c>
      <c r="G660">
        <v>52</v>
      </c>
      <c r="H660" t="s">
        <v>196</v>
      </c>
      <c r="I660" t="s">
        <v>3490</v>
      </c>
      <c r="J660" t="s">
        <v>2961</v>
      </c>
    </row>
    <row r="661" spans="1:10" x14ac:dyDescent="0.25">
      <c r="A661" t="s">
        <v>955</v>
      </c>
      <c r="B661" t="s">
        <v>75</v>
      </c>
      <c r="C661">
        <v>8</v>
      </c>
      <c r="D661" t="s">
        <v>3062</v>
      </c>
      <c r="E661">
        <v>87</v>
      </c>
      <c r="F661">
        <v>27</v>
      </c>
      <c r="G661">
        <v>60</v>
      </c>
      <c r="H661" t="s">
        <v>196</v>
      </c>
      <c r="I661" t="s">
        <v>3490</v>
      </c>
      <c r="J661" t="s">
        <v>2961</v>
      </c>
    </row>
    <row r="662" spans="1:10" x14ac:dyDescent="0.25">
      <c r="A662" t="s">
        <v>960</v>
      </c>
      <c r="B662" t="s">
        <v>95</v>
      </c>
      <c r="C662">
        <v>4</v>
      </c>
      <c r="D662" t="s">
        <v>3214</v>
      </c>
      <c r="E662">
        <v>73</v>
      </c>
      <c r="F662">
        <v>12</v>
      </c>
      <c r="G662">
        <v>61</v>
      </c>
      <c r="H662" t="s">
        <v>3494</v>
      </c>
      <c r="I662" t="s">
        <v>3490</v>
      </c>
      <c r="J662" t="s">
        <v>2889</v>
      </c>
    </row>
    <row r="663" spans="1:10" x14ac:dyDescent="0.25">
      <c r="A663" t="s">
        <v>960</v>
      </c>
      <c r="B663" t="s">
        <v>95</v>
      </c>
      <c r="C663">
        <v>4</v>
      </c>
      <c r="D663" t="s">
        <v>3216</v>
      </c>
      <c r="E663">
        <v>50</v>
      </c>
      <c r="F663">
        <v>12</v>
      </c>
      <c r="G663">
        <v>38</v>
      </c>
      <c r="H663" t="s">
        <v>3493</v>
      </c>
      <c r="I663" t="s">
        <v>3490</v>
      </c>
      <c r="J663" t="s">
        <v>2889</v>
      </c>
    </row>
    <row r="664" spans="1:10" x14ac:dyDescent="0.25">
      <c r="A664" t="s">
        <v>960</v>
      </c>
      <c r="B664" t="s">
        <v>95</v>
      </c>
      <c r="C664">
        <v>4</v>
      </c>
      <c r="D664" t="s">
        <v>3218</v>
      </c>
      <c r="E664">
        <v>69</v>
      </c>
      <c r="F664">
        <v>21</v>
      </c>
      <c r="G664">
        <v>48</v>
      </c>
      <c r="H664" t="s">
        <v>3489</v>
      </c>
      <c r="I664" t="s">
        <v>3490</v>
      </c>
      <c r="J664" t="s">
        <v>2889</v>
      </c>
    </row>
    <row r="665" spans="1:10" x14ac:dyDescent="0.25">
      <c r="A665" t="s">
        <v>960</v>
      </c>
      <c r="B665" t="s">
        <v>95</v>
      </c>
      <c r="C665">
        <v>4</v>
      </c>
      <c r="D665" t="s">
        <v>3220</v>
      </c>
      <c r="E665">
        <v>84</v>
      </c>
      <c r="F665">
        <v>30</v>
      </c>
      <c r="G665">
        <v>54</v>
      </c>
      <c r="H665" t="s">
        <v>196</v>
      </c>
      <c r="I665" t="s">
        <v>3490</v>
      </c>
      <c r="J665" t="s">
        <v>2889</v>
      </c>
    </row>
    <row r="666" spans="1:10" x14ac:dyDescent="0.25">
      <c r="A666" t="s">
        <v>960</v>
      </c>
      <c r="B666" t="s">
        <v>95</v>
      </c>
      <c r="C666">
        <v>4</v>
      </c>
      <c r="D666" t="s">
        <v>3222</v>
      </c>
      <c r="E666">
        <v>75</v>
      </c>
      <c r="F666">
        <v>26</v>
      </c>
      <c r="G666">
        <v>49</v>
      </c>
      <c r="H666" t="s">
        <v>3494</v>
      </c>
      <c r="I666" t="s">
        <v>3490</v>
      </c>
      <c r="J666" t="s">
        <v>2889</v>
      </c>
    </row>
    <row r="667" spans="1:10" x14ac:dyDescent="0.25">
      <c r="A667" t="s">
        <v>965</v>
      </c>
      <c r="B667" t="s">
        <v>95</v>
      </c>
      <c r="C667">
        <v>6</v>
      </c>
      <c r="D667" t="s">
        <v>3234</v>
      </c>
      <c r="E667">
        <v>75</v>
      </c>
      <c r="F667">
        <v>11</v>
      </c>
      <c r="G667">
        <v>64</v>
      </c>
      <c r="H667" t="s">
        <v>3494</v>
      </c>
      <c r="I667" t="s">
        <v>3490</v>
      </c>
      <c r="J667" t="s">
        <v>2889</v>
      </c>
    </row>
    <row r="668" spans="1:10" x14ac:dyDescent="0.25">
      <c r="A668" t="s">
        <v>965</v>
      </c>
      <c r="B668" t="s">
        <v>95</v>
      </c>
      <c r="C668">
        <v>6</v>
      </c>
      <c r="D668" t="s">
        <v>3236</v>
      </c>
      <c r="E668">
        <v>78</v>
      </c>
      <c r="F668">
        <v>30</v>
      </c>
      <c r="G668">
        <v>48</v>
      </c>
      <c r="H668" t="s">
        <v>3494</v>
      </c>
      <c r="I668" t="s">
        <v>3490</v>
      </c>
      <c r="J668" t="s">
        <v>2889</v>
      </c>
    </row>
    <row r="669" spans="1:10" x14ac:dyDescent="0.25">
      <c r="A669" t="s">
        <v>965</v>
      </c>
      <c r="B669" t="s">
        <v>95</v>
      </c>
      <c r="C669">
        <v>6</v>
      </c>
      <c r="D669" t="s">
        <v>3238</v>
      </c>
      <c r="E669">
        <v>54</v>
      </c>
      <c r="F669">
        <v>12</v>
      </c>
      <c r="G669">
        <v>42</v>
      </c>
      <c r="H669" t="s">
        <v>3493</v>
      </c>
      <c r="I669" t="s">
        <v>3490</v>
      </c>
      <c r="J669" t="s">
        <v>2889</v>
      </c>
    </row>
    <row r="670" spans="1:10" x14ac:dyDescent="0.25">
      <c r="A670" t="s">
        <v>965</v>
      </c>
      <c r="B670" t="s">
        <v>95</v>
      </c>
      <c r="C670">
        <v>6</v>
      </c>
      <c r="D670" t="s">
        <v>3240</v>
      </c>
      <c r="E670">
        <v>50</v>
      </c>
      <c r="F670">
        <v>15</v>
      </c>
      <c r="G670">
        <v>35</v>
      </c>
      <c r="H670" t="s">
        <v>3493</v>
      </c>
      <c r="I670" t="s">
        <v>3490</v>
      </c>
      <c r="J670" t="s">
        <v>2889</v>
      </c>
    </row>
    <row r="671" spans="1:10" x14ac:dyDescent="0.25">
      <c r="A671" t="s">
        <v>965</v>
      </c>
      <c r="B671" t="s">
        <v>95</v>
      </c>
      <c r="C671">
        <v>6</v>
      </c>
      <c r="D671" t="s">
        <v>3242</v>
      </c>
      <c r="E671">
        <v>72</v>
      </c>
      <c r="F671">
        <v>27</v>
      </c>
      <c r="G671">
        <v>45</v>
      </c>
      <c r="H671" t="s">
        <v>3494</v>
      </c>
      <c r="I671" t="s">
        <v>3490</v>
      </c>
      <c r="J671" t="s">
        <v>2889</v>
      </c>
    </row>
    <row r="672" spans="1:10" x14ac:dyDescent="0.25">
      <c r="A672" t="s">
        <v>971</v>
      </c>
      <c r="B672" t="s">
        <v>212</v>
      </c>
      <c r="C672">
        <v>6</v>
      </c>
      <c r="D672" t="s">
        <v>3474</v>
      </c>
      <c r="E672">
        <v>68</v>
      </c>
      <c r="F672">
        <v>24</v>
      </c>
      <c r="G672">
        <v>44</v>
      </c>
      <c r="H672" t="s">
        <v>3489</v>
      </c>
      <c r="I672" t="s">
        <v>3490</v>
      </c>
      <c r="J672" t="s">
        <v>3001</v>
      </c>
    </row>
    <row r="673" spans="1:10" x14ac:dyDescent="0.25">
      <c r="A673" t="s">
        <v>971</v>
      </c>
      <c r="B673" t="s">
        <v>212</v>
      </c>
      <c r="C673">
        <v>6</v>
      </c>
      <c r="D673" t="s">
        <v>3476</v>
      </c>
      <c r="E673">
        <v>57</v>
      </c>
      <c r="F673">
        <v>25</v>
      </c>
      <c r="G673">
        <v>32</v>
      </c>
      <c r="H673" t="s">
        <v>3493</v>
      </c>
      <c r="I673" t="s">
        <v>3490</v>
      </c>
      <c r="J673" t="s">
        <v>3001</v>
      </c>
    </row>
    <row r="674" spans="1:10" x14ac:dyDescent="0.25">
      <c r="A674" t="s">
        <v>971</v>
      </c>
      <c r="B674" t="s">
        <v>212</v>
      </c>
      <c r="C674">
        <v>6</v>
      </c>
      <c r="D674" t="s">
        <v>3478</v>
      </c>
      <c r="E674">
        <v>96</v>
      </c>
      <c r="F674">
        <v>27</v>
      </c>
      <c r="G674">
        <v>69</v>
      </c>
      <c r="H674" t="s">
        <v>3495</v>
      </c>
      <c r="I674" t="s">
        <v>3490</v>
      </c>
      <c r="J674" t="s">
        <v>3001</v>
      </c>
    </row>
    <row r="675" spans="1:10" x14ac:dyDescent="0.25">
      <c r="A675" t="s">
        <v>971</v>
      </c>
      <c r="B675" t="s">
        <v>212</v>
      </c>
      <c r="C675">
        <v>6</v>
      </c>
      <c r="D675" t="s">
        <v>3480</v>
      </c>
      <c r="E675">
        <v>36</v>
      </c>
      <c r="F675">
        <v>15</v>
      </c>
      <c r="G675">
        <v>21</v>
      </c>
      <c r="H675" t="s">
        <v>3491</v>
      </c>
      <c r="I675" t="s">
        <v>3492</v>
      </c>
      <c r="J675" t="s">
        <v>3001</v>
      </c>
    </row>
    <row r="676" spans="1:10" x14ac:dyDescent="0.25">
      <c r="A676" t="s">
        <v>971</v>
      </c>
      <c r="B676" t="s">
        <v>212</v>
      </c>
      <c r="C676">
        <v>6</v>
      </c>
      <c r="D676" t="s">
        <v>3482</v>
      </c>
      <c r="E676">
        <v>77</v>
      </c>
      <c r="F676">
        <v>29</v>
      </c>
      <c r="G676">
        <v>48</v>
      </c>
      <c r="H676" t="s">
        <v>3494</v>
      </c>
      <c r="I676" t="s">
        <v>3490</v>
      </c>
      <c r="J676" t="s">
        <v>3001</v>
      </c>
    </row>
    <row r="677" spans="1:10" x14ac:dyDescent="0.25">
      <c r="A677" t="s">
        <v>979</v>
      </c>
      <c r="B677" t="s">
        <v>30</v>
      </c>
      <c r="C677">
        <v>6</v>
      </c>
      <c r="D677" t="s">
        <v>3354</v>
      </c>
      <c r="E677">
        <v>62</v>
      </c>
      <c r="F677">
        <v>18</v>
      </c>
      <c r="G677">
        <v>44</v>
      </c>
      <c r="H677" t="s">
        <v>3489</v>
      </c>
      <c r="I677" t="s">
        <v>3490</v>
      </c>
      <c r="J677" t="s">
        <v>2895</v>
      </c>
    </row>
    <row r="678" spans="1:10" x14ac:dyDescent="0.25">
      <c r="A678" t="s">
        <v>979</v>
      </c>
      <c r="B678" t="s">
        <v>30</v>
      </c>
      <c r="C678">
        <v>6</v>
      </c>
      <c r="D678" t="s">
        <v>3356</v>
      </c>
      <c r="E678">
        <v>71</v>
      </c>
      <c r="F678">
        <v>12</v>
      </c>
      <c r="G678">
        <v>59</v>
      </c>
      <c r="H678" t="s">
        <v>3494</v>
      </c>
      <c r="I678" t="s">
        <v>3490</v>
      </c>
      <c r="J678" t="s">
        <v>2895</v>
      </c>
    </row>
    <row r="679" spans="1:10" x14ac:dyDescent="0.25">
      <c r="A679" t="s">
        <v>979</v>
      </c>
      <c r="B679" t="s">
        <v>30</v>
      </c>
      <c r="C679">
        <v>6</v>
      </c>
      <c r="D679" t="s">
        <v>3358</v>
      </c>
      <c r="E679">
        <v>78</v>
      </c>
      <c r="F679">
        <v>12</v>
      </c>
      <c r="G679">
        <v>66</v>
      </c>
      <c r="H679" t="s">
        <v>3494</v>
      </c>
      <c r="I679" t="s">
        <v>3490</v>
      </c>
      <c r="J679" t="s">
        <v>2895</v>
      </c>
    </row>
    <row r="680" spans="1:10" x14ac:dyDescent="0.25">
      <c r="A680" t="s">
        <v>979</v>
      </c>
      <c r="B680" t="s">
        <v>30</v>
      </c>
      <c r="C680">
        <v>6</v>
      </c>
      <c r="D680" t="s">
        <v>3360</v>
      </c>
      <c r="E680">
        <v>92</v>
      </c>
      <c r="F680">
        <v>30</v>
      </c>
      <c r="G680">
        <v>62</v>
      </c>
      <c r="H680" t="s">
        <v>3495</v>
      </c>
      <c r="I680" t="s">
        <v>3490</v>
      </c>
      <c r="J680" t="s">
        <v>2895</v>
      </c>
    </row>
    <row r="681" spans="1:10" x14ac:dyDescent="0.25">
      <c r="A681" t="s">
        <v>979</v>
      </c>
      <c r="B681" t="s">
        <v>30</v>
      </c>
      <c r="C681">
        <v>6</v>
      </c>
      <c r="D681" t="s">
        <v>3362</v>
      </c>
      <c r="E681">
        <v>75</v>
      </c>
      <c r="F681">
        <v>24</v>
      </c>
      <c r="G681">
        <v>51</v>
      </c>
      <c r="H681" t="s">
        <v>3494</v>
      </c>
      <c r="I681" t="s">
        <v>3490</v>
      </c>
      <c r="J681" t="s">
        <v>2895</v>
      </c>
    </row>
    <row r="682" spans="1:10" x14ac:dyDescent="0.25">
      <c r="A682" t="s">
        <v>986</v>
      </c>
      <c r="B682" t="s">
        <v>122</v>
      </c>
      <c r="C682">
        <v>4</v>
      </c>
      <c r="D682" t="s">
        <v>3274</v>
      </c>
      <c r="E682">
        <v>83</v>
      </c>
      <c r="F682">
        <v>29</v>
      </c>
      <c r="G682">
        <v>54</v>
      </c>
      <c r="H682" t="s">
        <v>196</v>
      </c>
      <c r="I682" t="s">
        <v>3490</v>
      </c>
      <c r="J682" t="s">
        <v>2919</v>
      </c>
    </row>
    <row r="683" spans="1:10" x14ac:dyDescent="0.25">
      <c r="A683" t="s">
        <v>986</v>
      </c>
      <c r="B683" t="s">
        <v>122</v>
      </c>
      <c r="C683">
        <v>4</v>
      </c>
      <c r="D683" t="s">
        <v>3276</v>
      </c>
      <c r="E683">
        <v>69</v>
      </c>
      <c r="F683">
        <v>25</v>
      </c>
      <c r="G683">
        <v>44</v>
      </c>
      <c r="H683" t="s">
        <v>3489</v>
      </c>
      <c r="I683" t="s">
        <v>3490</v>
      </c>
      <c r="J683" t="s">
        <v>2919</v>
      </c>
    </row>
    <row r="684" spans="1:10" x14ac:dyDescent="0.25">
      <c r="A684" t="s">
        <v>986</v>
      </c>
      <c r="B684" t="s">
        <v>122</v>
      </c>
      <c r="C684">
        <v>4</v>
      </c>
      <c r="D684" t="s">
        <v>3278</v>
      </c>
      <c r="E684">
        <v>56</v>
      </c>
      <c r="F684">
        <v>27</v>
      </c>
      <c r="G684">
        <v>29</v>
      </c>
      <c r="H684" t="s">
        <v>3493</v>
      </c>
      <c r="I684" t="s">
        <v>3490</v>
      </c>
      <c r="J684" t="s">
        <v>2919</v>
      </c>
    </row>
    <row r="685" spans="1:10" x14ac:dyDescent="0.25">
      <c r="A685" t="s">
        <v>986</v>
      </c>
      <c r="B685" t="s">
        <v>122</v>
      </c>
      <c r="C685">
        <v>4</v>
      </c>
      <c r="D685" t="s">
        <v>3280</v>
      </c>
      <c r="E685">
        <v>85</v>
      </c>
      <c r="F685">
        <v>29</v>
      </c>
      <c r="G685">
        <v>56</v>
      </c>
      <c r="H685" t="s">
        <v>196</v>
      </c>
      <c r="I685" t="s">
        <v>3490</v>
      </c>
      <c r="J685" t="s">
        <v>2919</v>
      </c>
    </row>
    <row r="686" spans="1:10" x14ac:dyDescent="0.25">
      <c r="A686" t="s">
        <v>986</v>
      </c>
      <c r="B686" t="s">
        <v>122</v>
      </c>
      <c r="C686">
        <v>4</v>
      </c>
      <c r="D686" t="s">
        <v>3282</v>
      </c>
      <c r="E686">
        <v>75</v>
      </c>
      <c r="F686">
        <v>23</v>
      </c>
      <c r="G686">
        <v>52</v>
      </c>
      <c r="H686" t="s">
        <v>3494</v>
      </c>
      <c r="I686" t="s">
        <v>3490</v>
      </c>
      <c r="J686" t="s">
        <v>2919</v>
      </c>
    </row>
    <row r="687" spans="1:10" x14ac:dyDescent="0.25">
      <c r="A687" t="s">
        <v>992</v>
      </c>
      <c r="B687" t="s">
        <v>212</v>
      </c>
      <c r="C687">
        <v>6</v>
      </c>
      <c r="D687" t="s">
        <v>3474</v>
      </c>
      <c r="E687">
        <v>90</v>
      </c>
      <c r="F687">
        <v>25</v>
      </c>
      <c r="G687">
        <v>65</v>
      </c>
      <c r="H687" t="s">
        <v>3495</v>
      </c>
      <c r="I687" t="s">
        <v>3490</v>
      </c>
      <c r="J687" t="s">
        <v>3001</v>
      </c>
    </row>
    <row r="688" spans="1:10" x14ac:dyDescent="0.25">
      <c r="A688" t="s">
        <v>992</v>
      </c>
      <c r="B688" t="s">
        <v>212</v>
      </c>
      <c r="C688">
        <v>6</v>
      </c>
      <c r="D688" t="s">
        <v>3476</v>
      </c>
      <c r="E688">
        <v>42</v>
      </c>
      <c r="F688">
        <v>14</v>
      </c>
      <c r="G688">
        <v>28</v>
      </c>
      <c r="H688" t="s">
        <v>3491</v>
      </c>
      <c r="I688" t="s">
        <v>3492</v>
      </c>
      <c r="J688" t="s">
        <v>3001</v>
      </c>
    </row>
    <row r="689" spans="1:10" x14ac:dyDescent="0.25">
      <c r="A689" t="s">
        <v>992</v>
      </c>
      <c r="B689" t="s">
        <v>212</v>
      </c>
      <c r="C689">
        <v>6</v>
      </c>
      <c r="D689" t="s">
        <v>3478</v>
      </c>
      <c r="E689">
        <v>73</v>
      </c>
      <c r="F689">
        <v>20</v>
      </c>
      <c r="G689">
        <v>53</v>
      </c>
      <c r="H689" t="s">
        <v>3494</v>
      </c>
      <c r="I689" t="s">
        <v>3490</v>
      </c>
      <c r="J689" t="s">
        <v>3001</v>
      </c>
    </row>
    <row r="690" spans="1:10" x14ac:dyDescent="0.25">
      <c r="A690" t="s">
        <v>992</v>
      </c>
      <c r="B690" t="s">
        <v>212</v>
      </c>
      <c r="C690">
        <v>6</v>
      </c>
      <c r="D690" t="s">
        <v>3480</v>
      </c>
      <c r="E690">
        <v>60</v>
      </c>
      <c r="F690">
        <v>28</v>
      </c>
      <c r="G690">
        <v>32</v>
      </c>
      <c r="H690" t="s">
        <v>3489</v>
      </c>
      <c r="I690" t="s">
        <v>3490</v>
      </c>
      <c r="J690" t="s">
        <v>3001</v>
      </c>
    </row>
    <row r="691" spans="1:10" x14ac:dyDescent="0.25">
      <c r="A691" t="s">
        <v>992</v>
      </c>
      <c r="B691" t="s">
        <v>212</v>
      </c>
      <c r="C691">
        <v>6</v>
      </c>
      <c r="D691" t="s">
        <v>3482</v>
      </c>
      <c r="E691">
        <v>92</v>
      </c>
      <c r="F691">
        <v>25</v>
      </c>
      <c r="G691">
        <v>67</v>
      </c>
      <c r="H691" t="s">
        <v>3495</v>
      </c>
      <c r="I691" t="s">
        <v>3490</v>
      </c>
      <c r="J691" t="s">
        <v>3001</v>
      </c>
    </row>
    <row r="692" spans="1:10" x14ac:dyDescent="0.25">
      <c r="A692" t="s">
        <v>997</v>
      </c>
      <c r="B692" t="s">
        <v>105</v>
      </c>
      <c r="C692">
        <v>8</v>
      </c>
      <c r="D692" t="s">
        <v>3174</v>
      </c>
      <c r="E692">
        <v>81</v>
      </c>
      <c r="F692">
        <v>11</v>
      </c>
      <c r="G692">
        <v>70</v>
      </c>
      <c r="H692" t="s">
        <v>196</v>
      </c>
      <c r="I692" t="s">
        <v>3490</v>
      </c>
      <c r="J692" t="s">
        <v>2908</v>
      </c>
    </row>
    <row r="693" spans="1:10" x14ac:dyDescent="0.25">
      <c r="A693" t="s">
        <v>997</v>
      </c>
      <c r="B693" t="s">
        <v>105</v>
      </c>
      <c r="C693">
        <v>8</v>
      </c>
      <c r="D693" t="s">
        <v>3176</v>
      </c>
      <c r="E693">
        <v>84</v>
      </c>
      <c r="F693">
        <v>30</v>
      </c>
      <c r="G693">
        <v>54</v>
      </c>
      <c r="H693" t="s">
        <v>196</v>
      </c>
      <c r="I693" t="s">
        <v>3490</v>
      </c>
      <c r="J693" t="s">
        <v>2908</v>
      </c>
    </row>
    <row r="694" spans="1:10" x14ac:dyDescent="0.25">
      <c r="A694" t="s">
        <v>997</v>
      </c>
      <c r="B694" t="s">
        <v>105</v>
      </c>
      <c r="C694">
        <v>8</v>
      </c>
      <c r="D694" t="s">
        <v>3178</v>
      </c>
      <c r="E694">
        <v>83</v>
      </c>
      <c r="F694">
        <v>20</v>
      </c>
      <c r="G694">
        <v>63</v>
      </c>
      <c r="H694" t="s">
        <v>196</v>
      </c>
      <c r="I694" t="s">
        <v>3490</v>
      </c>
      <c r="J694" t="s">
        <v>2908</v>
      </c>
    </row>
    <row r="695" spans="1:10" x14ac:dyDescent="0.25">
      <c r="A695" t="s">
        <v>997</v>
      </c>
      <c r="B695" t="s">
        <v>105</v>
      </c>
      <c r="C695">
        <v>8</v>
      </c>
      <c r="D695" t="s">
        <v>3180</v>
      </c>
      <c r="E695">
        <v>46</v>
      </c>
      <c r="F695">
        <v>26</v>
      </c>
      <c r="G695">
        <v>20</v>
      </c>
      <c r="H695" t="s">
        <v>3491</v>
      </c>
      <c r="I695" t="s">
        <v>3492</v>
      </c>
      <c r="J695" t="s">
        <v>2908</v>
      </c>
    </row>
    <row r="696" spans="1:10" x14ac:dyDescent="0.25">
      <c r="A696" t="s">
        <v>997</v>
      </c>
      <c r="B696" t="s">
        <v>105</v>
      </c>
      <c r="C696">
        <v>8</v>
      </c>
      <c r="D696" t="s">
        <v>3182</v>
      </c>
      <c r="E696">
        <v>83</v>
      </c>
      <c r="F696">
        <v>22</v>
      </c>
      <c r="G696">
        <v>61</v>
      </c>
      <c r="H696" t="s">
        <v>196</v>
      </c>
      <c r="I696" t="s">
        <v>3490</v>
      </c>
      <c r="J696" t="s">
        <v>2908</v>
      </c>
    </row>
    <row r="697" spans="1:10" x14ac:dyDescent="0.25">
      <c r="A697" t="s">
        <v>1002</v>
      </c>
      <c r="B697" t="s">
        <v>75</v>
      </c>
      <c r="C697">
        <v>8</v>
      </c>
      <c r="D697" t="s">
        <v>3054</v>
      </c>
      <c r="E697">
        <v>78</v>
      </c>
      <c r="F697">
        <v>15</v>
      </c>
      <c r="G697">
        <v>63</v>
      </c>
      <c r="H697" t="s">
        <v>3494</v>
      </c>
      <c r="I697" t="s">
        <v>3490</v>
      </c>
      <c r="J697" t="s">
        <v>2961</v>
      </c>
    </row>
    <row r="698" spans="1:10" x14ac:dyDescent="0.25">
      <c r="A698" t="s">
        <v>1002</v>
      </c>
      <c r="B698" t="s">
        <v>75</v>
      </c>
      <c r="C698">
        <v>8</v>
      </c>
      <c r="D698" t="s">
        <v>3056</v>
      </c>
      <c r="E698">
        <v>100</v>
      </c>
      <c r="F698">
        <v>30</v>
      </c>
      <c r="G698">
        <v>70</v>
      </c>
      <c r="H698" t="s">
        <v>3495</v>
      </c>
      <c r="I698" t="s">
        <v>3490</v>
      </c>
      <c r="J698" t="s">
        <v>2961</v>
      </c>
    </row>
    <row r="699" spans="1:10" x14ac:dyDescent="0.25">
      <c r="A699" t="s">
        <v>1002</v>
      </c>
      <c r="B699" t="s">
        <v>75</v>
      </c>
      <c r="C699">
        <v>8</v>
      </c>
      <c r="D699" t="s">
        <v>3058</v>
      </c>
      <c r="E699">
        <v>60</v>
      </c>
      <c r="F699">
        <v>17</v>
      </c>
      <c r="G699">
        <v>43</v>
      </c>
      <c r="H699" t="s">
        <v>3489</v>
      </c>
      <c r="I699" t="s">
        <v>3490</v>
      </c>
      <c r="J699" t="s">
        <v>2961</v>
      </c>
    </row>
    <row r="700" spans="1:10" x14ac:dyDescent="0.25">
      <c r="A700" t="s">
        <v>1002</v>
      </c>
      <c r="B700" t="s">
        <v>75</v>
      </c>
      <c r="C700">
        <v>8</v>
      </c>
      <c r="D700" t="s">
        <v>3060</v>
      </c>
      <c r="E700">
        <v>75</v>
      </c>
      <c r="F700">
        <v>11</v>
      </c>
      <c r="G700">
        <v>64</v>
      </c>
      <c r="H700" t="s">
        <v>3494</v>
      </c>
      <c r="I700" t="s">
        <v>3490</v>
      </c>
      <c r="J700" t="s">
        <v>2961</v>
      </c>
    </row>
    <row r="701" spans="1:10" x14ac:dyDescent="0.25">
      <c r="A701" t="s">
        <v>1002</v>
      </c>
      <c r="B701" t="s">
        <v>75</v>
      </c>
      <c r="C701">
        <v>8</v>
      </c>
      <c r="D701" t="s">
        <v>3062</v>
      </c>
      <c r="E701">
        <v>39</v>
      </c>
      <c r="F701">
        <v>18</v>
      </c>
      <c r="G701">
        <v>21</v>
      </c>
      <c r="H701" t="s">
        <v>3491</v>
      </c>
      <c r="I701" t="s">
        <v>3492</v>
      </c>
      <c r="J701" t="s">
        <v>2961</v>
      </c>
    </row>
    <row r="702" spans="1:10" x14ac:dyDescent="0.25">
      <c r="A702" t="s">
        <v>1007</v>
      </c>
      <c r="B702" t="s">
        <v>75</v>
      </c>
      <c r="C702">
        <v>6</v>
      </c>
      <c r="D702" t="s">
        <v>3054</v>
      </c>
      <c r="E702">
        <v>89</v>
      </c>
      <c r="F702">
        <v>21</v>
      </c>
      <c r="G702">
        <v>68</v>
      </c>
      <c r="H702" t="s">
        <v>196</v>
      </c>
      <c r="I702" t="s">
        <v>3490</v>
      </c>
      <c r="J702" t="s">
        <v>2961</v>
      </c>
    </row>
    <row r="703" spans="1:10" x14ac:dyDescent="0.25">
      <c r="A703" t="s">
        <v>1007</v>
      </c>
      <c r="B703" t="s">
        <v>75</v>
      </c>
      <c r="C703">
        <v>6</v>
      </c>
      <c r="D703" t="s">
        <v>3056</v>
      </c>
      <c r="E703">
        <v>66</v>
      </c>
      <c r="F703">
        <v>22</v>
      </c>
      <c r="G703">
        <v>44</v>
      </c>
      <c r="H703" t="s">
        <v>3489</v>
      </c>
      <c r="I703" t="s">
        <v>3490</v>
      </c>
      <c r="J703" t="s">
        <v>2961</v>
      </c>
    </row>
    <row r="704" spans="1:10" x14ac:dyDescent="0.25">
      <c r="A704" t="s">
        <v>1007</v>
      </c>
      <c r="B704" t="s">
        <v>75</v>
      </c>
      <c r="C704">
        <v>6</v>
      </c>
      <c r="D704" t="s">
        <v>3058</v>
      </c>
      <c r="E704">
        <v>70</v>
      </c>
      <c r="F704">
        <v>29</v>
      </c>
      <c r="G704">
        <v>41</v>
      </c>
      <c r="H704" t="s">
        <v>3494</v>
      </c>
      <c r="I704" t="s">
        <v>3490</v>
      </c>
      <c r="J704" t="s">
        <v>2961</v>
      </c>
    </row>
    <row r="705" spans="1:10" x14ac:dyDescent="0.25">
      <c r="A705" t="s">
        <v>1007</v>
      </c>
      <c r="B705" t="s">
        <v>75</v>
      </c>
      <c r="C705">
        <v>6</v>
      </c>
      <c r="D705" t="s">
        <v>3060</v>
      </c>
      <c r="E705">
        <v>80</v>
      </c>
      <c r="F705">
        <v>24</v>
      </c>
      <c r="G705">
        <v>56</v>
      </c>
      <c r="H705" t="s">
        <v>196</v>
      </c>
      <c r="I705" t="s">
        <v>3490</v>
      </c>
      <c r="J705" t="s">
        <v>2961</v>
      </c>
    </row>
    <row r="706" spans="1:10" x14ac:dyDescent="0.25">
      <c r="A706" t="s">
        <v>1007</v>
      </c>
      <c r="B706" t="s">
        <v>75</v>
      </c>
      <c r="C706">
        <v>6</v>
      </c>
      <c r="D706" t="s">
        <v>3062</v>
      </c>
      <c r="E706">
        <v>32</v>
      </c>
      <c r="F706">
        <v>11</v>
      </c>
      <c r="G706">
        <v>21</v>
      </c>
      <c r="H706" t="s">
        <v>3491</v>
      </c>
      <c r="I706" t="s">
        <v>3492</v>
      </c>
      <c r="J706" t="s">
        <v>2961</v>
      </c>
    </row>
    <row r="707" spans="1:10" x14ac:dyDescent="0.25">
      <c r="A707" t="s">
        <v>1012</v>
      </c>
      <c r="B707" t="s">
        <v>63</v>
      </c>
      <c r="C707">
        <v>6</v>
      </c>
      <c r="D707" t="s">
        <v>3414</v>
      </c>
      <c r="E707">
        <v>43</v>
      </c>
      <c r="F707">
        <v>13</v>
      </c>
      <c r="G707">
        <v>30</v>
      </c>
      <c r="H707" t="s">
        <v>3491</v>
      </c>
      <c r="I707" t="s">
        <v>3492</v>
      </c>
      <c r="J707" t="s">
        <v>2932</v>
      </c>
    </row>
    <row r="708" spans="1:10" x14ac:dyDescent="0.25">
      <c r="A708" t="s">
        <v>1012</v>
      </c>
      <c r="B708" t="s">
        <v>63</v>
      </c>
      <c r="C708">
        <v>6</v>
      </c>
      <c r="D708" t="s">
        <v>3416</v>
      </c>
      <c r="E708">
        <v>72</v>
      </c>
      <c r="F708">
        <v>18</v>
      </c>
      <c r="G708">
        <v>54</v>
      </c>
      <c r="H708" t="s">
        <v>3494</v>
      </c>
      <c r="I708" t="s">
        <v>3490</v>
      </c>
      <c r="J708" t="s">
        <v>2932</v>
      </c>
    </row>
    <row r="709" spans="1:10" x14ac:dyDescent="0.25">
      <c r="A709" t="s">
        <v>1012</v>
      </c>
      <c r="B709" t="s">
        <v>63</v>
      </c>
      <c r="C709">
        <v>6</v>
      </c>
      <c r="D709" t="s">
        <v>3418</v>
      </c>
      <c r="E709">
        <v>84</v>
      </c>
      <c r="F709">
        <v>15</v>
      </c>
      <c r="G709">
        <v>69</v>
      </c>
      <c r="H709" t="s">
        <v>196</v>
      </c>
      <c r="I709" t="s">
        <v>3490</v>
      </c>
      <c r="J709" t="s">
        <v>2932</v>
      </c>
    </row>
    <row r="710" spans="1:10" x14ac:dyDescent="0.25">
      <c r="A710" t="s">
        <v>1012</v>
      </c>
      <c r="B710" t="s">
        <v>63</v>
      </c>
      <c r="C710">
        <v>6</v>
      </c>
      <c r="D710" t="s">
        <v>3420</v>
      </c>
      <c r="E710">
        <v>63</v>
      </c>
      <c r="F710">
        <v>20</v>
      </c>
      <c r="G710">
        <v>43</v>
      </c>
      <c r="H710" t="s">
        <v>3489</v>
      </c>
      <c r="I710" t="s">
        <v>3490</v>
      </c>
      <c r="J710" t="s">
        <v>2932</v>
      </c>
    </row>
    <row r="711" spans="1:10" x14ac:dyDescent="0.25">
      <c r="A711" t="s">
        <v>1012</v>
      </c>
      <c r="B711" t="s">
        <v>63</v>
      </c>
      <c r="C711">
        <v>6</v>
      </c>
      <c r="D711" t="s">
        <v>3422</v>
      </c>
      <c r="E711">
        <v>54</v>
      </c>
      <c r="F711">
        <v>18</v>
      </c>
      <c r="G711">
        <v>36</v>
      </c>
      <c r="H711" t="s">
        <v>3493</v>
      </c>
      <c r="I711" t="s">
        <v>3490</v>
      </c>
      <c r="J711" t="s">
        <v>2932</v>
      </c>
    </row>
    <row r="712" spans="1:10" x14ac:dyDescent="0.25">
      <c r="A712" t="s">
        <v>1017</v>
      </c>
      <c r="B712" t="s">
        <v>30</v>
      </c>
      <c r="C712">
        <v>8</v>
      </c>
      <c r="D712" t="s">
        <v>3354</v>
      </c>
      <c r="E712">
        <v>68</v>
      </c>
      <c r="F712">
        <v>15</v>
      </c>
      <c r="G712">
        <v>53</v>
      </c>
      <c r="H712" t="s">
        <v>3489</v>
      </c>
      <c r="I712" t="s">
        <v>3490</v>
      </c>
      <c r="J712" t="s">
        <v>2895</v>
      </c>
    </row>
    <row r="713" spans="1:10" x14ac:dyDescent="0.25">
      <c r="A713" t="s">
        <v>1017</v>
      </c>
      <c r="B713" t="s">
        <v>30</v>
      </c>
      <c r="C713">
        <v>8</v>
      </c>
      <c r="D713" t="s">
        <v>3356</v>
      </c>
      <c r="E713">
        <v>71</v>
      </c>
      <c r="F713">
        <v>22</v>
      </c>
      <c r="G713">
        <v>49</v>
      </c>
      <c r="H713" t="s">
        <v>3494</v>
      </c>
      <c r="I713" t="s">
        <v>3490</v>
      </c>
      <c r="J713" t="s">
        <v>2895</v>
      </c>
    </row>
    <row r="714" spans="1:10" x14ac:dyDescent="0.25">
      <c r="A714" t="s">
        <v>1017</v>
      </c>
      <c r="B714" t="s">
        <v>30</v>
      </c>
      <c r="C714">
        <v>8</v>
      </c>
      <c r="D714" t="s">
        <v>3358</v>
      </c>
      <c r="E714">
        <v>73</v>
      </c>
      <c r="F714">
        <v>28</v>
      </c>
      <c r="G714">
        <v>45</v>
      </c>
      <c r="H714" t="s">
        <v>3494</v>
      </c>
      <c r="I714" t="s">
        <v>3490</v>
      </c>
      <c r="J714" t="s">
        <v>2895</v>
      </c>
    </row>
    <row r="715" spans="1:10" x14ac:dyDescent="0.25">
      <c r="A715" t="s">
        <v>1017</v>
      </c>
      <c r="B715" t="s">
        <v>30</v>
      </c>
      <c r="C715">
        <v>8</v>
      </c>
      <c r="D715" t="s">
        <v>3360</v>
      </c>
      <c r="E715">
        <v>44</v>
      </c>
      <c r="F715">
        <v>16</v>
      </c>
      <c r="G715">
        <v>28</v>
      </c>
      <c r="H715" t="s">
        <v>3491</v>
      </c>
      <c r="I715" t="s">
        <v>3492</v>
      </c>
      <c r="J715" t="s">
        <v>2895</v>
      </c>
    </row>
    <row r="716" spans="1:10" x14ac:dyDescent="0.25">
      <c r="A716" t="s">
        <v>1017</v>
      </c>
      <c r="B716" t="s">
        <v>30</v>
      </c>
      <c r="C716">
        <v>8</v>
      </c>
      <c r="D716" t="s">
        <v>3362</v>
      </c>
      <c r="E716">
        <v>80</v>
      </c>
      <c r="F716">
        <v>21</v>
      </c>
      <c r="G716">
        <v>59</v>
      </c>
      <c r="H716" t="s">
        <v>196</v>
      </c>
      <c r="I716" t="s">
        <v>3490</v>
      </c>
      <c r="J716" t="s">
        <v>2895</v>
      </c>
    </row>
    <row r="717" spans="1:10" x14ac:dyDescent="0.25">
      <c r="A717" t="s">
        <v>1023</v>
      </c>
      <c r="B717" t="s">
        <v>159</v>
      </c>
      <c r="C717">
        <v>8</v>
      </c>
      <c r="D717" t="s">
        <v>3114</v>
      </c>
      <c r="E717">
        <v>50</v>
      </c>
      <c r="F717">
        <v>19</v>
      </c>
      <c r="G717">
        <v>31</v>
      </c>
      <c r="H717" t="s">
        <v>3493</v>
      </c>
      <c r="I717" t="s">
        <v>3490</v>
      </c>
      <c r="J717" t="s">
        <v>2902</v>
      </c>
    </row>
    <row r="718" spans="1:10" x14ac:dyDescent="0.25">
      <c r="A718" t="s">
        <v>1023</v>
      </c>
      <c r="B718" t="s">
        <v>159</v>
      </c>
      <c r="C718">
        <v>8</v>
      </c>
      <c r="D718" t="s">
        <v>3116</v>
      </c>
      <c r="E718">
        <v>65</v>
      </c>
      <c r="F718">
        <v>30</v>
      </c>
      <c r="G718">
        <v>35</v>
      </c>
      <c r="H718" t="s">
        <v>3489</v>
      </c>
      <c r="I718" t="s">
        <v>3490</v>
      </c>
      <c r="J718" t="s">
        <v>2902</v>
      </c>
    </row>
    <row r="719" spans="1:10" x14ac:dyDescent="0.25">
      <c r="A719" t="s">
        <v>1023</v>
      </c>
      <c r="B719" t="s">
        <v>159</v>
      </c>
      <c r="C719">
        <v>8</v>
      </c>
      <c r="D719" t="s">
        <v>3118</v>
      </c>
      <c r="E719">
        <v>58</v>
      </c>
      <c r="F719">
        <v>30</v>
      </c>
      <c r="G719">
        <v>28</v>
      </c>
      <c r="H719" t="s">
        <v>3493</v>
      </c>
      <c r="I719" t="s">
        <v>3490</v>
      </c>
      <c r="J719" t="s">
        <v>2902</v>
      </c>
    </row>
    <row r="720" spans="1:10" x14ac:dyDescent="0.25">
      <c r="A720" t="s">
        <v>1023</v>
      </c>
      <c r="B720" t="s">
        <v>159</v>
      </c>
      <c r="C720">
        <v>8</v>
      </c>
      <c r="D720" t="s">
        <v>3120</v>
      </c>
      <c r="E720">
        <v>94</v>
      </c>
      <c r="F720">
        <v>27</v>
      </c>
      <c r="G720">
        <v>67</v>
      </c>
      <c r="H720" t="s">
        <v>3495</v>
      </c>
      <c r="I720" t="s">
        <v>3490</v>
      </c>
      <c r="J720" t="s">
        <v>2902</v>
      </c>
    </row>
    <row r="721" spans="1:10" x14ac:dyDescent="0.25">
      <c r="A721" t="s">
        <v>1023</v>
      </c>
      <c r="B721" t="s">
        <v>159</v>
      </c>
      <c r="C721">
        <v>8</v>
      </c>
      <c r="D721" t="s">
        <v>3122</v>
      </c>
      <c r="E721">
        <v>65</v>
      </c>
      <c r="F721">
        <v>28</v>
      </c>
      <c r="G721">
        <v>37</v>
      </c>
      <c r="H721" t="s">
        <v>3489</v>
      </c>
      <c r="I721" t="s">
        <v>3490</v>
      </c>
      <c r="J721" t="s">
        <v>2902</v>
      </c>
    </row>
    <row r="722" spans="1:10" x14ac:dyDescent="0.25">
      <c r="A722" t="s">
        <v>1028</v>
      </c>
      <c r="B722" t="s">
        <v>75</v>
      </c>
      <c r="C722">
        <v>8</v>
      </c>
      <c r="D722" t="s">
        <v>3054</v>
      </c>
      <c r="E722">
        <v>56</v>
      </c>
      <c r="F722">
        <v>22</v>
      </c>
      <c r="G722">
        <v>34</v>
      </c>
      <c r="H722" t="s">
        <v>3493</v>
      </c>
      <c r="I722" t="s">
        <v>3490</v>
      </c>
      <c r="J722" t="s">
        <v>2961</v>
      </c>
    </row>
    <row r="723" spans="1:10" x14ac:dyDescent="0.25">
      <c r="A723" t="s">
        <v>1028</v>
      </c>
      <c r="B723" t="s">
        <v>75</v>
      </c>
      <c r="C723">
        <v>8</v>
      </c>
      <c r="D723" t="s">
        <v>3056</v>
      </c>
      <c r="E723">
        <v>70</v>
      </c>
      <c r="F723">
        <v>16</v>
      </c>
      <c r="G723">
        <v>54</v>
      </c>
      <c r="H723" t="s">
        <v>3494</v>
      </c>
      <c r="I723" t="s">
        <v>3490</v>
      </c>
      <c r="J723" t="s">
        <v>2961</v>
      </c>
    </row>
    <row r="724" spans="1:10" x14ac:dyDescent="0.25">
      <c r="A724" t="s">
        <v>1028</v>
      </c>
      <c r="B724" t="s">
        <v>75</v>
      </c>
      <c r="C724">
        <v>8</v>
      </c>
      <c r="D724" t="s">
        <v>3058</v>
      </c>
      <c r="E724">
        <v>54</v>
      </c>
      <c r="F724">
        <v>28</v>
      </c>
      <c r="G724">
        <v>26</v>
      </c>
      <c r="H724" t="s">
        <v>3493</v>
      </c>
      <c r="I724" t="s">
        <v>3490</v>
      </c>
      <c r="J724" t="s">
        <v>2961</v>
      </c>
    </row>
    <row r="725" spans="1:10" x14ac:dyDescent="0.25">
      <c r="A725" t="s">
        <v>1028</v>
      </c>
      <c r="B725" t="s">
        <v>75</v>
      </c>
      <c r="C725">
        <v>8</v>
      </c>
      <c r="D725" t="s">
        <v>3060</v>
      </c>
      <c r="E725">
        <v>65</v>
      </c>
      <c r="F725">
        <v>20</v>
      </c>
      <c r="G725">
        <v>45</v>
      </c>
      <c r="H725" t="s">
        <v>3489</v>
      </c>
      <c r="I725" t="s">
        <v>3490</v>
      </c>
      <c r="J725" t="s">
        <v>2961</v>
      </c>
    </row>
    <row r="726" spans="1:10" x14ac:dyDescent="0.25">
      <c r="A726" t="s">
        <v>1028</v>
      </c>
      <c r="B726" t="s">
        <v>75</v>
      </c>
      <c r="C726">
        <v>8</v>
      </c>
      <c r="D726" t="s">
        <v>3062</v>
      </c>
      <c r="E726">
        <v>51</v>
      </c>
      <c r="F726">
        <v>15</v>
      </c>
      <c r="G726">
        <v>36</v>
      </c>
      <c r="H726" t="s">
        <v>3493</v>
      </c>
      <c r="I726" t="s">
        <v>3490</v>
      </c>
      <c r="J726" t="s">
        <v>2961</v>
      </c>
    </row>
    <row r="727" spans="1:10" x14ac:dyDescent="0.25">
      <c r="A727" t="s">
        <v>1036</v>
      </c>
      <c r="B727" t="s">
        <v>212</v>
      </c>
      <c r="C727">
        <v>8</v>
      </c>
      <c r="D727" t="s">
        <v>3474</v>
      </c>
      <c r="E727">
        <v>75</v>
      </c>
      <c r="F727">
        <v>12</v>
      </c>
      <c r="G727">
        <v>63</v>
      </c>
      <c r="H727" t="s">
        <v>3494</v>
      </c>
      <c r="I727" t="s">
        <v>3490</v>
      </c>
      <c r="J727" t="s">
        <v>3001</v>
      </c>
    </row>
    <row r="728" spans="1:10" x14ac:dyDescent="0.25">
      <c r="A728" t="s">
        <v>1036</v>
      </c>
      <c r="B728" t="s">
        <v>212</v>
      </c>
      <c r="C728">
        <v>8</v>
      </c>
      <c r="D728" t="s">
        <v>3476</v>
      </c>
      <c r="E728">
        <v>51</v>
      </c>
      <c r="F728">
        <v>20</v>
      </c>
      <c r="G728">
        <v>31</v>
      </c>
      <c r="H728" t="s">
        <v>3493</v>
      </c>
      <c r="I728" t="s">
        <v>3490</v>
      </c>
      <c r="J728" t="s">
        <v>3001</v>
      </c>
    </row>
    <row r="729" spans="1:10" x14ac:dyDescent="0.25">
      <c r="A729" t="s">
        <v>1036</v>
      </c>
      <c r="B729" t="s">
        <v>212</v>
      </c>
      <c r="C729">
        <v>8</v>
      </c>
      <c r="D729" t="s">
        <v>3478</v>
      </c>
      <c r="E729">
        <v>95</v>
      </c>
      <c r="F729">
        <v>27</v>
      </c>
      <c r="G729">
        <v>68</v>
      </c>
      <c r="H729" t="s">
        <v>3495</v>
      </c>
      <c r="I729" t="s">
        <v>3490</v>
      </c>
      <c r="J729" t="s">
        <v>3001</v>
      </c>
    </row>
    <row r="730" spans="1:10" x14ac:dyDescent="0.25">
      <c r="A730" t="s">
        <v>1036</v>
      </c>
      <c r="B730" t="s">
        <v>212</v>
      </c>
      <c r="C730">
        <v>8</v>
      </c>
      <c r="D730" t="s">
        <v>3480</v>
      </c>
      <c r="E730">
        <v>86</v>
      </c>
      <c r="F730">
        <v>20</v>
      </c>
      <c r="G730">
        <v>66</v>
      </c>
      <c r="H730" t="s">
        <v>196</v>
      </c>
      <c r="I730" t="s">
        <v>3490</v>
      </c>
      <c r="J730" t="s">
        <v>3001</v>
      </c>
    </row>
    <row r="731" spans="1:10" x14ac:dyDescent="0.25">
      <c r="A731" t="s">
        <v>1036</v>
      </c>
      <c r="B731" t="s">
        <v>212</v>
      </c>
      <c r="C731">
        <v>8</v>
      </c>
      <c r="D731" t="s">
        <v>3482</v>
      </c>
      <c r="E731">
        <v>56</v>
      </c>
      <c r="F731">
        <v>25</v>
      </c>
      <c r="G731">
        <v>31</v>
      </c>
      <c r="H731" t="s">
        <v>3493</v>
      </c>
      <c r="I731" t="s">
        <v>3490</v>
      </c>
      <c r="J731" t="s">
        <v>3001</v>
      </c>
    </row>
    <row r="732" spans="1:10" x14ac:dyDescent="0.25">
      <c r="A732" t="s">
        <v>1041</v>
      </c>
      <c r="B732" t="s">
        <v>105</v>
      </c>
      <c r="C732">
        <v>8</v>
      </c>
      <c r="D732" t="s">
        <v>3174</v>
      </c>
      <c r="E732">
        <v>64</v>
      </c>
      <c r="F732">
        <v>20</v>
      </c>
      <c r="G732">
        <v>44</v>
      </c>
      <c r="H732" t="s">
        <v>3489</v>
      </c>
      <c r="I732" t="s">
        <v>3490</v>
      </c>
      <c r="J732" t="s">
        <v>2908</v>
      </c>
    </row>
    <row r="733" spans="1:10" x14ac:dyDescent="0.25">
      <c r="A733" t="s">
        <v>1041</v>
      </c>
      <c r="B733" t="s">
        <v>105</v>
      </c>
      <c r="C733">
        <v>8</v>
      </c>
      <c r="D733" t="s">
        <v>3176</v>
      </c>
      <c r="E733">
        <v>71</v>
      </c>
      <c r="F733">
        <v>15</v>
      </c>
      <c r="G733">
        <v>56</v>
      </c>
      <c r="H733" t="s">
        <v>3494</v>
      </c>
      <c r="I733" t="s">
        <v>3490</v>
      </c>
      <c r="J733" t="s">
        <v>2908</v>
      </c>
    </row>
    <row r="734" spans="1:10" x14ac:dyDescent="0.25">
      <c r="A734" t="s">
        <v>1041</v>
      </c>
      <c r="B734" t="s">
        <v>105</v>
      </c>
      <c r="C734">
        <v>8</v>
      </c>
      <c r="D734" t="s">
        <v>3178</v>
      </c>
      <c r="E734">
        <v>60</v>
      </c>
      <c r="F734">
        <v>15</v>
      </c>
      <c r="G734">
        <v>45</v>
      </c>
      <c r="H734" t="s">
        <v>3489</v>
      </c>
      <c r="I734" t="s">
        <v>3490</v>
      </c>
      <c r="J734" t="s">
        <v>2908</v>
      </c>
    </row>
    <row r="735" spans="1:10" x14ac:dyDescent="0.25">
      <c r="A735" t="s">
        <v>1041</v>
      </c>
      <c r="B735" t="s">
        <v>105</v>
      </c>
      <c r="C735">
        <v>8</v>
      </c>
      <c r="D735" t="s">
        <v>3180</v>
      </c>
      <c r="E735">
        <v>62</v>
      </c>
      <c r="F735">
        <v>28</v>
      </c>
      <c r="G735">
        <v>34</v>
      </c>
      <c r="H735" t="s">
        <v>3489</v>
      </c>
      <c r="I735" t="s">
        <v>3490</v>
      </c>
      <c r="J735" t="s">
        <v>2908</v>
      </c>
    </row>
    <row r="736" spans="1:10" x14ac:dyDescent="0.25">
      <c r="A736" t="s">
        <v>1041</v>
      </c>
      <c r="B736" t="s">
        <v>105</v>
      </c>
      <c r="C736">
        <v>8</v>
      </c>
      <c r="D736" t="s">
        <v>3182</v>
      </c>
      <c r="E736">
        <v>58</v>
      </c>
      <c r="F736">
        <v>17</v>
      </c>
      <c r="G736">
        <v>41</v>
      </c>
      <c r="H736" t="s">
        <v>3493</v>
      </c>
      <c r="I736" t="s">
        <v>3490</v>
      </c>
      <c r="J736" t="s">
        <v>2908</v>
      </c>
    </row>
    <row r="737" spans="1:10" x14ac:dyDescent="0.25">
      <c r="A737" t="s">
        <v>1048</v>
      </c>
      <c r="B737" t="s">
        <v>159</v>
      </c>
      <c r="C737">
        <v>8</v>
      </c>
      <c r="D737" t="s">
        <v>3114</v>
      </c>
      <c r="E737">
        <v>84</v>
      </c>
      <c r="F737">
        <v>26</v>
      </c>
      <c r="G737">
        <v>58</v>
      </c>
      <c r="H737" t="s">
        <v>196</v>
      </c>
      <c r="I737" t="s">
        <v>3490</v>
      </c>
      <c r="J737" t="s">
        <v>2902</v>
      </c>
    </row>
    <row r="738" spans="1:10" x14ac:dyDescent="0.25">
      <c r="A738" t="s">
        <v>1048</v>
      </c>
      <c r="B738" t="s">
        <v>159</v>
      </c>
      <c r="C738">
        <v>8</v>
      </c>
      <c r="D738" t="s">
        <v>3116</v>
      </c>
      <c r="E738">
        <v>47</v>
      </c>
      <c r="F738">
        <v>21</v>
      </c>
      <c r="G738">
        <v>26</v>
      </c>
      <c r="H738" t="s">
        <v>3491</v>
      </c>
      <c r="I738" t="s">
        <v>3492</v>
      </c>
      <c r="J738" t="s">
        <v>2902</v>
      </c>
    </row>
    <row r="739" spans="1:10" x14ac:dyDescent="0.25">
      <c r="A739" t="s">
        <v>1048</v>
      </c>
      <c r="B739" t="s">
        <v>159</v>
      </c>
      <c r="C739">
        <v>8</v>
      </c>
      <c r="D739" t="s">
        <v>3118</v>
      </c>
      <c r="E739">
        <v>69</v>
      </c>
      <c r="F739">
        <v>17</v>
      </c>
      <c r="G739">
        <v>52</v>
      </c>
      <c r="H739" t="s">
        <v>3489</v>
      </c>
      <c r="I739" t="s">
        <v>3490</v>
      </c>
      <c r="J739" t="s">
        <v>2902</v>
      </c>
    </row>
    <row r="740" spans="1:10" x14ac:dyDescent="0.25">
      <c r="A740" t="s">
        <v>1048</v>
      </c>
      <c r="B740" t="s">
        <v>159</v>
      </c>
      <c r="C740">
        <v>8</v>
      </c>
      <c r="D740" t="s">
        <v>3120</v>
      </c>
      <c r="E740">
        <v>68</v>
      </c>
      <c r="F740">
        <v>13</v>
      </c>
      <c r="G740">
        <v>55</v>
      </c>
      <c r="H740" t="s">
        <v>3489</v>
      </c>
      <c r="I740" t="s">
        <v>3490</v>
      </c>
      <c r="J740" t="s">
        <v>2902</v>
      </c>
    </row>
    <row r="741" spans="1:10" x14ac:dyDescent="0.25">
      <c r="A741" t="s">
        <v>1048</v>
      </c>
      <c r="B741" t="s">
        <v>159</v>
      </c>
      <c r="C741">
        <v>8</v>
      </c>
      <c r="D741" t="s">
        <v>3122</v>
      </c>
      <c r="E741">
        <v>65</v>
      </c>
      <c r="F741">
        <v>22</v>
      </c>
      <c r="G741">
        <v>43</v>
      </c>
      <c r="H741" t="s">
        <v>3489</v>
      </c>
      <c r="I741" t="s">
        <v>3490</v>
      </c>
      <c r="J741" t="s">
        <v>2902</v>
      </c>
    </row>
    <row r="742" spans="1:10" x14ac:dyDescent="0.25">
      <c r="A742" t="s">
        <v>1053</v>
      </c>
      <c r="B742" t="s">
        <v>30</v>
      </c>
      <c r="C742">
        <v>4</v>
      </c>
      <c r="D742" t="s">
        <v>3334</v>
      </c>
      <c r="E742">
        <v>42</v>
      </c>
      <c r="F742">
        <v>21</v>
      </c>
      <c r="G742">
        <v>21</v>
      </c>
      <c r="H742" t="s">
        <v>3491</v>
      </c>
      <c r="I742" t="s">
        <v>3492</v>
      </c>
      <c r="J742" t="s">
        <v>2895</v>
      </c>
    </row>
    <row r="743" spans="1:10" x14ac:dyDescent="0.25">
      <c r="A743" t="s">
        <v>1053</v>
      </c>
      <c r="B743" t="s">
        <v>30</v>
      </c>
      <c r="C743">
        <v>4</v>
      </c>
      <c r="D743" t="s">
        <v>3336</v>
      </c>
      <c r="E743">
        <v>81</v>
      </c>
      <c r="F743">
        <v>30</v>
      </c>
      <c r="G743">
        <v>51</v>
      </c>
      <c r="H743" t="s">
        <v>196</v>
      </c>
      <c r="I743" t="s">
        <v>3490</v>
      </c>
      <c r="J743" t="s">
        <v>2895</v>
      </c>
    </row>
    <row r="744" spans="1:10" x14ac:dyDescent="0.25">
      <c r="A744" t="s">
        <v>1053</v>
      </c>
      <c r="B744" t="s">
        <v>30</v>
      </c>
      <c r="C744">
        <v>4</v>
      </c>
      <c r="D744" t="s">
        <v>3338</v>
      </c>
      <c r="E744">
        <v>62</v>
      </c>
      <c r="F744">
        <v>26</v>
      </c>
      <c r="G744">
        <v>36</v>
      </c>
      <c r="H744" t="s">
        <v>3489</v>
      </c>
      <c r="I744" t="s">
        <v>3490</v>
      </c>
      <c r="J744" t="s">
        <v>2895</v>
      </c>
    </row>
    <row r="745" spans="1:10" x14ac:dyDescent="0.25">
      <c r="A745" t="s">
        <v>1053</v>
      </c>
      <c r="B745" t="s">
        <v>30</v>
      </c>
      <c r="C745">
        <v>4</v>
      </c>
      <c r="D745" t="s">
        <v>3340</v>
      </c>
      <c r="E745">
        <v>77</v>
      </c>
      <c r="F745">
        <v>22</v>
      </c>
      <c r="G745">
        <v>55</v>
      </c>
      <c r="H745" t="s">
        <v>3494</v>
      </c>
      <c r="I745" t="s">
        <v>3490</v>
      </c>
      <c r="J745" t="s">
        <v>2895</v>
      </c>
    </row>
    <row r="746" spans="1:10" x14ac:dyDescent="0.25">
      <c r="A746" t="s">
        <v>1053</v>
      </c>
      <c r="B746" t="s">
        <v>30</v>
      </c>
      <c r="C746">
        <v>4</v>
      </c>
      <c r="D746" t="s">
        <v>3342</v>
      </c>
      <c r="E746">
        <v>41</v>
      </c>
      <c r="F746">
        <v>20</v>
      </c>
      <c r="G746">
        <v>21</v>
      </c>
      <c r="H746" t="s">
        <v>3491</v>
      </c>
      <c r="I746" t="s">
        <v>3492</v>
      </c>
      <c r="J746" t="s">
        <v>2895</v>
      </c>
    </row>
    <row r="747" spans="1:10" x14ac:dyDescent="0.25">
      <c r="A747" t="s">
        <v>1060</v>
      </c>
      <c r="B747" t="s">
        <v>75</v>
      </c>
      <c r="C747">
        <v>6</v>
      </c>
      <c r="D747" t="s">
        <v>3054</v>
      </c>
      <c r="E747">
        <v>69</v>
      </c>
      <c r="F747">
        <v>29</v>
      </c>
      <c r="G747">
        <v>40</v>
      </c>
      <c r="H747" t="s">
        <v>3489</v>
      </c>
      <c r="I747" t="s">
        <v>3490</v>
      </c>
      <c r="J747" t="s">
        <v>2961</v>
      </c>
    </row>
    <row r="748" spans="1:10" x14ac:dyDescent="0.25">
      <c r="A748" t="s">
        <v>1060</v>
      </c>
      <c r="B748" t="s">
        <v>75</v>
      </c>
      <c r="C748">
        <v>6</v>
      </c>
      <c r="D748" t="s">
        <v>3056</v>
      </c>
      <c r="E748">
        <v>94</v>
      </c>
      <c r="F748">
        <v>25</v>
      </c>
      <c r="G748">
        <v>69</v>
      </c>
      <c r="H748" t="s">
        <v>3495</v>
      </c>
      <c r="I748" t="s">
        <v>3490</v>
      </c>
      <c r="J748" t="s">
        <v>2961</v>
      </c>
    </row>
    <row r="749" spans="1:10" x14ac:dyDescent="0.25">
      <c r="A749" t="s">
        <v>1060</v>
      </c>
      <c r="B749" t="s">
        <v>75</v>
      </c>
      <c r="C749">
        <v>6</v>
      </c>
      <c r="D749" t="s">
        <v>3058</v>
      </c>
      <c r="E749">
        <v>55</v>
      </c>
      <c r="F749">
        <v>19</v>
      </c>
      <c r="G749">
        <v>36</v>
      </c>
      <c r="H749" t="s">
        <v>3493</v>
      </c>
      <c r="I749" t="s">
        <v>3490</v>
      </c>
      <c r="J749" t="s">
        <v>2961</v>
      </c>
    </row>
    <row r="750" spans="1:10" x14ac:dyDescent="0.25">
      <c r="A750" t="s">
        <v>1060</v>
      </c>
      <c r="B750" t="s">
        <v>75</v>
      </c>
      <c r="C750">
        <v>6</v>
      </c>
      <c r="D750" t="s">
        <v>3060</v>
      </c>
      <c r="E750">
        <v>37</v>
      </c>
      <c r="F750">
        <v>17</v>
      </c>
      <c r="G750">
        <v>20</v>
      </c>
      <c r="H750" t="s">
        <v>3491</v>
      </c>
      <c r="I750" t="s">
        <v>3492</v>
      </c>
      <c r="J750" t="s">
        <v>2961</v>
      </c>
    </row>
    <row r="751" spans="1:10" x14ac:dyDescent="0.25">
      <c r="A751" t="s">
        <v>1060</v>
      </c>
      <c r="B751" t="s">
        <v>75</v>
      </c>
      <c r="C751">
        <v>6</v>
      </c>
      <c r="D751" t="s">
        <v>3062</v>
      </c>
      <c r="E751">
        <v>55</v>
      </c>
      <c r="F751">
        <v>16</v>
      </c>
      <c r="G751">
        <v>39</v>
      </c>
      <c r="H751" t="s">
        <v>3493</v>
      </c>
      <c r="I751" t="s">
        <v>3490</v>
      </c>
      <c r="J751" t="s">
        <v>2961</v>
      </c>
    </row>
    <row r="752" spans="1:10" x14ac:dyDescent="0.25">
      <c r="A752" t="s">
        <v>1066</v>
      </c>
      <c r="B752" t="s">
        <v>75</v>
      </c>
      <c r="C752">
        <v>6</v>
      </c>
      <c r="D752" t="s">
        <v>3054</v>
      </c>
      <c r="E752">
        <v>89</v>
      </c>
      <c r="F752">
        <v>30</v>
      </c>
      <c r="G752">
        <v>59</v>
      </c>
      <c r="H752" t="s">
        <v>196</v>
      </c>
      <c r="I752" t="s">
        <v>3490</v>
      </c>
      <c r="J752" t="s">
        <v>2961</v>
      </c>
    </row>
    <row r="753" spans="1:10" x14ac:dyDescent="0.25">
      <c r="A753" t="s">
        <v>1066</v>
      </c>
      <c r="B753" t="s">
        <v>75</v>
      </c>
      <c r="C753">
        <v>6</v>
      </c>
      <c r="D753" t="s">
        <v>3056</v>
      </c>
      <c r="E753">
        <v>76</v>
      </c>
      <c r="F753">
        <v>13</v>
      </c>
      <c r="G753">
        <v>63</v>
      </c>
      <c r="H753" t="s">
        <v>3494</v>
      </c>
      <c r="I753" t="s">
        <v>3490</v>
      </c>
      <c r="J753" t="s">
        <v>2961</v>
      </c>
    </row>
    <row r="754" spans="1:10" x14ac:dyDescent="0.25">
      <c r="A754" t="s">
        <v>1066</v>
      </c>
      <c r="B754" t="s">
        <v>75</v>
      </c>
      <c r="C754">
        <v>6</v>
      </c>
      <c r="D754" t="s">
        <v>3058</v>
      </c>
      <c r="E754">
        <v>82</v>
      </c>
      <c r="F754">
        <v>26</v>
      </c>
      <c r="G754">
        <v>56</v>
      </c>
      <c r="H754" t="s">
        <v>196</v>
      </c>
      <c r="I754" t="s">
        <v>3490</v>
      </c>
      <c r="J754" t="s">
        <v>2961</v>
      </c>
    </row>
    <row r="755" spans="1:10" x14ac:dyDescent="0.25">
      <c r="A755" t="s">
        <v>1066</v>
      </c>
      <c r="B755" t="s">
        <v>75</v>
      </c>
      <c r="C755">
        <v>6</v>
      </c>
      <c r="D755" t="s">
        <v>3060</v>
      </c>
      <c r="E755">
        <v>39</v>
      </c>
      <c r="F755">
        <v>12</v>
      </c>
      <c r="G755">
        <v>27</v>
      </c>
      <c r="H755" t="s">
        <v>3491</v>
      </c>
      <c r="I755" t="s">
        <v>3492</v>
      </c>
      <c r="J755" t="s">
        <v>2961</v>
      </c>
    </row>
    <row r="756" spans="1:10" x14ac:dyDescent="0.25">
      <c r="A756" t="s">
        <v>1066</v>
      </c>
      <c r="B756" t="s">
        <v>75</v>
      </c>
      <c r="C756">
        <v>6</v>
      </c>
      <c r="D756" t="s">
        <v>3062</v>
      </c>
      <c r="E756">
        <v>83</v>
      </c>
      <c r="F756">
        <v>25</v>
      </c>
      <c r="G756">
        <v>58</v>
      </c>
      <c r="H756" t="s">
        <v>196</v>
      </c>
      <c r="I756" t="s">
        <v>3490</v>
      </c>
      <c r="J756" t="s">
        <v>2961</v>
      </c>
    </row>
    <row r="757" spans="1:10" x14ac:dyDescent="0.25">
      <c r="A757" t="s">
        <v>1072</v>
      </c>
      <c r="B757" t="s">
        <v>95</v>
      </c>
      <c r="C757">
        <v>8</v>
      </c>
      <c r="D757" t="s">
        <v>3234</v>
      </c>
      <c r="E757">
        <v>55</v>
      </c>
      <c r="F757">
        <v>25</v>
      </c>
      <c r="G757">
        <v>30</v>
      </c>
      <c r="H757" t="s">
        <v>3493</v>
      </c>
      <c r="I757" t="s">
        <v>3490</v>
      </c>
      <c r="J757" t="s">
        <v>2889</v>
      </c>
    </row>
    <row r="758" spans="1:10" x14ac:dyDescent="0.25">
      <c r="A758" t="s">
        <v>1072</v>
      </c>
      <c r="B758" t="s">
        <v>95</v>
      </c>
      <c r="C758">
        <v>8</v>
      </c>
      <c r="D758" t="s">
        <v>3236</v>
      </c>
      <c r="E758">
        <v>43</v>
      </c>
      <c r="F758">
        <v>11</v>
      </c>
      <c r="G758">
        <v>32</v>
      </c>
      <c r="H758" t="s">
        <v>3491</v>
      </c>
      <c r="I758" t="s">
        <v>3492</v>
      </c>
      <c r="J758" t="s">
        <v>2889</v>
      </c>
    </row>
    <row r="759" spans="1:10" x14ac:dyDescent="0.25">
      <c r="A759" t="s">
        <v>1072</v>
      </c>
      <c r="B759" t="s">
        <v>95</v>
      </c>
      <c r="C759">
        <v>8</v>
      </c>
      <c r="D759" t="s">
        <v>3238</v>
      </c>
      <c r="E759">
        <v>91</v>
      </c>
      <c r="F759">
        <v>26</v>
      </c>
      <c r="G759">
        <v>65</v>
      </c>
      <c r="H759" t="s">
        <v>3495</v>
      </c>
      <c r="I759" t="s">
        <v>3490</v>
      </c>
      <c r="J759" t="s">
        <v>2889</v>
      </c>
    </row>
    <row r="760" spans="1:10" x14ac:dyDescent="0.25">
      <c r="A760" t="s">
        <v>1072</v>
      </c>
      <c r="B760" t="s">
        <v>95</v>
      </c>
      <c r="C760">
        <v>8</v>
      </c>
      <c r="D760" t="s">
        <v>3240</v>
      </c>
      <c r="E760">
        <v>77</v>
      </c>
      <c r="F760">
        <v>20</v>
      </c>
      <c r="G760">
        <v>57</v>
      </c>
      <c r="H760" t="s">
        <v>3494</v>
      </c>
      <c r="I760" t="s">
        <v>3490</v>
      </c>
      <c r="J760" t="s">
        <v>2889</v>
      </c>
    </row>
    <row r="761" spans="1:10" x14ac:dyDescent="0.25">
      <c r="A761" t="s">
        <v>1072</v>
      </c>
      <c r="B761" t="s">
        <v>95</v>
      </c>
      <c r="C761">
        <v>8</v>
      </c>
      <c r="D761" t="s">
        <v>3242</v>
      </c>
      <c r="E761">
        <v>54</v>
      </c>
      <c r="F761">
        <v>17</v>
      </c>
      <c r="G761">
        <v>37</v>
      </c>
      <c r="H761" t="s">
        <v>3493</v>
      </c>
      <c r="I761" t="s">
        <v>3490</v>
      </c>
      <c r="J761" t="s">
        <v>2889</v>
      </c>
    </row>
    <row r="762" spans="1:10" x14ac:dyDescent="0.25">
      <c r="A762" t="s">
        <v>1077</v>
      </c>
      <c r="B762" t="s">
        <v>63</v>
      </c>
      <c r="C762">
        <v>4</v>
      </c>
      <c r="D762" t="s">
        <v>3394</v>
      </c>
      <c r="E762">
        <v>36</v>
      </c>
      <c r="F762">
        <v>11</v>
      </c>
      <c r="G762">
        <v>25</v>
      </c>
      <c r="H762" t="s">
        <v>3491</v>
      </c>
      <c r="I762" t="s">
        <v>3492</v>
      </c>
      <c r="J762" t="s">
        <v>2932</v>
      </c>
    </row>
    <row r="763" spans="1:10" x14ac:dyDescent="0.25">
      <c r="A763" t="s">
        <v>1077</v>
      </c>
      <c r="B763" t="s">
        <v>63</v>
      </c>
      <c r="C763">
        <v>4</v>
      </c>
      <c r="D763" t="s">
        <v>3396</v>
      </c>
      <c r="E763">
        <v>54</v>
      </c>
      <c r="F763">
        <v>21</v>
      </c>
      <c r="G763">
        <v>33</v>
      </c>
      <c r="H763" t="s">
        <v>3493</v>
      </c>
      <c r="I763" t="s">
        <v>3490</v>
      </c>
      <c r="J763" t="s">
        <v>2932</v>
      </c>
    </row>
    <row r="764" spans="1:10" x14ac:dyDescent="0.25">
      <c r="A764" t="s">
        <v>1077</v>
      </c>
      <c r="B764" t="s">
        <v>63</v>
      </c>
      <c r="C764">
        <v>4</v>
      </c>
      <c r="D764" t="s">
        <v>3398</v>
      </c>
      <c r="E764">
        <v>61</v>
      </c>
      <c r="F764">
        <v>22</v>
      </c>
      <c r="G764">
        <v>39</v>
      </c>
      <c r="H764" t="s">
        <v>3489</v>
      </c>
      <c r="I764" t="s">
        <v>3490</v>
      </c>
      <c r="J764" t="s">
        <v>2932</v>
      </c>
    </row>
    <row r="765" spans="1:10" x14ac:dyDescent="0.25">
      <c r="A765" t="s">
        <v>1077</v>
      </c>
      <c r="B765" t="s">
        <v>63</v>
      </c>
      <c r="C765">
        <v>4</v>
      </c>
      <c r="D765" t="s">
        <v>3400</v>
      </c>
      <c r="E765">
        <v>52</v>
      </c>
      <c r="F765">
        <v>12</v>
      </c>
      <c r="G765">
        <v>40</v>
      </c>
      <c r="H765" t="s">
        <v>3493</v>
      </c>
      <c r="I765" t="s">
        <v>3490</v>
      </c>
      <c r="J765" t="s">
        <v>2932</v>
      </c>
    </row>
    <row r="766" spans="1:10" x14ac:dyDescent="0.25">
      <c r="A766" t="s">
        <v>1077</v>
      </c>
      <c r="B766" t="s">
        <v>63</v>
      </c>
      <c r="C766">
        <v>4</v>
      </c>
      <c r="D766" t="s">
        <v>3402</v>
      </c>
      <c r="E766">
        <v>68</v>
      </c>
      <c r="F766">
        <v>19</v>
      </c>
      <c r="G766">
        <v>49</v>
      </c>
      <c r="H766" t="s">
        <v>3489</v>
      </c>
      <c r="I766" t="s">
        <v>3490</v>
      </c>
      <c r="J766" t="s">
        <v>2932</v>
      </c>
    </row>
    <row r="767" spans="1:10" x14ac:dyDescent="0.25">
      <c r="A767" t="s">
        <v>1084</v>
      </c>
      <c r="B767" t="s">
        <v>159</v>
      </c>
      <c r="C767">
        <v>6</v>
      </c>
      <c r="D767" t="s">
        <v>3114</v>
      </c>
      <c r="E767">
        <v>53</v>
      </c>
      <c r="F767">
        <v>13</v>
      </c>
      <c r="G767">
        <v>40</v>
      </c>
      <c r="H767" t="s">
        <v>3493</v>
      </c>
      <c r="I767" t="s">
        <v>3490</v>
      </c>
      <c r="J767" t="s">
        <v>2902</v>
      </c>
    </row>
    <row r="768" spans="1:10" x14ac:dyDescent="0.25">
      <c r="A768" t="s">
        <v>1084</v>
      </c>
      <c r="B768" t="s">
        <v>159</v>
      </c>
      <c r="C768">
        <v>6</v>
      </c>
      <c r="D768" t="s">
        <v>3116</v>
      </c>
      <c r="E768">
        <v>52</v>
      </c>
      <c r="F768">
        <v>20</v>
      </c>
      <c r="G768">
        <v>32</v>
      </c>
      <c r="H768" t="s">
        <v>3493</v>
      </c>
      <c r="I768" t="s">
        <v>3490</v>
      </c>
      <c r="J768" t="s">
        <v>2902</v>
      </c>
    </row>
    <row r="769" spans="1:10" x14ac:dyDescent="0.25">
      <c r="A769" t="s">
        <v>1084</v>
      </c>
      <c r="B769" t="s">
        <v>159</v>
      </c>
      <c r="C769">
        <v>6</v>
      </c>
      <c r="D769" t="s">
        <v>3118</v>
      </c>
      <c r="E769">
        <v>46</v>
      </c>
      <c r="F769">
        <v>13</v>
      </c>
      <c r="G769">
        <v>33</v>
      </c>
      <c r="H769" t="s">
        <v>3491</v>
      </c>
      <c r="I769" t="s">
        <v>3492</v>
      </c>
      <c r="J769" t="s">
        <v>2902</v>
      </c>
    </row>
    <row r="770" spans="1:10" x14ac:dyDescent="0.25">
      <c r="A770" t="s">
        <v>1084</v>
      </c>
      <c r="B770" t="s">
        <v>159</v>
      </c>
      <c r="C770">
        <v>6</v>
      </c>
      <c r="D770" t="s">
        <v>3120</v>
      </c>
      <c r="E770">
        <v>58</v>
      </c>
      <c r="F770">
        <v>15</v>
      </c>
      <c r="G770">
        <v>43</v>
      </c>
      <c r="H770" t="s">
        <v>3493</v>
      </c>
      <c r="I770" t="s">
        <v>3490</v>
      </c>
      <c r="J770" t="s">
        <v>2902</v>
      </c>
    </row>
    <row r="771" spans="1:10" x14ac:dyDescent="0.25">
      <c r="A771" t="s">
        <v>1084</v>
      </c>
      <c r="B771" t="s">
        <v>159</v>
      </c>
      <c r="C771">
        <v>6</v>
      </c>
      <c r="D771" t="s">
        <v>3122</v>
      </c>
      <c r="E771">
        <v>62</v>
      </c>
      <c r="F771">
        <v>29</v>
      </c>
      <c r="G771">
        <v>33</v>
      </c>
      <c r="H771" t="s">
        <v>3489</v>
      </c>
      <c r="I771" t="s">
        <v>3490</v>
      </c>
      <c r="J771" t="s">
        <v>2902</v>
      </c>
    </row>
    <row r="772" spans="1:10" x14ac:dyDescent="0.25">
      <c r="A772" t="s">
        <v>1090</v>
      </c>
      <c r="B772" t="s">
        <v>30</v>
      </c>
      <c r="C772">
        <v>6</v>
      </c>
      <c r="D772" t="s">
        <v>3354</v>
      </c>
      <c r="E772">
        <v>73</v>
      </c>
      <c r="F772">
        <v>23</v>
      </c>
      <c r="G772">
        <v>50</v>
      </c>
      <c r="H772" t="s">
        <v>3494</v>
      </c>
      <c r="I772" t="s">
        <v>3490</v>
      </c>
      <c r="J772" t="s">
        <v>2895</v>
      </c>
    </row>
    <row r="773" spans="1:10" x14ac:dyDescent="0.25">
      <c r="A773" t="s">
        <v>1090</v>
      </c>
      <c r="B773" t="s">
        <v>30</v>
      </c>
      <c r="C773">
        <v>6</v>
      </c>
      <c r="D773" t="s">
        <v>3356</v>
      </c>
      <c r="E773">
        <v>52</v>
      </c>
      <c r="F773">
        <v>26</v>
      </c>
      <c r="G773">
        <v>26</v>
      </c>
      <c r="H773" t="s">
        <v>3493</v>
      </c>
      <c r="I773" t="s">
        <v>3490</v>
      </c>
      <c r="J773" t="s">
        <v>2895</v>
      </c>
    </row>
    <row r="774" spans="1:10" x14ac:dyDescent="0.25">
      <c r="A774" t="s">
        <v>1090</v>
      </c>
      <c r="B774" t="s">
        <v>30</v>
      </c>
      <c r="C774">
        <v>6</v>
      </c>
      <c r="D774" t="s">
        <v>3358</v>
      </c>
      <c r="E774">
        <v>64</v>
      </c>
      <c r="F774">
        <v>17</v>
      </c>
      <c r="G774">
        <v>47</v>
      </c>
      <c r="H774" t="s">
        <v>3489</v>
      </c>
      <c r="I774" t="s">
        <v>3490</v>
      </c>
      <c r="J774" t="s">
        <v>2895</v>
      </c>
    </row>
    <row r="775" spans="1:10" x14ac:dyDescent="0.25">
      <c r="A775" t="s">
        <v>1090</v>
      </c>
      <c r="B775" t="s">
        <v>30</v>
      </c>
      <c r="C775">
        <v>6</v>
      </c>
      <c r="D775" t="s">
        <v>3360</v>
      </c>
      <c r="E775">
        <v>64</v>
      </c>
      <c r="F775">
        <v>24</v>
      </c>
      <c r="G775">
        <v>40</v>
      </c>
      <c r="H775" t="s">
        <v>3489</v>
      </c>
      <c r="I775" t="s">
        <v>3490</v>
      </c>
      <c r="J775" t="s">
        <v>2895</v>
      </c>
    </row>
    <row r="776" spans="1:10" x14ac:dyDescent="0.25">
      <c r="A776" t="s">
        <v>1090</v>
      </c>
      <c r="B776" t="s">
        <v>30</v>
      </c>
      <c r="C776">
        <v>6</v>
      </c>
      <c r="D776" t="s">
        <v>3362</v>
      </c>
      <c r="E776">
        <v>32</v>
      </c>
      <c r="F776">
        <v>11</v>
      </c>
      <c r="G776">
        <v>21</v>
      </c>
      <c r="H776" t="s">
        <v>3491</v>
      </c>
      <c r="I776" t="s">
        <v>3492</v>
      </c>
      <c r="J776" t="s">
        <v>2895</v>
      </c>
    </row>
    <row r="777" spans="1:10" x14ac:dyDescent="0.25">
      <c r="A777" t="s">
        <v>1095</v>
      </c>
      <c r="B777" t="s">
        <v>122</v>
      </c>
      <c r="C777">
        <v>8</v>
      </c>
      <c r="D777" t="s">
        <v>3294</v>
      </c>
      <c r="E777">
        <v>66</v>
      </c>
      <c r="F777">
        <v>29</v>
      </c>
      <c r="G777">
        <v>37</v>
      </c>
      <c r="H777" t="s">
        <v>3489</v>
      </c>
      <c r="I777" t="s">
        <v>3490</v>
      </c>
      <c r="J777" t="s">
        <v>2919</v>
      </c>
    </row>
    <row r="778" spans="1:10" x14ac:dyDescent="0.25">
      <c r="A778" t="s">
        <v>1095</v>
      </c>
      <c r="B778" t="s">
        <v>122</v>
      </c>
      <c r="C778">
        <v>8</v>
      </c>
      <c r="D778" t="s">
        <v>3296</v>
      </c>
      <c r="E778">
        <v>78</v>
      </c>
      <c r="F778">
        <v>14</v>
      </c>
      <c r="G778">
        <v>64</v>
      </c>
      <c r="H778" t="s">
        <v>3494</v>
      </c>
      <c r="I778" t="s">
        <v>3490</v>
      </c>
      <c r="J778" t="s">
        <v>2919</v>
      </c>
    </row>
    <row r="779" spans="1:10" x14ac:dyDescent="0.25">
      <c r="A779" t="s">
        <v>1095</v>
      </c>
      <c r="B779" t="s">
        <v>122</v>
      </c>
      <c r="C779">
        <v>8</v>
      </c>
      <c r="D779" t="s">
        <v>3298</v>
      </c>
      <c r="E779">
        <v>56</v>
      </c>
      <c r="F779">
        <v>30</v>
      </c>
      <c r="G779">
        <v>26</v>
      </c>
      <c r="H779" t="s">
        <v>3493</v>
      </c>
      <c r="I779" t="s">
        <v>3490</v>
      </c>
      <c r="J779" t="s">
        <v>2919</v>
      </c>
    </row>
    <row r="780" spans="1:10" x14ac:dyDescent="0.25">
      <c r="A780" t="s">
        <v>1095</v>
      </c>
      <c r="B780" t="s">
        <v>122</v>
      </c>
      <c r="C780">
        <v>8</v>
      </c>
      <c r="D780" t="s">
        <v>3300</v>
      </c>
      <c r="E780">
        <v>88</v>
      </c>
      <c r="F780">
        <v>19</v>
      </c>
      <c r="G780">
        <v>69</v>
      </c>
      <c r="H780" t="s">
        <v>196</v>
      </c>
      <c r="I780" t="s">
        <v>3490</v>
      </c>
      <c r="J780" t="s">
        <v>2919</v>
      </c>
    </row>
    <row r="781" spans="1:10" x14ac:dyDescent="0.25">
      <c r="A781" t="s">
        <v>1095</v>
      </c>
      <c r="B781" t="s">
        <v>122</v>
      </c>
      <c r="C781">
        <v>8</v>
      </c>
      <c r="D781" t="s">
        <v>3302</v>
      </c>
      <c r="E781">
        <v>34</v>
      </c>
      <c r="F781">
        <v>12</v>
      </c>
      <c r="G781">
        <v>22</v>
      </c>
      <c r="H781" t="s">
        <v>3491</v>
      </c>
      <c r="I781" t="s">
        <v>3492</v>
      </c>
      <c r="J781" t="s">
        <v>2919</v>
      </c>
    </row>
    <row r="782" spans="1:10" x14ac:dyDescent="0.25">
      <c r="A782" t="s">
        <v>1100</v>
      </c>
      <c r="B782" t="s">
        <v>63</v>
      </c>
      <c r="C782">
        <v>8</v>
      </c>
      <c r="D782" t="s">
        <v>3414</v>
      </c>
      <c r="E782">
        <v>52</v>
      </c>
      <c r="F782">
        <v>21</v>
      </c>
      <c r="G782">
        <v>31</v>
      </c>
      <c r="H782" t="s">
        <v>3493</v>
      </c>
      <c r="I782" t="s">
        <v>3490</v>
      </c>
      <c r="J782" t="s">
        <v>2932</v>
      </c>
    </row>
    <row r="783" spans="1:10" x14ac:dyDescent="0.25">
      <c r="A783" t="s">
        <v>1100</v>
      </c>
      <c r="B783" t="s">
        <v>63</v>
      </c>
      <c r="C783">
        <v>8</v>
      </c>
      <c r="D783" t="s">
        <v>3416</v>
      </c>
      <c r="E783">
        <v>68</v>
      </c>
      <c r="F783">
        <v>24</v>
      </c>
      <c r="G783">
        <v>44</v>
      </c>
      <c r="H783" t="s">
        <v>3489</v>
      </c>
      <c r="I783" t="s">
        <v>3490</v>
      </c>
      <c r="J783" t="s">
        <v>2932</v>
      </c>
    </row>
    <row r="784" spans="1:10" x14ac:dyDescent="0.25">
      <c r="A784" t="s">
        <v>1100</v>
      </c>
      <c r="B784" t="s">
        <v>63</v>
      </c>
      <c r="C784">
        <v>8</v>
      </c>
      <c r="D784" t="s">
        <v>3418</v>
      </c>
      <c r="E784">
        <v>82</v>
      </c>
      <c r="F784">
        <v>29</v>
      </c>
      <c r="G784">
        <v>53</v>
      </c>
      <c r="H784" t="s">
        <v>196</v>
      </c>
      <c r="I784" t="s">
        <v>3490</v>
      </c>
      <c r="J784" t="s">
        <v>2932</v>
      </c>
    </row>
    <row r="785" spans="1:10" x14ac:dyDescent="0.25">
      <c r="A785" t="s">
        <v>1100</v>
      </c>
      <c r="B785" t="s">
        <v>63</v>
      </c>
      <c r="C785">
        <v>8</v>
      </c>
      <c r="D785" t="s">
        <v>3420</v>
      </c>
      <c r="E785">
        <v>77</v>
      </c>
      <c r="F785">
        <v>13</v>
      </c>
      <c r="G785">
        <v>64</v>
      </c>
      <c r="H785" t="s">
        <v>3494</v>
      </c>
      <c r="I785" t="s">
        <v>3490</v>
      </c>
      <c r="J785" t="s">
        <v>2932</v>
      </c>
    </row>
    <row r="786" spans="1:10" x14ac:dyDescent="0.25">
      <c r="A786" t="s">
        <v>1100</v>
      </c>
      <c r="B786" t="s">
        <v>63</v>
      </c>
      <c r="C786">
        <v>8</v>
      </c>
      <c r="D786" t="s">
        <v>3422</v>
      </c>
      <c r="E786">
        <v>81</v>
      </c>
      <c r="F786">
        <v>28</v>
      </c>
      <c r="G786">
        <v>53</v>
      </c>
      <c r="H786" t="s">
        <v>196</v>
      </c>
      <c r="I786" t="s">
        <v>3490</v>
      </c>
      <c r="J786" t="s">
        <v>2932</v>
      </c>
    </row>
    <row r="787" spans="1:10" x14ac:dyDescent="0.25">
      <c r="A787" t="s">
        <v>1105</v>
      </c>
      <c r="B787" t="s">
        <v>95</v>
      </c>
      <c r="C787">
        <v>8</v>
      </c>
      <c r="D787" t="s">
        <v>3234</v>
      </c>
      <c r="E787">
        <v>80</v>
      </c>
      <c r="F787">
        <v>25</v>
      </c>
      <c r="G787">
        <v>55</v>
      </c>
      <c r="H787" t="s">
        <v>196</v>
      </c>
      <c r="I787" t="s">
        <v>3490</v>
      </c>
      <c r="J787" t="s">
        <v>2889</v>
      </c>
    </row>
    <row r="788" spans="1:10" x14ac:dyDescent="0.25">
      <c r="A788" t="s">
        <v>1105</v>
      </c>
      <c r="B788" t="s">
        <v>95</v>
      </c>
      <c r="C788">
        <v>8</v>
      </c>
      <c r="D788" t="s">
        <v>3236</v>
      </c>
      <c r="E788">
        <v>69</v>
      </c>
      <c r="F788">
        <v>11</v>
      </c>
      <c r="G788">
        <v>58</v>
      </c>
      <c r="H788" t="s">
        <v>3489</v>
      </c>
      <c r="I788" t="s">
        <v>3490</v>
      </c>
      <c r="J788" t="s">
        <v>2889</v>
      </c>
    </row>
    <row r="789" spans="1:10" x14ac:dyDescent="0.25">
      <c r="A789" t="s">
        <v>1105</v>
      </c>
      <c r="B789" t="s">
        <v>95</v>
      </c>
      <c r="C789">
        <v>8</v>
      </c>
      <c r="D789" t="s">
        <v>3238</v>
      </c>
      <c r="E789">
        <v>82</v>
      </c>
      <c r="F789">
        <v>14</v>
      </c>
      <c r="G789">
        <v>68</v>
      </c>
      <c r="H789" t="s">
        <v>196</v>
      </c>
      <c r="I789" t="s">
        <v>3490</v>
      </c>
      <c r="J789" t="s">
        <v>2889</v>
      </c>
    </row>
    <row r="790" spans="1:10" x14ac:dyDescent="0.25">
      <c r="A790" t="s">
        <v>1105</v>
      </c>
      <c r="B790" t="s">
        <v>95</v>
      </c>
      <c r="C790">
        <v>8</v>
      </c>
      <c r="D790" t="s">
        <v>3240</v>
      </c>
      <c r="E790">
        <v>45</v>
      </c>
      <c r="F790">
        <v>25</v>
      </c>
      <c r="G790">
        <v>20</v>
      </c>
      <c r="H790" t="s">
        <v>3491</v>
      </c>
      <c r="I790" t="s">
        <v>3492</v>
      </c>
      <c r="J790" t="s">
        <v>2889</v>
      </c>
    </row>
    <row r="791" spans="1:10" x14ac:dyDescent="0.25">
      <c r="A791" t="s">
        <v>1105</v>
      </c>
      <c r="B791" t="s">
        <v>95</v>
      </c>
      <c r="C791">
        <v>8</v>
      </c>
      <c r="D791" t="s">
        <v>3242</v>
      </c>
      <c r="E791">
        <v>61</v>
      </c>
      <c r="F791">
        <v>18</v>
      </c>
      <c r="G791">
        <v>43</v>
      </c>
      <c r="H791" t="s">
        <v>3489</v>
      </c>
      <c r="I791" t="s">
        <v>3490</v>
      </c>
      <c r="J791" t="s">
        <v>2889</v>
      </c>
    </row>
    <row r="792" spans="1:10" x14ac:dyDescent="0.25">
      <c r="A792" t="s">
        <v>1110</v>
      </c>
      <c r="B792" t="s">
        <v>212</v>
      </c>
      <c r="C792">
        <v>6</v>
      </c>
      <c r="D792" t="s">
        <v>3474</v>
      </c>
      <c r="E792">
        <v>49</v>
      </c>
      <c r="F792">
        <v>14</v>
      </c>
      <c r="G792">
        <v>35</v>
      </c>
      <c r="H792" t="s">
        <v>3491</v>
      </c>
      <c r="I792" t="s">
        <v>3492</v>
      </c>
      <c r="J792" t="s">
        <v>3001</v>
      </c>
    </row>
    <row r="793" spans="1:10" x14ac:dyDescent="0.25">
      <c r="A793" t="s">
        <v>1110</v>
      </c>
      <c r="B793" t="s">
        <v>212</v>
      </c>
      <c r="C793">
        <v>6</v>
      </c>
      <c r="D793" t="s">
        <v>3476</v>
      </c>
      <c r="E793">
        <v>79</v>
      </c>
      <c r="F793">
        <v>26</v>
      </c>
      <c r="G793">
        <v>53</v>
      </c>
      <c r="H793" t="s">
        <v>3494</v>
      </c>
      <c r="I793" t="s">
        <v>3490</v>
      </c>
      <c r="J793" t="s">
        <v>3001</v>
      </c>
    </row>
    <row r="794" spans="1:10" x14ac:dyDescent="0.25">
      <c r="A794" t="s">
        <v>1110</v>
      </c>
      <c r="B794" t="s">
        <v>212</v>
      </c>
      <c r="C794">
        <v>6</v>
      </c>
      <c r="D794" t="s">
        <v>3478</v>
      </c>
      <c r="E794">
        <v>96</v>
      </c>
      <c r="F794">
        <v>27</v>
      </c>
      <c r="G794">
        <v>69</v>
      </c>
      <c r="H794" t="s">
        <v>3495</v>
      </c>
      <c r="I794" t="s">
        <v>3490</v>
      </c>
      <c r="J794" t="s">
        <v>3001</v>
      </c>
    </row>
    <row r="795" spans="1:10" x14ac:dyDescent="0.25">
      <c r="A795" t="s">
        <v>1110</v>
      </c>
      <c r="B795" t="s">
        <v>212</v>
      </c>
      <c r="C795">
        <v>6</v>
      </c>
      <c r="D795" t="s">
        <v>3480</v>
      </c>
      <c r="E795">
        <v>66</v>
      </c>
      <c r="F795">
        <v>21</v>
      </c>
      <c r="G795">
        <v>45</v>
      </c>
      <c r="H795" t="s">
        <v>3489</v>
      </c>
      <c r="I795" t="s">
        <v>3490</v>
      </c>
      <c r="J795" t="s">
        <v>3001</v>
      </c>
    </row>
    <row r="796" spans="1:10" x14ac:dyDescent="0.25">
      <c r="A796" t="s">
        <v>1110</v>
      </c>
      <c r="B796" t="s">
        <v>212</v>
      </c>
      <c r="C796">
        <v>6</v>
      </c>
      <c r="D796" t="s">
        <v>3482</v>
      </c>
      <c r="E796">
        <v>43</v>
      </c>
      <c r="F796">
        <v>15</v>
      </c>
      <c r="G796">
        <v>28</v>
      </c>
      <c r="H796" t="s">
        <v>3491</v>
      </c>
      <c r="I796" t="s">
        <v>3492</v>
      </c>
      <c r="J796" t="s">
        <v>3001</v>
      </c>
    </row>
    <row r="797" spans="1:10" x14ac:dyDescent="0.25">
      <c r="A797" t="s">
        <v>1116</v>
      </c>
      <c r="B797" t="s">
        <v>212</v>
      </c>
      <c r="C797">
        <v>6</v>
      </c>
      <c r="D797" t="s">
        <v>3474</v>
      </c>
      <c r="E797">
        <v>75</v>
      </c>
      <c r="F797">
        <v>20</v>
      </c>
      <c r="G797">
        <v>55</v>
      </c>
      <c r="H797" t="s">
        <v>3494</v>
      </c>
      <c r="I797" t="s">
        <v>3490</v>
      </c>
      <c r="J797" t="s">
        <v>3001</v>
      </c>
    </row>
    <row r="798" spans="1:10" x14ac:dyDescent="0.25">
      <c r="A798" t="s">
        <v>1116</v>
      </c>
      <c r="B798" t="s">
        <v>212</v>
      </c>
      <c r="C798">
        <v>6</v>
      </c>
      <c r="D798" t="s">
        <v>3476</v>
      </c>
      <c r="E798">
        <v>69</v>
      </c>
      <c r="F798">
        <v>23</v>
      </c>
      <c r="G798">
        <v>46</v>
      </c>
      <c r="H798" t="s">
        <v>3489</v>
      </c>
      <c r="I798" t="s">
        <v>3490</v>
      </c>
      <c r="J798" t="s">
        <v>3001</v>
      </c>
    </row>
    <row r="799" spans="1:10" x14ac:dyDescent="0.25">
      <c r="A799" t="s">
        <v>1116</v>
      </c>
      <c r="B799" t="s">
        <v>212</v>
      </c>
      <c r="C799">
        <v>6</v>
      </c>
      <c r="D799" t="s">
        <v>3478</v>
      </c>
      <c r="E799">
        <v>51</v>
      </c>
      <c r="F799">
        <v>11</v>
      </c>
      <c r="G799">
        <v>40</v>
      </c>
      <c r="H799" t="s">
        <v>3493</v>
      </c>
      <c r="I799" t="s">
        <v>3490</v>
      </c>
      <c r="J799" t="s">
        <v>3001</v>
      </c>
    </row>
    <row r="800" spans="1:10" x14ac:dyDescent="0.25">
      <c r="A800" t="s">
        <v>1116</v>
      </c>
      <c r="B800" t="s">
        <v>212</v>
      </c>
      <c r="C800">
        <v>6</v>
      </c>
      <c r="D800" t="s">
        <v>3480</v>
      </c>
      <c r="E800">
        <v>80</v>
      </c>
      <c r="F800">
        <v>28</v>
      </c>
      <c r="G800">
        <v>52</v>
      </c>
      <c r="H800" t="s">
        <v>196</v>
      </c>
      <c r="I800" t="s">
        <v>3490</v>
      </c>
      <c r="J800" t="s">
        <v>3001</v>
      </c>
    </row>
    <row r="801" spans="1:10" x14ac:dyDescent="0.25">
      <c r="A801" t="s">
        <v>1116</v>
      </c>
      <c r="B801" t="s">
        <v>212</v>
      </c>
      <c r="C801">
        <v>6</v>
      </c>
      <c r="D801" t="s">
        <v>3482</v>
      </c>
      <c r="E801">
        <v>93</v>
      </c>
      <c r="F801">
        <v>23</v>
      </c>
      <c r="G801">
        <v>70</v>
      </c>
      <c r="H801" t="s">
        <v>3495</v>
      </c>
      <c r="I801" t="s">
        <v>3490</v>
      </c>
      <c r="J801" t="s">
        <v>3001</v>
      </c>
    </row>
    <row r="802" spans="1:10" x14ac:dyDescent="0.25">
      <c r="A802" t="s">
        <v>1121</v>
      </c>
      <c r="B802" t="s">
        <v>159</v>
      </c>
      <c r="C802">
        <v>8</v>
      </c>
      <c r="D802" t="s">
        <v>3114</v>
      </c>
      <c r="E802">
        <v>78</v>
      </c>
      <c r="F802">
        <v>24</v>
      </c>
      <c r="G802">
        <v>54</v>
      </c>
      <c r="H802" t="s">
        <v>3494</v>
      </c>
      <c r="I802" t="s">
        <v>3490</v>
      </c>
      <c r="J802" t="s">
        <v>2902</v>
      </c>
    </row>
    <row r="803" spans="1:10" x14ac:dyDescent="0.25">
      <c r="A803" t="s">
        <v>1121</v>
      </c>
      <c r="B803" t="s">
        <v>159</v>
      </c>
      <c r="C803">
        <v>8</v>
      </c>
      <c r="D803" t="s">
        <v>3116</v>
      </c>
      <c r="E803">
        <v>61</v>
      </c>
      <c r="F803">
        <v>24</v>
      </c>
      <c r="G803">
        <v>37</v>
      </c>
      <c r="H803" t="s">
        <v>3489</v>
      </c>
      <c r="I803" t="s">
        <v>3490</v>
      </c>
      <c r="J803" t="s">
        <v>2902</v>
      </c>
    </row>
    <row r="804" spans="1:10" x14ac:dyDescent="0.25">
      <c r="A804" t="s">
        <v>1121</v>
      </c>
      <c r="B804" t="s">
        <v>159</v>
      </c>
      <c r="C804">
        <v>8</v>
      </c>
      <c r="D804" t="s">
        <v>3118</v>
      </c>
      <c r="E804">
        <v>49</v>
      </c>
      <c r="F804">
        <v>19</v>
      </c>
      <c r="G804">
        <v>30</v>
      </c>
      <c r="H804" t="s">
        <v>3491</v>
      </c>
      <c r="I804" t="s">
        <v>3492</v>
      </c>
      <c r="J804" t="s">
        <v>2902</v>
      </c>
    </row>
    <row r="805" spans="1:10" x14ac:dyDescent="0.25">
      <c r="A805" t="s">
        <v>1121</v>
      </c>
      <c r="B805" t="s">
        <v>159</v>
      </c>
      <c r="C805">
        <v>8</v>
      </c>
      <c r="D805" t="s">
        <v>3120</v>
      </c>
      <c r="E805">
        <v>65</v>
      </c>
      <c r="F805">
        <v>14</v>
      </c>
      <c r="G805">
        <v>51</v>
      </c>
      <c r="H805" t="s">
        <v>3489</v>
      </c>
      <c r="I805" t="s">
        <v>3490</v>
      </c>
      <c r="J805" t="s">
        <v>2902</v>
      </c>
    </row>
    <row r="806" spans="1:10" x14ac:dyDescent="0.25">
      <c r="A806" t="s">
        <v>1121</v>
      </c>
      <c r="B806" t="s">
        <v>159</v>
      </c>
      <c r="C806">
        <v>8</v>
      </c>
      <c r="D806" t="s">
        <v>3122</v>
      </c>
      <c r="E806">
        <v>72</v>
      </c>
      <c r="F806">
        <v>20</v>
      </c>
      <c r="G806">
        <v>52</v>
      </c>
      <c r="H806" t="s">
        <v>3494</v>
      </c>
      <c r="I806" t="s">
        <v>3490</v>
      </c>
      <c r="J806" t="s">
        <v>2902</v>
      </c>
    </row>
    <row r="807" spans="1:10" x14ac:dyDescent="0.25">
      <c r="A807" t="s">
        <v>1128</v>
      </c>
      <c r="B807" t="s">
        <v>122</v>
      </c>
      <c r="C807">
        <v>8</v>
      </c>
      <c r="D807" t="s">
        <v>3294</v>
      </c>
      <c r="E807">
        <v>87</v>
      </c>
      <c r="F807">
        <v>20</v>
      </c>
      <c r="G807">
        <v>67</v>
      </c>
      <c r="H807" t="s">
        <v>196</v>
      </c>
      <c r="I807" t="s">
        <v>3490</v>
      </c>
      <c r="J807" t="s">
        <v>2919</v>
      </c>
    </row>
    <row r="808" spans="1:10" x14ac:dyDescent="0.25">
      <c r="A808" t="s">
        <v>1128</v>
      </c>
      <c r="B808" t="s">
        <v>122</v>
      </c>
      <c r="C808">
        <v>8</v>
      </c>
      <c r="D808" t="s">
        <v>3296</v>
      </c>
      <c r="E808">
        <v>72</v>
      </c>
      <c r="F808">
        <v>18</v>
      </c>
      <c r="G808">
        <v>54</v>
      </c>
      <c r="H808" t="s">
        <v>3494</v>
      </c>
      <c r="I808" t="s">
        <v>3490</v>
      </c>
      <c r="J808" t="s">
        <v>2919</v>
      </c>
    </row>
    <row r="809" spans="1:10" x14ac:dyDescent="0.25">
      <c r="A809" t="s">
        <v>1128</v>
      </c>
      <c r="B809" t="s">
        <v>122</v>
      </c>
      <c r="C809">
        <v>8</v>
      </c>
      <c r="D809" t="s">
        <v>3298</v>
      </c>
      <c r="E809">
        <v>71</v>
      </c>
      <c r="F809">
        <v>30</v>
      </c>
      <c r="G809">
        <v>41</v>
      </c>
      <c r="H809" t="s">
        <v>3494</v>
      </c>
      <c r="I809" t="s">
        <v>3490</v>
      </c>
      <c r="J809" t="s">
        <v>2919</v>
      </c>
    </row>
    <row r="810" spans="1:10" x14ac:dyDescent="0.25">
      <c r="A810" t="s">
        <v>1128</v>
      </c>
      <c r="B810" t="s">
        <v>122</v>
      </c>
      <c r="C810">
        <v>8</v>
      </c>
      <c r="D810" t="s">
        <v>3300</v>
      </c>
      <c r="E810">
        <v>75</v>
      </c>
      <c r="F810">
        <v>28</v>
      </c>
      <c r="G810">
        <v>47</v>
      </c>
      <c r="H810" t="s">
        <v>3494</v>
      </c>
      <c r="I810" t="s">
        <v>3490</v>
      </c>
      <c r="J810" t="s">
        <v>2919</v>
      </c>
    </row>
    <row r="811" spans="1:10" x14ac:dyDescent="0.25">
      <c r="A811" t="s">
        <v>1128</v>
      </c>
      <c r="B811" t="s">
        <v>122</v>
      </c>
      <c r="C811">
        <v>8</v>
      </c>
      <c r="D811" t="s">
        <v>3302</v>
      </c>
      <c r="E811">
        <v>91</v>
      </c>
      <c r="F811">
        <v>21</v>
      </c>
      <c r="G811">
        <v>70</v>
      </c>
      <c r="H811" t="s">
        <v>3495</v>
      </c>
      <c r="I811" t="s">
        <v>3490</v>
      </c>
      <c r="J811" t="s">
        <v>2919</v>
      </c>
    </row>
    <row r="812" spans="1:10" x14ac:dyDescent="0.25">
      <c r="A812" t="s">
        <v>1135</v>
      </c>
      <c r="B812" t="s">
        <v>75</v>
      </c>
      <c r="C812">
        <v>8</v>
      </c>
      <c r="D812" t="s">
        <v>3054</v>
      </c>
      <c r="E812">
        <v>90</v>
      </c>
      <c r="F812">
        <v>20</v>
      </c>
      <c r="G812">
        <v>70</v>
      </c>
      <c r="H812" t="s">
        <v>3495</v>
      </c>
      <c r="I812" t="s">
        <v>3490</v>
      </c>
      <c r="J812" t="s">
        <v>2961</v>
      </c>
    </row>
    <row r="813" spans="1:10" x14ac:dyDescent="0.25">
      <c r="A813" t="s">
        <v>1135</v>
      </c>
      <c r="B813" t="s">
        <v>75</v>
      </c>
      <c r="C813">
        <v>8</v>
      </c>
      <c r="D813" t="s">
        <v>3056</v>
      </c>
      <c r="E813">
        <v>67</v>
      </c>
      <c r="F813">
        <v>29</v>
      </c>
      <c r="G813">
        <v>38</v>
      </c>
      <c r="H813" t="s">
        <v>3489</v>
      </c>
      <c r="I813" t="s">
        <v>3490</v>
      </c>
      <c r="J813" t="s">
        <v>2961</v>
      </c>
    </row>
    <row r="814" spans="1:10" x14ac:dyDescent="0.25">
      <c r="A814" t="s">
        <v>1135</v>
      </c>
      <c r="B814" t="s">
        <v>75</v>
      </c>
      <c r="C814">
        <v>8</v>
      </c>
      <c r="D814" t="s">
        <v>3058</v>
      </c>
      <c r="E814">
        <v>67</v>
      </c>
      <c r="F814">
        <v>15</v>
      </c>
      <c r="G814">
        <v>52</v>
      </c>
      <c r="H814" t="s">
        <v>3489</v>
      </c>
      <c r="I814" t="s">
        <v>3490</v>
      </c>
      <c r="J814" t="s">
        <v>2961</v>
      </c>
    </row>
    <row r="815" spans="1:10" x14ac:dyDescent="0.25">
      <c r="A815" t="s">
        <v>1135</v>
      </c>
      <c r="B815" t="s">
        <v>75</v>
      </c>
      <c r="C815">
        <v>8</v>
      </c>
      <c r="D815" t="s">
        <v>3060</v>
      </c>
      <c r="E815">
        <v>53</v>
      </c>
      <c r="F815">
        <v>14</v>
      </c>
      <c r="G815">
        <v>39</v>
      </c>
      <c r="H815" t="s">
        <v>3493</v>
      </c>
      <c r="I815" t="s">
        <v>3490</v>
      </c>
      <c r="J815" t="s">
        <v>2961</v>
      </c>
    </row>
    <row r="816" spans="1:10" x14ac:dyDescent="0.25">
      <c r="A816" t="s">
        <v>1135</v>
      </c>
      <c r="B816" t="s">
        <v>75</v>
      </c>
      <c r="C816">
        <v>8</v>
      </c>
      <c r="D816" t="s">
        <v>3062</v>
      </c>
      <c r="E816">
        <v>56</v>
      </c>
      <c r="F816">
        <v>29</v>
      </c>
      <c r="G816">
        <v>27</v>
      </c>
      <c r="H816" t="s">
        <v>3493</v>
      </c>
      <c r="I816" t="s">
        <v>3490</v>
      </c>
      <c r="J816" t="s">
        <v>2961</v>
      </c>
    </row>
    <row r="817" spans="1:10" x14ac:dyDescent="0.25">
      <c r="A817" t="s">
        <v>1140</v>
      </c>
      <c r="B817" t="s">
        <v>212</v>
      </c>
      <c r="C817">
        <v>8</v>
      </c>
      <c r="D817" t="s">
        <v>3474</v>
      </c>
      <c r="E817">
        <v>76</v>
      </c>
      <c r="F817">
        <v>12</v>
      </c>
      <c r="G817">
        <v>64</v>
      </c>
      <c r="H817" t="s">
        <v>3494</v>
      </c>
      <c r="I817" t="s">
        <v>3490</v>
      </c>
      <c r="J817" t="s">
        <v>3001</v>
      </c>
    </row>
    <row r="818" spans="1:10" x14ac:dyDescent="0.25">
      <c r="A818" t="s">
        <v>1140</v>
      </c>
      <c r="B818" t="s">
        <v>212</v>
      </c>
      <c r="C818">
        <v>8</v>
      </c>
      <c r="D818" t="s">
        <v>3476</v>
      </c>
      <c r="E818">
        <v>64</v>
      </c>
      <c r="F818">
        <v>23</v>
      </c>
      <c r="G818">
        <v>41</v>
      </c>
      <c r="H818" t="s">
        <v>3489</v>
      </c>
      <c r="I818" t="s">
        <v>3490</v>
      </c>
      <c r="J818" t="s">
        <v>3001</v>
      </c>
    </row>
    <row r="819" spans="1:10" x14ac:dyDescent="0.25">
      <c r="A819" t="s">
        <v>1140</v>
      </c>
      <c r="B819" t="s">
        <v>212</v>
      </c>
      <c r="C819">
        <v>8</v>
      </c>
      <c r="D819" t="s">
        <v>3478</v>
      </c>
      <c r="E819">
        <v>38</v>
      </c>
      <c r="F819">
        <v>10</v>
      </c>
      <c r="G819">
        <v>28</v>
      </c>
      <c r="H819" t="s">
        <v>3491</v>
      </c>
      <c r="I819" t="s">
        <v>3492</v>
      </c>
      <c r="J819" t="s">
        <v>3001</v>
      </c>
    </row>
    <row r="820" spans="1:10" x14ac:dyDescent="0.25">
      <c r="A820" t="s">
        <v>1140</v>
      </c>
      <c r="B820" t="s">
        <v>212</v>
      </c>
      <c r="C820">
        <v>8</v>
      </c>
      <c r="D820" t="s">
        <v>3480</v>
      </c>
      <c r="E820">
        <v>32</v>
      </c>
      <c r="F820">
        <v>10</v>
      </c>
      <c r="G820">
        <v>22</v>
      </c>
      <c r="H820" t="s">
        <v>3491</v>
      </c>
      <c r="I820" t="s">
        <v>3492</v>
      </c>
      <c r="J820" t="s">
        <v>3001</v>
      </c>
    </row>
    <row r="821" spans="1:10" x14ac:dyDescent="0.25">
      <c r="A821" t="s">
        <v>1140</v>
      </c>
      <c r="B821" t="s">
        <v>212</v>
      </c>
      <c r="C821">
        <v>8</v>
      </c>
      <c r="D821" t="s">
        <v>3482</v>
      </c>
      <c r="E821">
        <v>40</v>
      </c>
      <c r="F821">
        <v>11</v>
      </c>
      <c r="G821">
        <v>29</v>
      </c>
      <c r="H821" t="s">
        <v>3491</v>
      </c>
      <c r="I821" t="s">
        <v>3492</v>
      </c>
      <c r="J821" t="s">
        <v>3001</v>
      </c>
    </row>
    <row r="822" spans="1:10" x14ac:dyDescent="0.25">
      <c r="A822" t="s">
        <v>1145</v>
      </c>
      <c r="B822" t="s">
        <v>30</v>
      </c>
      <c r="C822">
        <v>8</v>
      </c>
      <c r="D822" t="s">
        <v>3354</v>
      </c>
      <c r="E822">
        <v>62</v>
      </c>
      <c r="F822">
        <v>19</v>
      </c>
      <c r="G822">
        <v>43</v>
      </c>
      <c r="H822" t="s">
        <v>3489</v>
      </c>
      <c r="I822" t="s">
        <v>3490</v>
      </c>
      <c r="J822" t="s">
        <v>2895</v>
      </c>
    </row>
    <row r="823" spans="1:10" x14ac:dyDescent="0.25">
      <c r="A823" t="s">
        <v>1145</v>
      </c>
      <c r="B823" t="s">
        <v>30</v>
      </c>
      <c r="C823">
        <v>8</v>
      </c>
      <c r="D823" t="s">
        <v>3356</v>
      </c>
      <c r="E823">
        <v>64</v>
      </c>
      <c r="F823">
        <v>30</v>
      </c>
      <c r="G823">
        <v>34</v>
      </c>
      <c r="H823" t="s">
        <v>3489</v>
      </c>
      <c r="I823" t="s">
        <v>3490</v>
      </c>
      <c r="J823" t="s">
        <v>2895</v>
      </c>
    </row>
    <row r="824" spans="1:10" x14ac:dyDescent="0.25">
      <c r="A824" t="s">
        <v>1145</v>
      </c>
      <c r="B824" t="s">
        <v>30</v>
      </c>
      <c r="C824">
        <v>8</v>
      </c>
      <c r="D824" t="s">
        <v>3358</v>
      </c>
      <c r="E824">
        <v>89</v>
      </c>
      <c r="F824">
        <v>28</v>
      </c>
      <c r="G824">
        <v>61</v>
      </c>
      <c r="H824" t="s">
        <v>196</v>
      </c>
      <c r="I824" t="s">
        <v>3490</v>
      </c>
      <c r="J824" t="s">
        <v>2895</v>
      </c>
    </row>
    <row r="825" spans="1:10" x14ac:dyDescent="0.25">
      <c r="A825" t="s">
        <v>1145</v>
      </c>
      <c r="B825" t="s">
        <v>30</v>
      </c>
      <c r="C825">
        <v>8</v>
      </c>
      <c r="D825" t="s">
        <v>3360</v>
      </c>
      <c r="E825">
        <v>41</v>
      </c>
      <c r="F825">
        <v>17</v>
      </c>
      <c r="G825">
        <v>24</v>
      </c>
      <c r="H825" t="s">
        <v>3491</v>
      </c>
      <c r="I825" t="s">
        <v>3492</v>
      </c>
      <c r="J825" t="s">
        <v>2895</v>
      </c>
    </row>
    <row r="826" spans="1:10" x14ac:dyDescent="0.25">
      <c r="A826" t="s">
        <v>1145</v>
      </c>
      <c r="B826" t="s">
        <v>30</v>
      </c>
      <c r="C826">
        <v>8</v>
      </c>
      <c r="D826" t="s">
        <v>3362</v>
      </c>
      <c r="E826">
        <v>45</v>
      </c>
      <c r="F826">
        <v>17</v>
      </c>
      <c r="G826">
        <v>28</v>
      </c>
      <c r="H826" t="s">
        <v>3491</v>
      </c>
      <c r="I826" t="s">
        <v>3492</v>
      </c>
      <c r="J826" t="s">
        <v>2895</v>
      </c>
    </row>
    <row r="827" spans="1:10" x14ac:dyDescent="0.25">
      <c r="A827" t="s">
        <v>1150</v>
      </c>
      <c r="B827" t="s">
        <v>30</v>
      </c>
      <c r="C827">
        <v>4</v>
      </c>
      <c r="D827" t="s">
        <v>3334</v>
      </c>
      <c r="E827">
        <v>57</v>
      </c>
      <c r="F827">
        <v>30</v>
      </c>
      <c r="G827">
        <v>27</v>
      </c>
      <c r="H827" t="s">
        <v>3493</v>
      </c>
      <c r="I827" t="s">
        <v>3490</v>
      </c>
      <c r="J827" t="s">
        <v>2895</v>
      </c>
    </row>
    <row r="828" spans="1:10" x14ac:dyDescent="0.25">
      <c r="A828" t="s">
        <v>1150</v>
      </c>
      <c r="B828" t="s">
        <v>30</v>
      </c>
      <c r="C828">
        <v>4</v>
      </c>
      <c r="D828" t="s">
        <v>3336</v>
      </c>
      <c r="E828">
        <v>60</v>
      </c>
      <c r="F828">
        <v>20</v>
      </c>
      <c r="G828">
        <v>40</v>
      </c>
      <c r="H828" t="s">
        <v>3489</v>
      </c>
      <c r="I828" t="s">
        <v>3490</v>
      </c>
      <c r="J828" t="s">
        <v>2895</v>
      </c>
    </row>
    <row r="829" spans="1:10" x14ac:dyDescent="0.25">
      <c r="A829" t="s">
        <v>1150</v>
      </c>
      <c r="B829" t="s">
        <v>30</v>
      </c>
      <c r="C829">
        <v>4</v>
      </c>
      <c r="D829" t="s">
        <v>3338</v>
      </c>
      <c r="E829">
        <v>45</v>
      </c>
      <c r="F829">
        <v>12</v>
      </c>
      <c r="G829">
        <v>33</v>
      </c>
      <c r="H829" t="s">
        <v>3491</v>
      </c>
      <c r="I829" t="s">
        <v>3492</v>
      </c>
      <c r="J829" t="s">
        <v>2895</v>
      </c>
    </row>
    <row r="830" spans="1:10" x14ac:dyDescent="0.25">
      <c r="A830" t="s">
        <v>1150</v>
      </c>
      <c r="B830" t="s">
        <v>30</v>
      </c>
      <c r="C830">
        <v>4</v>
      </c>
      <c r="D830" t="s">
        <v>3340</v>
      </c>
      <c r="E830">
        <v>50</v>
      </c>
      <c r="F830">
        <v>10</v>
      </c>
      <c r="G830">
        <v>40</v>
      </c>
      <c r="H830" t="s">
        <v>3493</v>
      </c>
      <c r="I830" t="s">
        <v>3490</v>
      </c>
      <c r="J830" t="s">
        <v>2895</v>
      </c>
    </row>
    <row r="831" spans="1:10" x14ac:dyDescent="0.25">
      <c r="A831" t="s">
        <v>1150</v>
      </c>
      <c r="B831" t="s">
        <v>30</v>
      </c>
      <c r="C831">
        <v>4</v>
      </c>
      <c r="D831" t="s">
        <v>3342</v>
      </c>
      <c r="E831">
        <v>70</v>
      </c>
      <c r="F831">
        <v>20</v>
      </c>
      <c r="G831">
        <v>50</v>
      </c>
      <c r="H831" t="s">
        <v>3494</v>
      </c>
      <c r="I831" t="s">
        <v>3490</v>
      </c>
      <c r="J831" t="s">
        <v>2895</v>
      </c>
    </row>
    <row r="832" spans="1:10" x14ac:dyDescent="0.25">
      <c r="A832" t="s">
        <v>1156</v>
      </c>
      <c r="B832" t="s">
        <v>75</v>
      </c>
      <c r="C832">
        <v>6</v>
      </c>
      <c r="D832" t="s">
        <v>3054</v>
      </c>
      <c r="E832">
        <v>64</v>
      </c>
      <c r="F832">
        <v>11</v>
      </c>
      <c r="G832">
        <v>53</v>
      </c>
      <c r="H832" t="s">
        <v>3489</v>
      </c>
      <c r="I832" t="s">
        <v>3490</v>
      </c>
      <c r="J832" t="s">
        <v>2961</v>
      </c>
    </row>
    <row r="833" spans="1:10" x14ac:dyDescent="0.25">
      <c r="A833" t="s">
        <v>1156</v>
      </c>
      <c r="B833" t="s">
        <v>75</v>
      </c>
      <c r="C833">
        <v>6</v>
      </c>
      <c r="D833" t="s">
        <v>3056</v>
      </c>
      <c r="E833">
        <v>76</v>
      </c>
      <c r="F833">
        <v>16</v>
      </c>
      <c r="G833">
        <v>60</v>
      </c>
      <c r="H833" t="s">
        <v>3494</v>
      </c>
      <c r="I833" t="s">
        <v>3490</v>
      </c>
      <c r="J833" t="s">
        <v>2961</v>
      </c>
    </row>
    <row r="834" spans="1:10" x14ac:dyDescent="0.25">
      <c r="A834" t="s">
        <v>1156</v>
      </c>
      <c r="B834" t="s">
        <v>75</v>
      </c>
      <c r="C834">
        <v>6</v>
      </c>
      <c r="D834" t="s">
        <v>3058</v>
      </c>
      <c r="E834">
        <v>77</v>
      </c>
      <c r="F834">
        <v>30</v>
      </c>
      <c r="G834">
        <v>47</v>
      </c>
      <c r="H834" t="s">
        <v>3494</v>
      </c>
      <c r="I834" t="s">
        <v>3490</v>
      </c>
      <c r="J834" t="s">
        <v>2961</v>
      </c>
    </row>
    <row r="835" spans="1:10" x14ac:dyDescent="0.25">
      <c r="A835" t="s">
        <v>1156</v>
      </c>
      <c r="B835" t="s">
        <v>75</v>
      </c>
      <c r="C835">
        <v>6</v>
      </c>
      <c r="D835" t="s">
        <v>3060</v>
      </c>
      <c r="E835">
        <v>94</v>
      </c>
      <c r="F835">
        <v>27</v>
      </c>
      <c r="G835">
        <v>67</v>
      </c>
      <c r="H835" t="s">
        <v>3495</v>
      </c>
      <c r="I835" t="s">
        <v>3490</v>
      </c>
      <c r="J835" t="s">
        <v>2961</v>
      </c>
    </row>
    <row r="836" spans="1:10" x14ac:dyDescent="0.25">
      <c r="A836" t="s">
        <v>1156</v>
      </c>
      <c r="B836" t="s">
        <v>75</v>
      </c>
      <c r="C836">
        <v>6</v>
      </c>
      <c r="D836" t="s">
        <v>3062</v>
      </c>
      <c r="E836">
        <v>78</v>
      </c>
      <c r="F836">
        <v>15</v>
      </c>
      <c r="G836">
        <v>63</v>
      </c>
      <c r="H836" t="s">
        <v>3494</v>
      </c>
      <c r="I836" t="s">
        <v>3490</v>
      </c>
      <c r="J836" t="s">
        <v>2961</v>
      </c>
    </row>
    <row r="837" spans="1:10" x14ac:dyDescent="0.25">
      <c r="A837" t="s">
        <v>1161</v>
      </c>
      <c r="B837" t="s">
        <v>212</v>
      </c>
      <c r="C837">
        <v>8</v>
      </c>
      <c r="D837" t="s">
        <v>3474</v>
      </c>
      <c r="E837">
        <v>51</v>
      </c>
      <c r="F837">
        <v>13</v>
      </c>
      <c r="G837">
        <v>38</v>
      </c>
      <c r="H837" t="s">
        <v>3493</v>
      </c>
      <c r="I837" t="s">
        <v>3490</v>
      </c>
      <c r="J837" t="s">
        <v>3001</v>
      </c>
    </row>
    <row r="838" spans="1:10" x14ac:dyDescent="0.25">
      <c r="A838" t="s">
        <v>1161</v>
      </c>
      <c r="B838" t="s">
        <v>212</v>
      </c>
      <c r="C838">
        <v>8</v>
      </c>
      <c r="D838" t="s">
        <v>3476</v>
      </c>
      <c r="E838">
        <v>57</v>
      </c>
      <c r="F838">
        <v>19</v>
      </c>
      <c r="G838">
        <v>38</v>
      </c>
      <c r="H838" t="s">
        <v>3493</v>
      </c>
      <c r="I838" t="s">
        <v>3490</v>
      </c>
      <c r="J838" t="s">
        <v>3001</v>
      </c>
    </row>
    <row r="839" spans="1:10" x14ac:dyDescent="0.25">
      <c r="A839" t="s">
        <v>1161</v>
      </c>
      <c r="B839" t="s">
        <v>212</v>
      </c>
      <c r="C839">
        <v>8</v>
      </c>
      <c r="D839" t="s">
        <v>3478</v>
      </c>
      <c r="E839">
        <v>79</v>
      </c>
      <c r="F839">
        <v>26</v>
      </c>
      <c r="G839">
        <v>53</v>
      </c>
      <c r="H839" t="s">
        <v>3494</v>
      </c>
      <c r="I839" t="s">
        <v>3490</v>
      </c>
      <c r="J839" t="s">
        <v>3001</v>
      </c>
    </row>
    <row r="840" spans="1:10" x14ac:dyDescent="0.25">
      <c r="A840" t="s">
        <v>1161</v>
      </c>
      <c r="B840" t="s">
        <v>212</v>
      </c>
      <c r="C840">
        <v>8</v>
      </c>
      <c r="D840" t="s">
        <v>3480</v>
      </c>
      <c r="E840">
        <v>73</v>
      </c>
      <c r="F840">
        <v>29</v>
      </c>
      <c r="G840">
        <v>44</v>
      </c>
      <c r="H840" t="s">
        <v>3494</v>
      </c>
      <c r="I840" t="s">
        <v>3490</v>
      </c>
      <c r="J840" t="s">
        <v>3001</v>
      </c>
    </row>
    <row r="841" spans="1:10" x14ac:dyDescent="0.25">
      <c r="A841" t="s">
        <v>1161</v>
      </c>
      <c r="B841" t="s">
        <v>212</v>
      </c>
      <c r="C841">
        <v>8</v>
      </c>
      <c r="D841" t="s">
        <v>3482</v>
      </c>
      <c r="E841">
        <v>79</v>
      </c>
      <c r="F841">
        <v>22</v>
      </c>
      <c r="G841">
        <v>57</v>
      </c>
      <c r="H841" t="s">
        <v>3494</v>
      </c>
      <c r="I841" t="s">
        <v>3490</v>
      </c>
      <c r="J841" t="s">
        <v>3001</v>
      </c>
    </row>
    <row r="842" spans="1:10" x14ac:dyDescent="0.25">
      <c r="A842" t="s">
        <v>1167</v>
      </c>
      <c r="B842" t="s">
        <v>95</v>
      </c>
      <c r="C842">
        <v>8</v>
      </c>
      <c r="D842" t="s">
        <v>3234</v>
      </c>
      <c r="E842">
        <v>94</v>
      </c>
      <c r="F842">
        <v>29</v>
      </c>
      <c r="G842">
        <v>65</v>
      </c>
      <c r="H842" t="s">
        <v>3495</v>
      </c>
      <c r="I842" t="s">
        <v>3490</v>
      </c>
      <c r="J842" t="s">
        <v>2889</v>
      </c>
    </row>
    <row r="843" spans="1:10" x14ac:dyDescent="0.25">
      <c r="A843" t="s">
        <v>1167</v>
      </c>
      <c r="B843" t="s">
        <v>95</v>
      </c>
      <c r="C843">
        <v>8</v>
      </c>
      <c r="D843" t="s">
        <v>3236</v>
      </c>
      <c r="E843">
        <v>54</v>
      </c>
      <c r="F843">
        <v>25</v>
      </c>
      <c r="G843">
        <v>29</v>
      </c>
      <c r="H843" t="s">
        <v>3493</v>
      </c>
      <c r="I843" t="s">
        <v>3490</v>
      </c>
      <c r="J843" t="s">
        <v>2889</v>
      </c>
    </row>
    <row r="844" spans="1:10" x14ac:dyDescent="0.25">
      <c r="A844" t="s">
        <v>1167</v>
      </c>
      <c r="B844" t="s">
        <v>95</v>
      </c>
      <c r="C844">
        <v>8</v>
      </c>
      <c r="D844" t="s">
        <v>3238</v>
      </c>
      <c r="E844">
        <v>89</v>
      </c>
      <c r="F844">
        <v>25</v>
      </c>
      <c r="G844">
        <v>64</v>
      </c>
      <c r="H844" t="s">
        <v>196</v>
      </c>
      <c r="I844" t="s">
        <v>3490</v>
      </c>
      <c r="J844" t="s">
        <v>2889</v>
      </c>
    </row>
    <row r="845" spans="1:10" x14ac:dyDescent="0.25">
      <c r="A845" t="s">
        <v>1167</v>
      </c>
      <c r="B845" t="s">
        <v>95</v>
      </c>
      <c r="C845">
        <v>8</v>
      </c>
      <c r="D845" t="s">
        <v>3240</v>
      </c>
      <c r="E845">
        <v>64</v>
      </c>
      <c r="F845">
        <v>17</v>
      </c>
      <c r="G845">
        <v>47</v>
      </c>
      <c r="H845" t="s">
        <v>3489</v>
      </c>
      <c r="I845" t="s">
        <v>3490</v>
      </c>
      <c r="J845" t="s">
        <v>2889</v>
      </c>
    </row>
    <row r="846" spans="1:10" x14ac:dyDescent="0.25">
      <c r="A846" t="s">
        <v>1167</v>
      </c>
      <c r="B846" t="s">
        <v>95</v>
      </c>
      <c r="C846">
        <v>8</v>
      </c>
      <c r="D846" t="s">
        <v>3242</v>
      </c>
      <c r="E846">
        <v>84</v>
      </c>
      <c r="F846">
        <v>24</v>
      </c>
      <c r="G846">
        <v>60</v>
      </c>
      <c r="H846" t="s">
        <v>196</v>
      </c>
      <c r="I846" t="s">
        <v>3490</v>
      </c>
      <c r="J846" t="s">
        <v>2889</v>
      </c>
    </row>
    <row r="847" spans="1:10" x14ac:dyDescent="0.25">
      <c r="A847" t="s">
        <v>1173</v>
      </c>
      <c r="B847" t="s">
        <v>159</v>
      </c>
      <c r="C847">
        <v>8</v>
      </c>
      <c r="D847" t="s">
        <v>3114</v>
      </c>
      <c r="E847">
        <v>90</v>
      </c>
      <c r="F847">
        <v>24</v>
      </c>
      <c r="G847">
        <v>66</v>
      </c>
      <c r="H847" t="s">
        <v>3495</v>
      </c>
      <c r="I847" t="s">
        <v>3490</v>
      </c>
      <c r="J847" t="s">
        <v>2902</v>
      </c>
    </row>
    <row r="848" spans="1:10" x14ac:dyDescent="0.25">
      <c r="A848" t="s">
        <v>1173</v>
      </c>
      <c r="B848" t="s">
        <v>159</v>
      </c>
      <c r="C848">
        <v>8</v>
      </c>
      <c r="D848" t="s">
        <v>3116</v>
      </c>
      <c r="E848">
        <v>80</v>
      </c>
      <c r="F848">
        <v>19</v>
      </c>
      <c r="G848">
        <v>61</v>
      </c>
      <c r="H848" t="s">
        <v>196</v>
      </c>
      <c r="I848" t="s">
        <v>3490</v>
      </c>
      <c r="J848" t="s">
        <v>2902</v>
      </c>
    </row>
    <row r="849" spans="1:10" x14ac:dyDescent="0.25">
      <c r="A849" t="s">
        <v>1173</v>
      </c>
      <c r="B849" t="s">
        <v>159</v>
      </c>
      <c r="C849">
        <v>8</v>
      </c>
      <c r="D849" t="s">
        <v>3118</v>
      </c>
      <c r="E849">
        <v>52</v>
      </c>
      <c r="F849">
        <v>23</v>
      </c>
      <c r="G849">
        <v>29</v>
      </c>
      <c r="H849" t="s">
        <v>3493</v>
      </c>
      <c r="I849" t="s">
        <v>3490</v>
      </c>
      <c r="J849" t="s">
        <v>2902</v>
      </c>
    </row>
    <row r="850" spans="1:10" x14ac:dyDescent="0.25">
      <c r="A850" t="s">
        <v>1173</v>
      </c>
      <c r="B850" t="s">
        <v>159</v>
      </c>
      <c r="C850">
        <v>8</v>
      </c>
      <c r="D850" t="s">
        <v>3120</v>
      </c>
      <c r="E850">
        <v>38</v>
      </c>
      <c r="F850">
        <v>10</v>
      </c>
      <c r="G850">
        <v>28</v>
      </c>
      <c r="H850" t="s">
        <v>3491</v>
      </c>
      <c r="I850" t="s">
        <v>3492</v>
      </c>
      <c r="J850" t="s">
        <v>2902</v>
      </c>
    </row>
    <row r="851" spans="1:10" x14ac:dyDescent="0.25">
      <c r="A851" t="s">
        <v>1173</v>
      </c>
      <c r="B851" t="s">
        <v>159</v>
      </c>
      <c r="C851">
        <v>8</v>
      </c>
      <c r="D851" t="s">
        <v>3122</v>
      </c>
      <c r="E851">
        <v>73</v>
      </c>
      <c r="F851">
        <v>21</v>
      </c>
      <c r="G851">
        <v>52</v>
      </c>
      <c r="H851" t="s">
        <v>3494</v>
      </c>
      <c r="I851" t="s">
        <v>3490</v>
      </c>
      <c r="J851" t="s">
        <v>2902</v>
      </c>
    </row>
    <row r="852" spans="1:10" x14ac:dyDescent="0.25">
      <c r="A852" t="s">
        <v>1178</v>
      </c>
      <c r="B852" t="s">
        <v>105</v>
      </c>
      <c r="C852">
        <v>6</v>
      </c>
      <c r="D852" t="s">
        <v>3174</v>
      </c>
      <c r="E852">
        <v>58</v>
      </c>
      <c r="F852">
        <v>15</v>
      </c>
      <c r="G852">
        <v>43</v>
      </c>
      <c r="H852" t="s">
        <v>3493</v>
      </c>
      <c r="I852" t="s">
        <v>3490</v>
      </c>
      <c r="J852" t="s">
        <v>2908</v>
      </c>
    </row>
    <row r="853" spans="1:10" x14ac:dyDescent="0.25">
      <c r="A853" t="s">
        <v>1178</v>
      </c>
      <c r="B853" t="s">
        <v>105</v>
      </c>
      <c r="C853">
        <v>6</v>
      </c>
      <c r="D853" t="s">
        <v>3176</v>
      </c>
      <c r="E853">
        <v>52</v>
      </c>
      <c r="F853">
        <v>19</v>
      </c>
      <c r="G853">
        <v>33</v>
      </c>
      <c r="H853" t="s">
        <v>3493</v>
      </c>
      <c r="I853" t="s">
        <v>3490</v>
      </c>
      <c r="J853" t="s">
        <v>2908</v>
      </c>
    </row>
    <row r="854" spans="1:10" x14ac:dyDescent="0.25">
      <c r="A854" t="s">
        <v>1178</v>
      </c>
      <c r="B854" t="s">
        <v>105</v>
      </c>
      <c r="C854">
        <v>6</v>
      </c>
      <c r="D854" t="s">
        <v>3178</v>
      </c>
      <c r="E854">
        <v>65</v>
      </c>
      <c r="F854">
        <v>12</v>
      </c>
      <c r="G854">
        <v>53</v>
      </c>
      <c r="H854" t="s">
        <v>3489</v>
      </c>
      <c r="I854" t="s">
        <v>3490</v>
      </c>
      <c r="J854" t="s">
        <v>2908</v>
      </c>
    </row>
    <row r="855" spans="1:10" x14ac:dyDescent="0.25">
      <c r="A855" t="s">
        <v>1178</v>
      </c>
      <c r="B855" t="s">
        <v>105</v>
      </c>
      <c r="C855">
        <v>6</v>
      </c>
      <c r="D855" t="s">
        <v>3180</v>
      </c>
      <c r="E855">
        <v>47</v>
      </c>
      <c r="F855">
        <v>16</v>
      </c>
      <c r="G855">
        <v>31</v>
      </c>
      <c r="H855" t="s">
        <v>3491</v>
      </c>
      <c r="I855" t="s">
        <v>3492</v>
      </c>
      <c r="J855" t="s">
        <v>2908</v>
      </c>
    </row>
    <row r="856" spans="1:10" x14ac:dyDescent="0.25">
      <c r="A856" t="s">
        <v>1178</v>
      </c>
      <c r="B856" t="s">
        <v>105</v>
      </c>
      <c r="C856">
        <v>6</v>
      </c>
      <c r="D856" t="s">
        <v>3182</v>
      </c>
      <c r="E856">
        <v>53</v>
      </c>
      <c r="F856">
        <v>27</v>
      </c>
      <c r="G856">
        <v>26</v>
      </c>
      <c r="H856" t="s">
        <v>3493</v>
      </c>
      <c r="I856" t="s">
        <v>3490</v>
      </c>
      <c r="J856" t="s">
        <v>2908</v>
      </c>
    </row>
    <row r="857" spans="1:10" x14ac:dyDescent="0.25">
      <c r="A857" t="s">
        <v>1183</v>
      </c>
      <c r="B857" t="s">
        <v>30</v>
      </c>
      <c r="C857">
        <v>4</v>
      </c>
      <c r="D857" t="s">
        <v>3334</v>
      </c>
      <c r="E857">
        <v>46</v>
      </c>
      <c r="F857">
        <v>14</v>
      </c>
      <c r="G857">
        <v>32</v>
      </c>
      <c r="H857" t="s">
        <v>3491</v>
      </c>
      <c r="I857" t="s">
        <v>3492</v>
      </c>
      <c r="J857" t="s">
        <v>2895</v>
      </c>
    </row>
    <row r="858" spans="1:10" x14ac:dyDescent="0.25">
      <c r="A858" t="s">
        <v>1183</v>
      </c>
      <c r="B858" t="s">
        <v>30</v>
      </c>
      <c r="C858">
        <v>4</v>
      </c>
      <c r="D858" t="s">
        <v>3336</v>
      </c>
      <c r="E858">
        <v>40</v>
      </c>
      <c r="F858">
        <v>12</v>
      </c>
      <c r="G858">
        <v>28</v>
      </c>
      <c r="H858" t="s">
        <v>3491</v>
      </c>
      <c r="I858" t="s">
        <v>3492</v>
      </c>
      <c r="J858" t="s">
        <v>2895</v>
      </c>
    </row>
    <row r="859" spans="1:10" x14ac:dyDescent="0.25">
      <c r="A859" t="s">
        <v>1183</v>
      </c>
      <c r="B859" t="s">
        <v>30</v>
      </c>
      <c r="C859">
        <v>4</v>
      </c>
      <c r="D859" t="s">
        <v>3338</v>
      </c>
      <c r="E859">
        <v>74</v>
      </c>
      <c r="F859">
        <v>16</v>
      </c>
      <c r="G859">
        <v>58</v>
      </c>
      <c r="H859" t="s">
        <v>3494</v>
      </c>
      <c r="I859" t="s">
        <v>3490</v>
      </c>
      <c r="J859" t="s">
        <v>2895</v>
      </c>
    </row>
    <row r="860" spans="1:10" x14ac:dyDescent="0.25">
      <c r="A860" t="s">
        <v>1183</v>
      </c>
      <c r="B860" t="s">
        <v>30</v>
      </c>
      <c r="C860">
        <v>4</v>
      </c>
      <c r="D860" t="s">
        <v>3340</v>
      </c>
      <c r="E860">
        <v>75</v>
      </c>
      <c r="F860">
        <v>14</v>
      </c>
      <c r="G860">
        <v>61</v>
      </c>
      <c r="H860" t="s">
        <v>3494</v>
      </c>
      <c r="I860" t="s">
        <v>3490</v>
      </c>
      <c r="J860" t="s">
        <v>2895</v>
      </c>
    </row>
    <row r="861" spans="1:10" x14ac:dyDescent="0.25">
      <c r="A861" t="s">
        <v>1183</v>
      </c>
      <c r="B861" t="s">
        <v>30</v>
      </c>
      <c r="C861">
        <v>4</v>
      </c>
      <c r="D861" t="s">
        <v>3342</v>
      </c>
      <c r="E861">
        <v>70</v>
      </c>
      <c r="F861">
        <v>10</v>
      </c>
      <c r="G861">
        <v>60</v>
      </c>
      <c r="H861" t="s">
        <v>3494</v>
      </c>
      <c r="I861" t="s">
        <v>3490</v>
      </c>
      <c r="J861" t="s">
        <v>2895</v>
      </c>
    </row>
    <row r="862" spans="1:10" x14ac:dyDescent="0.25">
      <c r="A862" t="s">
        <v>1188</v>
      </c>
      <c r="B862" t="s">
        <v>159</v>
      </c>
      <c r="C862">
        <v>6</v>
      </c>
      <c r="D862" t="s">
        <v>3114</v>
      </c>
      <c r="E862">
        <v>78</v>
      </c>
      <c r="F862">
        <v>19</v>
      </c>
      <c r="G862">
        <v>59</v>
      </c>
      <c r="H862" t="s">
        <v>3494</v>
      </c>
      <c r="I862" t="s">
        <v>3490</v>
      </c>
      <c r="J862" t="s">
        <v>2902</v>
      </c>
    </row>
    <row r="863" spans="1:10" x14ac:dyDescent="0.25">
      <c r="A863" t="s">
        <v>1188</v>
      </c>
      <c r="B863" t="s">
        <v>159</v>
      </c>
      <c r="C863">
        <v>6</v>
      </c>
      <c r="D863" t="s">
        <v>3116</v>
      </c>
      <c r="E863">
        <v>35</v>
      </c>
      <c r="F863">
        <v>12</v>
      </c>
      <c r="G863">
        <v>23</v>
      </c>
      <c r="H863" t="s">
        <v>3491</v>
      </c>
      <c r="I863" t="s">
        <v>3492</v>
      </c>
      <c r="J863" t="s">
        <v>2902</v>
      </c>
    </row>
    <row r="864" spans="1:10" x14ac:dyDescent="0.25">
      <c r="A864" t="s">
        <v>1188</v>
      </c>
      <c r="B864" t="s">
        <v>159</v>
      </c>
      <c r="C864">
        <v>6</v>
      </c>
      <c r="D864" t="s">
        <v>3118</v>
      </c>
      <c r="E864">
        <v>89</v>
      </c>
      <c r="F864">
        <v>22</v>
      </c>
      <c r="G864">
        <v>67</v>
      </c>
      <c r="H864" t="s">
        <v>196</v>
      </c>
      <c r="I864" t="s">
        <v>3490</v>
      </c>
      <c r="J864" t="s">
        <v>2902</v>
      </c>
    </row>
    <row r="865" spans="1:10" x14ac:dyDescent="0.25">
      <c r="A865" t="s">
        <v>1188</v>
      </c>
      <c r="B865" t="s">
        <v>159</v>
      </c>
      <c r="C865">
        <v>6</v>
      </c>
      <c r="D865" t="s">
        <v>3120</v>
      </c>
      <c r="E865">
        <v>35</v>
      </c>
      <c r="F865">
        <v>10</v>
      </c>
      <c r="G865">
        <v>25</v>
      </c>
      <c r="H865" t="s">
        <v>3491</v>
      </c>
      <c r="I865" t="s">
        <v>3492</v>
      </c>
      <c r="J865" t="s">
        <v>2902</v>
      </c>
    </row>
    <row r="866" spans="1:10" x14ac:dyDescent="0.25">
      <c r="A866" t="s">
        <v>1188</v>
      </c>
      <c r="B866" t="s">
        <v>159</v>
      </c>
      <c r="C866">
        <v>6</v>
      </c>
      <c r="D866" t="s">
        <v>3122</v>
      </c>
      <c r="E866">
        <v>61</v>
      </c>
      <c r="F866">
        <v>26</v>
      </c>
      <c r="G866">
        <v>35</v>
      </c>
      <c r="H866" t="s">
        <v>3489</v>
      </c>
      <c r="I866" t="s">
        <v>3490</v>
      </c>
      <c r="J866" t="s">
        <v>2902</v>
      </c>
    </row>
    <row r="867" spans="1:10" x14ac:dyDescent="0.25">
      <c r="A867" t="s">
        <v>1194</v>
      </c>
      <c r="B867" t="s">
        <v>63</v>
      </c>
      <c r="C867">
        <v>6</v>
      </c>
      <c r="D867" t="s">
        <v>3414</v>
      </c>
      <c r="E867">
        <v>59</v>
      </c>
      <c r="F867">
        <v>23</v>
      </c>
      <c r="G867">
        <v>36</v>
      </c>
      <c r="H867" t="s">
        <v>3493</v>
      </c>
      <c r="I867" t="s">
        <v>3490</v>
      </c>
      <c r="J867" t="s">
        <v>2932</v>
      </c>
    </row>
    <row r="868" spans="1:10" x14ac:dyDescent="0.25">
      <c r="A868" t="s">
        <v>1194</v>
      </c>
      <c r="B868" t="s">
        <v>63</v>
      </c>
      <c r="C868">
        <v>6</v>
      </c>
      <c r="D868" t="s">
        <v>3416</v>
      </c>
      <c r="E868">
        <v>55</v>
      </c>
      <c r="F868">
        <v>25</v>
      </c>
      <c r="G868">
        <v>30</v>
      </c>
      <c r="H868" t="s">
        <v>3493</v>
      </c>
      <c r="I868" t="s">
        <v>3490</v>
      </c>
      <c r="J868" t="s">
        <v>2932</v>
      </c>
    </row>
    <row r="869" spans="1:10" x14ac:dyDescent="0.25">
      <c r="A869" t="s">
        <v>1194</v>
      </c>
      <c r="B869" t="s">
        <v>63</v>
      </c>
      <c r="C869">
        <v>6</v>
      </c>
      <c r="D869" t="s">
        <v>3418</v>
      </c>
      <c r="E869">
        <v>81</v>
      </c>
      <c r="F869">
        <v>16</v>
      </c>
      <c r="G869">
        <v>65</v>
      </c>
      <c r="H869" t="s">
        <v>196</v>
      </c>
      <c r="I869" t="s">
        <v>3490</v>
      </c>
      <c r="J869" t="s">
        <v>2932</v>
      </c>
    </row>
    <row r="870" spans="1:10" x14ac:dyDescent="0.25">
      <c r="A870" t="s">
        <v>1194</v>
      </c>
      <c r="B870" t="s">
        <v>63</v>
      </c>
      <c r="C870">
        <v>6</v>
      </c>
      <c r="D870" t="s">
        <v>3420</v>
      </c>
      <c r="E870">
        <v>76</v>
      </c>
      <c r="F870">
        <v>27</v>
      </c>
      <c r="G870">
        <v>49</v>
      </c>
      <c r="H870" t="s">
        <v>3494</v>
      </c>
      <c r="I870" t="s">
        <v>3490</v>
      </c>
      <c r="J870" t="s">
        <v>2932</v>
      </c>
    </row>
    <row r="871" spans="1:10" x14ac:dyDescent="0.25">
      <c r="A871" t="s">
        <v>1194</v>
      </c>
      <c r="B871" t="s">
        <v>63</v>
      </c>
      <c r="C871">
        <v>6</v>
      </c>
      <c r="D871" t="s">
        <v>3422</v>
      </c>
      <c r="E871">
        <v>42</v>
      </c>
      <c r="F871">
        <v>21</v>
      </c>
      <c r="G871">
        <v>21</v>
      </c>
      <c r="H871" t="s">
        <v>3491</v>
      </c>
      <c r="I871" t="s">
        <v>3492</v>
      </c>
      <c r="J871" t="s">
        <v>2932</v>
      </c>
    </row>
    <row r="872" spans="1:10" x14ac:dyDescent="0.25">
      <c r="A872" t="s">
        <v>1199</v>
      </c>
      <c r="B872" t="s">
        <v>122</v>
      </c>
      <c r="C872">
        <v>8</v>
      </c>
      <c r="D872" t="s">
        <v>3294</v>
      </c>
      <c r="E872">
        <v>57</v>
      </c>
      <c r="F872">
        <v>27</v>
      </c>
      <c r="G872">
        <v>30</v>
      </c>
      <c r="H872" t="s">
        <v>3493</v>
      </c>
      <c r="I872" t="s">
        <v>3490</v>
      </c>
      <c r="J872" t="s">
        <v>2919</v>
      </c>
    </row>
    <row r="873" spans="1:10" x14ac:dyDescent="0.25">
      <c r="A873" t="s">
        <v>1199</v>
      </c>
      <c r="B873" t="s">
        <v>122</v>
      </c>
      <c r="C873">
        <v>8</v>
      </c>
      <c r="D873" t="s">
        <v>3296</v>
      </c>
      <c r="E873">
        <v>70</v>
      </c>
      <c r="F873">
        <v>25</v>
      </c>
      <c r="G873">
        <v>45</v>
      </c>
      <c r="H873" t="s">
        <v>3494</v>
      </c>
      <c r="I873" t="s">
        <v>3490</v>
      </c>
      <c r="J873" t="s">
        <v>2919</v>
      </c>
    </row>
    <row r="874" spans="1:10" x14ac:dyDescent="0.25">
      <c r="A874" t="s">
        <v>1199</v>
      </c>
      <c r="B874" t="s">
        <v>122</v>
      </c>
      <c r="C874">
        <v>8</v>
      </c>
      <c r="D874" t="s">
        <v>3298</v>
      </c>
      <c r="E874">
        <v>91</v>
      </c>
      <c r="F874">
        <v>26</v>
      </c>
      <c r="G874">
        <v>65</v>
      </c>
      <c r="H874" t="s">
        <v>3495</v>
      </c>
      <c r="I874" t="s">
        <v>3490</v>
      </c>
      <c r="J874" t="s">
        <v>2919</v>
      </c>
    </row>
    <row r="875" spans="1:10" x14ac:dyDescent="0.25">
      <c r="A875" t="s">
        <v>1199</v>
      </c>
      <c r="B875" t="s">
        <v>122</v>
      </c>
      <c r="C875">
        <v>8</v>
      </c>
      <c r="D875" t="s">
        <v>3300</v>
      </c>
      <c r="E875">
        <v>74</v>
      </c>
      <c r="F875">
        <v>12</v>
      </c>
      <c r="G875">
        <v>62</v>
      </c>
      <c r="H875" t="s">
        <v>3494</v>
      </c>
      <c r="I875" t="s">
        <v>3490</v>
      </c>
      <c r="J875" t="s">
        <v>2919</v>
      </c>
    </row>
    <row r="876" spans="1:10" x14ac:dyDescent="0.25">
      <c r="A876" t="s">
        <v>1199</v>
      </c>
      <c r="B876" t="s">
        <v>122</v>
      </c>
      <c r="C876">
        <v>8</v>
      </c>
      <c r="D876" t="s">
        <v>3302</v>
      </c>
      <c r="E876">
        <v>55</v>
      </c>
      <c r="F876">
        <v>24</v>
      </c>
      <c r="G876">
        <v>31</v>
      </c>
      <c r="H876" t="s">
        <v>3493</v>
      </c>
      <c r="I876" t="s">
        <v>3490</v>
      </c>
      <c r="J876" t="s">
        <v>2919</v>
      </c>
    </row>
    <row r="877" spans="1:10" x14ac:dyDescent="0.25">
      <c r="A877" t="s">
        <v>1204</v>
      </c>
      <c r="B877" t="s">
        <v>30</v>
      </c>
      <c r="C877">
        <v>8</v>
      </c>
      <c r="D877" t="s">
        <v>3354</v>
      </c>
      <c r="E877">
        <v>57</v>
      </c>
      <c r="F877">
        <v>15</v>
      </c>
      <c r="G877">
        <v>42</v>
      </c>
      <c r="H877" t="s">
        <v>3493</v>
      </c>
      <c r="I877" t="s">
        <v>3490</v>
      </c>
      <c r="J877" t="s">
        <v>2895</v>
      </c>
    </row>
    <row r="878" spans="1:10" x14ac:dyDescent="0.25">
      <c r="A878" t="s">
        <v>1204</v>
      </c>
      <c r="B878" t="s">
        <v>30</v>
      </c>
      <c r="C878">
        <v>8</v>
      </c>
      <c r="D878" t="s">
        <v>3356</v>
      </c>
      <c r="E878">
        <v>74</v>
      </c>
      <c r="F878">
        <v>25</v>
      </c>
      <c r="G878">
        <v>49</v>
      </c>
      <c r="H878" t="s">
        <v>3494</v>
      </c>
      <c r="I878" t="s">
        <v>3490</v>
      </c>
      <c r="J878" t="s">
        <v>2895</v>
      </c>
    </row>
    <row r="879" spans="1:10" x14ac:dyDescent="0.25">
      <c r="A879" t="s">
        <v>1204</v>
      </c>
      <c r="B879" t="s">
        <v>30</v>
      </c>
      <c r="C879">
        <v>8</v>
      </c>
      <c r="D879" t="s">
        <v>3358</v>
      </c>
      <c r="E879">
        <v>56</v>
      </c>
      <c r="F879">
        <v>20</v>
      </c>
      <c r="G879">
        <v>36</v>
      </c>
      <c r="H879" t="s">
        <v>3493</v>
      </c>
      <c r="I879" t="s">
        <v>3490</v>
      </c>
      <c r="J879" t="s">
        <v>2895</v>
      </c>
    </row>
    <row r="880" spans="1:10" x14ac:dyDescent="0.25">
      <c r="A880" t="s">
        <v>1204</v>
      </c>
      <c r="B880" t="s">
        <v>30</v>
      </c>
      <c r="C880">
        <v>8</v>
      </c>
      <c r="D880" t="s">
        <v>3360</v>
      </c>
      <c r="E880">
        <v>76</v>
      </c>
      <c r="F880">
        <v>21</v>
      </c>
      <c r="G880">
        <v>55</v>
      </c>
      <c r="H880" t="s">
        <v>3494</v>
      </c>
      <c r="I880" t="s">
        <v>3490</v>
      </c>
      <c r="J880" t="s">
        <v>2895</v>
      </c>
    </row>
    <row r="881" spans="1:10" x14ac:dyDescent="0.25">
      <c r="A881" t="s">
        <v>1204</v>
      </c>
      <c r="B881" t="s">
        <v>30</v>
      </c>
      <c r="C881">
        <v>8</v>
      </c>
      <c r="D881" t="s">
        <v>3362</v>
      </c>
      <c r="E881">
        <v>67</v>
      </c>
      <c r="F881">
        <v>30</v>
      </c>
      <c r="G881">
        <v>37</v>
      </c>
      <c r="H881" t="s">
        <v>3489</v>
      </c>
      <c r="I881" t="s">
        <v>3490</v>
      </c>
      <c r="J881" t="s">
        <v>2895</v>
      </c>
    </row>
    <row r="882" spans="1:10" x14ac:dyDescent="0.25">
      <c r="A882" t="s">
        <v>1211</v>
      </c>
      <c r="B882" t="s">
        <v>122</v>
      </c>
      <c r="C882">
        <v>6</v>
      </c>
      <c r="D882" t="s">
        <v>3294</v>
      </c>
      <c r="E882">
        <v>53</v>
      </c>
      <c r="F882">
        <v>25</v>
      </c>
      <c r="G882">
        <v>28</v>
      </c>
      <c r="H882" t="s">
        <v>3493</v>
      </c>
      <c r="I882" t="s">
        <v>3490</v>
      </c>
      <c r="J882" t="s">
        <v>2919</v>
      </c>
    </row>
    <row r="883" spans="1:10" x14ac:dyDescent="0.25">
      <c r="A883" t="s">
        <v>1211</v>
      </c>
      <c r="B883" t="s">
        <v>122</v>
      </c>
      <c r="C883">
        <v>6</v>
      </c>
      <c r="D883" t="s">
        <v>3296</v>
      </c>
      <c r="E883">
        <v>51</v>
      </c>
      <c r="F883">
        <v>22</v>
      </c>
      <c r="G883">
        <v>29</v>
      </c>
      <c r="H883" t="s">
        <v>3493</v>
      </c>
      <c r="I883" t="s">
        <v>3490</v>
      </c>
      <c r="J883" t="s">
        <v>2919</v>
      </c>
    </row>
    <row r="884" spans="1:10" x14ac:dyDescent="0.25">
      <c r="A884" t="s">
        <v>1211</v>
      </c>
      <c r="B884" t="s">
        <v>122</v>
      </c>
      <c r="C884">
        <v>6</v>
      </c>
      <c r="D884" t="s">
        <v>3298</v>
      </c>
      <c r="E884">
        <v>50</v>
      </c>
      <c r="F884">
        <v>28</v>
      </c>
      <c r="G884">
        <v>22</v>
      </c>
      <c r="H884" t="s">
        <v>3493</v>
      </c>
      <c r="I884" t="s">
        <v>3490</v>
      </c>
      <c r="J884" t="s">
        <v>2919</v>
      </c>
    </row>
    <row r="885" spans="1:10" x14ac:dyDescent="0.25">
      <c r="A885" t="s">
        <v>1211</v>
      </c>
      <c r="B885" t="s">
        <v>122</v>
      </c>
      <c r="C885">
        <v>6</v>
      </c>
      <c r="D885" t="s">
        <v>3300</v>
      </c>
      <c r="E885">
        <v>49</v>
      </c>
      <c r="F885">
        <v>20</v>
      </c>
      <c r="G885">
        <v>29</v>
      </c>
      <c r="H885" t="s">
        <v>3491</v>
      </c>
      <c r="I885" t="s">
        <v>3492</v>
      </c>
      <c r="J885" t="s">
        <v>2919</v>
      </c>
    </row>
    <row r="886" spans="1:10" x14ac:dyDescent="0.25">
      <c r="A886" t="s">
        <v>1211</v>
      </c>
      <c r="B886" t="s">
        <v>122</v>
      </c>
      <c r="C886">
        <v>6</v>
      </c>
      <c r="D886" t="s">
        <v>3302</v>
      </c>
      <c r="E886">
        <v>54</v>
      </c>
      <c r="F886">
        <v>29</v>
      </c>
      <c r="G886">
        <v>25</v>
      </c>
      <c r="H886" t="s">
        <v>3493</v>
      </c>
      <c r="I886" t="s">
        <v>3490</v>
      </c>
      <c r="J886" t="s">
        <v>2919</v>
      </c>
    </row>
    <row r="887" spans="1:10" x14ac:dyDescent="0.25">
      <c r="A887" t="s">
        <v>1216</v>
      </c>
      <c r="B887" t="s">
        <v>105</v>
      </c>
      <c r="C887">
        <v>4</v>
      </c>
      <c r="D887" t="s">
        <v>3154</v>
      </c>
      <c r="E887">
        <v>95</v>
      </c>
      <c r="F887">
        <v>26</v>
      </c>
      <c r="G887">
        <v>69</v>
      </c>
      <c r="H887" t="s">
        <v>3495</v>
      </c>
      <c r="I887" t="s">
        <v>3490</v>
      </c>
      <c r="J887" t="s">
        <v>2908</v>
      </c>
    </row>
    <row r="888" spans="1:10" x14ac:dyDescent="0.25">
      <c r="A888" t="s">
        <v>1216</v>
      </c>
      <c r="B888" t="s">
        <v>105</v>
      </c>
      <c r="C888">
        <v>4</v>
      </c>
      <c r="D888" t="s">
        <v>3156</v>
      </c>
      <c r="E888">
        <v>68</v>
      </c>
      <c r="F888">
        <v>24</v>
      </c>
      <c r="G888">
        <v>44</v>
      </c>
      <c r="H888" t="s">
        <v>3489</v>
      </c>
      <c r="I888" t="s">
        <v>3490</v>
      </c>
      <c r="J888" t="s">
        <v>2908</v>
      </c>
    </row>
    <row r="889" spans="1:10" x14ac:dyDescent="0.25">
      <c r="A889" t="s">
        <v>1216</v>
      </c>
      <c r="B889" t="s">
        <v>105</v>
      </c>
      <c r="C889">
        <v>4</v>
      </c>
      <c r="D889" t="s">
        <v>3158</v>
      </c>
      <c r="E889">
        <v>62</v>
      </c>
      <c r="F889">
        <v>27</v>
      </c>
      <c r="G889">
        <v>35</v>
      </c>
      <c r="H889" t="s">
        <v>3489</v>
      </c>
      <c r="I889" t="s">
        <v>3490</v>
      </c>
      <c r="J889" t="s">
        <v>2908</v>
      </c>
    </row>
    <row r="890" spans="1:10" x14ac:dyDescent="0.25">
      <c r="A890" t="s">
        <v>1216</v>
      </c>
      <c r="B890" t="s">
        <v>105</v>
      </c>
      <c r="C890">
        <v>4</v>
      </c>
      <c r="D890" t="s">
        <v>3160</v>
      </c>
      <c r="E890">
        <v>58</v>
      </c>
      <c r="F890">
        <v>13</v>
      </c>
      <c r="G890">
        <v>45</v>
      </c>
      <c r="H890" t="s">
        <v>3493</v>
      </c>
      <c r="I890" t="s">
        <v>3490</v>
      </c>
      <c r="J890" t="s">
        <v>2908</v>
      </c>
    </row>
    <row r="891" spans="1:10" x14ac:dyDescent="0.25">
      <c r="A891" t="s">
        <v>1216</v>
      </c>
      <c r="B891" t="s">
        <v>105</v>
      </c>
      <c r="C891">
        <v>4</v>
      </c>
      <c r="D891" t="s">
        <v>3162</v>
      </c>
      <c r="E891">
        <v>66</v>
      </c>
      <c r="F891">
        <v>11</v>
      </c>
      <c r="G891">
        <v>55</v>
      </c>
      <c r="H891" t="s">
        <v>3489</v>
      </c>
      <c r="I891" t="s">
        <v>3490</v>
      </c>
      <c r="J891" t="s">
        <v>2908</v>
      </c>
    </row>
    <row r="892" spans="1:10" x14ac:dyDescent="0.25">
      <c r="A892" t="s">
        <v>1221</v>
      </c>
      <c r="B892" t="s">
        <v>63</v>
      </c>
      <c r="C892">
        <v>6</v>
      </c>
      <c r="D892" t="s">
        <v>3414</v>
      </c>
      <c r="E892">
        <v>80</v>
      </c>
      <c r="F892">
        <v>15</v>
      </c>
      <c r="G892">
        <v>65</v>
      </c>
      <c r="H892" t="s">
        <v>196</v>
      </c>
      <c r="I892" t="s">
        <v>3490</v>
      </c>
      <c r="J892" t="s">
        <v>2932</v>
      </c>
    </row>
    <row r="893" spans="1:10" x14ac:dyDescent="0.25">
      <c r="A893" t="s">
        <v>1221</v>
      </c>
      <c r="B893" t="s">
        <v>63</v>
      </c>
      <c r="C893">
        <v>6</v>
      </c>
      <c r="D893" t="s">
        <v>3416</v>
      </c>
      <c r="E893">
        <v>51</v>
      </c>
      <c r="F893">
        <v>24</v>
      </c>
      <c r="G893">
        <v>27</v>
      </c>
      <c r="H893" t="s">
        <v>3493</v>
      </c>
      <c r="I893" t="s">
        <v>3490</v>
      </c>
      <c r="J893" t="s">
        <v>2932</v>
      </c>
    </row>
    <row r="894" spans="1:10" x14ac:dyDescent="0.25">
      <c r="A894" t="s">
        <v>1221</v>
      </c>
      <c r="B894" t="s">
        <v>63</v>
      </c>
      <c r="C894">
        <v>6</v>
      </c>
      <c r="D894" t="s">
        <v>3418</v>
      </c>
      <c r="E894">
        <v>80</v>
      </c>
      <c r="F894">
        <v>30</v>
      </c>
      <c r="G894">
        <v>50</v>
      </c>
      <c r="H894" t="s">
        <v>196</v>
      </c>
      <c r="I894" t="s">
        <v>3490</v>
      </c>
      <c r="J894" t="s">
        <v>2932</v>
      </c>
    </row>
    <row r="895" spans="1:10" x14ac:dyDescent="0.25">
      <c r="A895" t="s">
        <v>1221</v>
      </c>
      <c r="B895" t="s">
        <v>63</v>
      </c>
      <c r="C895">
        <v>6</v>
      </c>
      <c r="D895" t="s">
        <v>3420</v>
      </c>
      <c r="E895">
        <v>39</v>
      </c>
      <c r="F895">
        <v>15</v>
      </c>
      <c r="G895">
        <v>24</v>
      </c>
      <c r="H895" t="s">
        <v>3491</v>
      </c>
      <c r="I895" t="s">
        <v>3492</v>
      </c>
      <c r="J895" t="s">
        <v>2932</v>
      </c>
    </row>
    <row r="896" spans="1:10" x14ac:dyDescent="0.25">
      <c r="A896" t="s">
        <v>1221</v>
      </c>
      <c r="B896" t="s">
        <v>63</v>
      </c>
      <c r="C896">
        <v>6</v>
      </c>
      <c r="D896" t="s">
        <v>3422</v>
      </c>
      <c r="E896">
        <v>87</v>
      </c>
      <c r="F896">
        <v>24</v>
      </c>
      <c r="G896">
        <v>63</v>
      </c>
      <c r="H896" t="s">
        <v>196</v>
      </c>
      <c r="I896" t="s">
        <v>3490</v>
      </c>
      <c r="J896" t="s">
        <v>2932</v>
      </c>
    </row>
    <row r="897" spans="1:10" x14ac:dyDescent="0.25">
      <c r="A897" t="s">
        <v>1227</v>
      </c>
      <c r="B897" t="s">
        <v>75</v>
      </c>
      <c r="C897">
        <v>8</v>
      </c>
      <c r="D897" t="s">
        <v>3054</v>
      </c>
      <c r="E897">
        <v>48</v>
      </c>
      <c r="F897">
        <v>16</v>
      </c>
      <c r="G897">
        <v>32</v>
      </c>
      <c r="H897" t="s">
        <v>3491</v>
      </c>
      <c r="I897" t="s">
        <v>3492</v>
      </c>
      <c r="J897" t="s">
        <v>2961</v>
      </c>
    </row>
    <row r="898" spans="1:10" x14ac:dyDescent="0.25">
      <c r="A898" t="s">
        <v>1227</v>
      </c>
      <c r="B898" t="s">
        <v>75</v>
      </c>
      <c r="C898">
        <v>8</v>
      </c>
      <c r="D898" t="s">
        <v>3056</v>
      </c>
      <c r="E898">
        <v>94</v>
      </c>
      <c r="F898">
        <v>24</v>
      </c>
      <c r="G898">
        <v>70</v>
      </c>
      <c r="H898" t="s">
        <v>3495</v>
      </c>
      <c r="I898" t="s">
        <v>3490</v>
      </c>
      <c r="J898" t="s">
        <v>2961</v>
      </c>
    </row>
    <row r="899" spans="1:10" x14ac:dyDescent="0.25">
      <c r="A899" t="s">
        <v>1227</v>
      </c>
      <c r="B899" t="s">
        <v>75</v>
      </c>
      <c r="C899">
        <v>8</v>
      </c>
      <c r="D899" t="s">
        <v>3058</v>
      </c>
      <c r="E899">
        <v>72</v>
      </c>
      <c r="F899">
        <v>16</v>
      </c>
      <c r="G899">
        <v>56</v>
      </c>
      <c r="H899" t="s">
        <v>3494</v>
      </c>
      <c r="I899" t="s">
        <v>3490</v>
      </c>
      <c r="J899" t="s">
        <v>2961</v>
      </c>
    </row>
    <row r="900" spans="1:10" x14ac:dyDescent="0.25">
      <c r="A900" t="s">
        <v>1227</v>
      </c>
      <c r="B900" t="s">
        <v>75</v>
      </c>
      <c r="C900">
        <v>8</v>
      </c>
      <c r="D900" t="s">
        <v>3060</v>
      </c>
      <c r="E900">
        <v>87</v>
      </c>
      <c r="F900">
        <v>30</v>
      </c>
      <c r="G900">
        <v>57</v>
      </c>
      <c r="H900" t="s">
        <v>196</v>
      </c>
      <c r="I900" t="s">
        <v>3490</v>
      </c>
      <c r="J900" t="s">
        <v>2961</v>
      </c>
    </row>
    <row r="901" spans="1:10" x14ac:dyDescent="0.25">
      <c r="A901" t="s">
        <v>1227</v>
      </c>
      <c r="B901" t="s">
        <v>75</v>
      </c>
      <c r="C901">
        <v>8</v>
      </c>
      <c r="D901" t="s">
        <v>3062</v>
      </c>
      <c r="E901">
        <v>36</v>
      </c>
      <c r="F901">
        <v>15</v>
      </c>
      <c r="G901">
        <v>21</v>
      </c>
      <c r="H901" t="s">
        <v>3491</v>
      </c>
      <c r="I901" t="s">
        <v>3492</v>
      </c>
      <c r="J901" t="s">
        <v>2961</v>
      </c>
    </row>
    <row r="902" spans="1:10" x14ac:dyDescent="0.25">
      <c r="A902" t="s">
        <v>1232</v>
      </c>
      <c r="B902" t="s">
        <v>122</v>
      </c>
      <c r="C902">
        <v>8</v>
      </c>
      <c r="D902" t="s">
        <v>3294</v>
      </c>
      <c r="E902">
        <v>51</v>
      </c>
      <c r="F902">
        <v>20</v>
      </c>
      <c r="G902">
        <v>31</v>
      </c>
      <c r="H902" t="s">
        <v>3493</v>
      </c>
      <c r="I902" t="s">
        <v>3490</v>
      </c>
      <c r="J902" t="s">
        <v>2919</v>
      </c>
    </row>
    <row r="903" spans="1:10" x14ac:dyDescent="0.25">
      <c r="A903" t="s">
        <v>1232</v>
      </c>
      <c r="B903" t="s">
        <v>122</v>
      </c>
      <c r="C903">
        <v>8</v>
      </c>
      <c r="D903" t="s">
        <v>3296</v>
      </c>
      <c r="E903">
        <v>44</v>
      </c>
      <c r="F903">
        <v>15</v>
      </c>
      <c r="G903">
        <v>29</v>
      </c>
      <c r="H903" t="s">
        <v>3491</v>
      </c>
      <c r="I903" t="s">
        <v>3492</v>
      </c>
      <c r="J903" t="s">
        <v>2919</v>
      </c>
    </row>
    <row r="904" spans="1:10" x14ac:dyDescent="0.25">
      <c r="A904" t="s">
        <v>1232</v>
      </c>
      <c r="B904" t="s">
        <v>122</v>
      </c>
      <c r="C904">
        <v>8</v>
      </c>
      <c r="D904" t="s">
        <v>3298</v>
      </c>
      <c r="E904">
        <v>84</v>
      </c>
      <c r="F904">
        <v>28</v>
      </c>
      <c r="G904">
        <v>56</v>
      </c>
      <c r="H904" t="s">
        <v>196</v>
      </c>
      <c r="I904" t="s">
        <v>3490</v>
      </c>
      <c r="J904" t="s">
        <v>2919</v>
      </c>
    </row>
    <row r="905" spans="1:10" x14ac:dyDescent="0.25">
      <c r="A905" t="s">
        <v>1232</v>
      </c>
      <c r="B905" t="s">
        <v>122</v>
      </c>
      <c r="C905">
        <v>8</v>
      </c>
      <c r="D905" t="s">
        <v>3300</v>
      </c>
      <c r="E905">
        <v>62</v>
      </c>
      <c r="F905">
        <v>29</v>
      </c>
      <c r="G905">
        <v>33</v>
      </c>
      <c r="H905" t="s">
        <v>3489</v>
      </c>
      <c r="I905" t="s">
        <v>3490</v>
      </c>
      <c r="J905" t="s">
        <v>2919</v>
      </c>
    </row>
    <row r="906" spans="1:10" x14ac:dyDescent="0.25">
      <c r="A906" t="s">
        <v>1232</v>
      </c>
      <c r="B906" t="s">
        <v>122</v>
      </c>
      <c r="C906">
        <v>8</v>
      </c>
      <c r="D906" t="s">
        <v>3302</v>
      </c>
      <c r="E906">
        <v>53</v>
      </c>
      <c r="F906">
        <v>23</v>
      </c>
      <c r="G906">
        <v>30</v>
      </c>
      <c r="H906" t="s">
        <v>3493</v>
      </c>
      <c r="I906" t="s">
        <v>3490</v>
      </c>
      <c r="J906" t="s">
        <v>2919</v>
      </c>
    </row>
    <row r="907" spans="1:10" x14ac:dyDescent="0.25">
      <c r="A907" t="s">
        <v>1237</v>
      </c>
      <c r="B907" t="s">
        <v>30</v>
      </c>
      <c r="C907">
        <v>8</v>
      </c>
      <c r="D907" t="s">
        <v>3354</v>
      </c>
      <c r="E907">
        <v>79</v>
      </c>
      <c r="F907">
        <v>13</v>
      </c>
      <c r="G907">
        <v>66</v>
      </c>
      <c r="H907" t="s">
        <v>3494</v>
      </c>
      <c r="I907" t="s">
        <v>3490</v>
      </c>
      <c r="J907" t="s">
        <v>2895</v>
      </c>
    </row>
    <row r="908" spans="1:10" x14ac:dyDescent="0.25">
      <c r="A908" t="s">
        <v>1237</v>
      </c>
      <c r="B908" t="s">
        <v>30</v>
      </c>
      <c r="C908">
        <v>8</v>
      </c>
      <c r="D908" t="s">
        <v>3356</v>
      </c>
      <c r="E908">
        <v>63</v>
      </c>
      <c r="F908">
        <v>23</v>
      </c>
      <c r="G908">
        <v>40</v>
      </c>
      <c r="H908" t="s">
        <v>3489</v>
      </c>
      <c r="I908" t="s">
        <v>3490</v>
      </c>
      <c r="J908" t="s">
        <v>2895</v>
      </c>
    </row>
    <row r="909" spans="1:10" x14ac:dyDescent="0.25">
      <c r="A909" t="s">
        <v>1237</v>
      </c>
      <c r="B909" t="s">
        <v>30</v>
      </c>
      <c r="C909">
        <v>8</v>
      </c>
      <c r="D909" t="s">
        <v>3358</v>
      </c>
      <c r="E909">
        <v>52</v>
      </c>
      <c r="F909">
        <v>28</v>
      </c>
      <c r="G909">
        <v>24</v>
      </c>
      <c r="H909" t="s">
        <v>3493</v>
      </c>
      <c r="I909" t="s">
        <v>3490</v>
      </c>
      <c r="J909" t="s">
        <v>2895</v>
      </c>
    </row>
    <row r="910" spans="1:10" x14ac:dyDescent="0.25">
      <c r="A910" t="s">
        <v>1237</v>
      </c>
      <c r="B910" t="s">
        <v>30</v>
      </c>
      <c r="C910">
        <v>8</v>
      </c>
      <c r="D910" t="s">
        <v>3360</v>
      </c>
      <c r="E910">
        <v>69</v>
      </c>
      <c r="F910">
        <v>30</v>
      </c>
      <c r="G910">
        <v>39</v>
      </c>
      <c r="H910" t="s">
        <v>3489</v>
      </c>
      <c r="I910" t="s">
        <v>3490</v>
      </c>
      <c r="J910" t="s">
        <v>2895</v>
      </c>
    </row>
    <row r="911" spans="1:10" x14ac:dyDescent="0.25">
      <c r="A911" t="s">
        <v>1237</v>
      </c>
      <c r="B911" t="s">
        <v>30</v>
      </c>
      <c r="C911">
        <v>8</v>
      </c>
      <c r="D911" t="s">
        <v>3362</v>
      </c>
      <c r="E911">
        <v>72</v>
      </c>
      <c r="F911">
        <v>17</v>
      </c>
      <c r="G911">
        <v>55</v>
      </c>
      <c r="H911" t="s">
        <v>3494</v>
      </c>
      <c r="I911" t="s">
        <v>3490</v>
      </c>
      <c r="J911" t="s">
        <v>2895</v>
      </c>
    </row>
    <row r="912" spans="1:10" x14ac:dyDescent="0.25">
      <c r="A912" t="s">
        <v>1242</v>
      </c>
      <c r="B912" t="s">
        <v>95</v>
      </c>
      <c r="C912">
        <v>6</v>
      </c>
      <c r="D912" t="s">
        <v>3234</v>
      </c>
      <c r="E912">
        <v>56</v>
      </c>
      <c r="F912">
        <v>27</v>
      </c>
      <c r="G912">
        <v>29</v>
      </c>
      <c r="H912" t="s">
        <v>3493</v>
      </c>
      <c r="I912" t="s">
        <v>3490</v>
      </c>
      <c r="J912" t="s">
        <v>2889</v>
      </c>
    </row>
    <row r="913" spans="1:10" x14ac:dyDescent="0.25">
      <c r="A913" t="s">
        <v>1242</v>
      </c>
      <c r="B913" t="s">
        <v>95</v>
      </c>
      <c r="C913">
        <v>6</v>
      </c>
      <c r="D913" t="s">
        <v>3236</v>
      </c>
      <c r="E913">
        <v>47</v>
      </c>
      <c r="F913">
        <v>17</v>
      </c>
      <c r="G913">
        <v>30</v>
      </c>
      <c r="H913" t="s">
        <v>3491</v>
      </c>
      <c r="I913" t="s">
        <v>3492</v>
      </c>
      <c r="J913" t="s">
        <v>2889</v>
      </c>
    </row>
    <row r="914" spans="1:10" x14ac:dyDescent="0.25">
      <c r="A914" t="s">
        <v>1242</v>
      </c>
      <c r="B914" t="s">
        <v>95</v>
      </c>
      <c r="C914">
        <v>6</v>
      </c>
      <c r="D914" t="s">
        <v>3238</v>
      </c>
      <c r="E914">
        <v>81</v>
      </c>
      <c r="F914">
        <v>20</v>
      </c>
      <c r="G914">
        <v>61</v>
      </c>
      <c r="H914" t="s">
        <v>196</v>
      </c>
      <c r="I914" t="s">
        <v>3490</v>
      </c>
      <c r="J914" t="s">
        <v>2889</v>
      </c>
    </row>
    <row r="915" spans="1:10" x14ac:dyDescent="0.25">
      <c r="A915" t="s">
        <v>1242</v>
      </c>
      <c r="B915" t="s">
        <v>95</v>
      </c>
      <c r="C915">
        <v>6</v>
      </c>
      <c r="D915" t="s">
        <v>3240</v>
      </c>
      <c r="E915">
        <v>85</v>
      </c>
      <c r="F915">
        <v>21</v>
      </c>
      <c r="G915">
        <v>64</v>
      </c>
      <c r="H915" t="s">
        <v>196</v>
      </c>
      <c r="I915" t="s">
        <v>3490</v>
      </c>
      <c r="J915" t="s">
        <v>2889</v>
      </c>
    </row>
    <row r="916" spans="1:10" x14ac:dyDescent="0.25">
      <c r="A916" t="s">
        <v>1242</v>
      </c>
      <c r="B916" t="s">
        <v>95</v>
      </c>
      <c r="C916">
        <v>6</v>
      </c>
      <c r="D916" t="s">
        <v>3242</v>
      </c>
      <c r="E916">
        <v>87</v>
      </c>
      <c r="F916">
        <v>17</v>
      </c>
      <c r="G916">
        <v>70</v>
      </c>
      <c r="H916" t="s">
        <v>196</v>
      </c>
      <c r="I916" t="s">
        <v>3490</v>
      </c>
      <c r="J916" t="s">
        <v>2889</v>
      </c>
    </row>
    <row r="917" spans="1:10" x14ac:dyDescent="0.25">
      <c r="A917" t="s">
        <v>1248</v>
      </c>
      <c r="B917" t="s">
        <v>75</v>
      </c>
      <c r="C917">
        <v>6</v>
      </c>
      <c r="D917" t="s">
        <v>3054</v>
      </c>
      <c r="E917">
        <v>82</v>
      </c>
      <c r="F917">
        <v>28</v>
      </c>
      <c r="G917">
        <v>54</v>
      </c>
      <c r="H917" t="s">
        <v>196</v>
      </c>
      <c r="I917" t="s">
        <v>3490</v>
      </c>
      <c r="J917" t="s">
        <v>2961</v>
      </c>
    </row>
    <row r="918" spans="1:10" x14ac:dyDescent="0.25">
      <c r="A918" t="s">
        <v>1248</v>
      </c>
      <c r="B918" t="s">
        <v>75</v>
      </c>
      <c r="C918">
        <v>6</v>
      </c>
      <c r="D918" t="s">
        <v>3056</v>
      </c>
      <c r="E918">
        <v>56</v>
      </c>
      <c r="F918">
        <v>16</v>
      </c>
      <c r="G918">
        <v>40</v>
      </c>
      <c r="H918" t="s">
        <v>3493</v>
      </c>
      <c r="I918" t="s">
        <v>3490</v>
      </c>
      <c r="J918" t="s">
        <v>2961</v>
      </c>
    </row>
    <row r="919" spans="1:10" x14ac:dyDescent="0.25">
      <c r="A919" t="s">
        <v>1248</v>
      </c>
      <c r="B919" t="s">
        <v>75</v>
      </c>
      <c r="C919">
        <v>6</v>
      </c>
      <c r="D919" t="s">
        <v>3058</v>
      </c>
      <c r="E919">
        <v>66</v>
      </c>
      <c r="F919">
        <v>27</v>
      </c>
      <c r="G919">
        <v>39</v>
      </c>
      <c r="H919" t="s">
        <v>3489</v>
      </c>
      <c r="I919" t="s">
        <v>3490</v>
      </c>
      <c r="J919" t="s">
        <v>2961</v>
      </c>
    </row>
    <row r="920" spans="1:10" x14ac:dyDescent="0.25">
      <c r="A920" t="s">
        <v>1248</v>
      </c>
      <c r="B920" t="s">
        <v>75</v>
      </c>
      <c r="C920">
        <v>6</v>
      </c>
      <c r="D920" t="s">
        <v>3060</v>
      </c>
      <c r="E920">
        <v>64</v>
      </c>
      <c r="F920">
        <v>18</v>
      </c>
      <c r="G920">
        <v>46</v>
      </c>
      <c r="H920" t="s">
        <v>3489</v>
      </c>
      <c r="I920" t="s">
        <v>3490</v>
      </c>
      <c r="J920" t="s">
        <v>2961</v>
      </c>
    </row>
    <row r="921" spans="1:10" x14ac:dyDescent="0.25">
      <c r="A921" t="s">
        <v>1248</v>
      </c>
      <c r="B921" t="s">
        <v>75</v>
      </c>
      <c r="C921">
        <v>6</v>
      </c>
      <c r="D921" t="s">
        <v>3062</v>
      </c>
      <c r="E921">
        <v>64</v>
      </c>
      <c r="F921">
        <v>13</v>
      </c>
      <c r="G921">
        <v>51</v>
      </c>
      <c r="H921" t="s">
        <v>3489</v>
      </c>
      <c r="I921" t="s">
        <v>3490</v>
      </c>
      <c r="J921" t="s">
        <v>2961</v>
      </c>
    </row>
    <row r="922" spans="1:10" x14ac:dyDescent="0.25">
      <c r="A922" t="s">
        <v>1253</v>
      </c>
      <c r="B922" t="s">
        <v>159</v>
      </c>
      <c r="C922">
        <v>8</v>
      </c>
      <c r="D922" t="s">
        <v>3114</v>
      </c>
      <c r="E922">
        <v>79</v>
      </c>
      <c r="F922">
        <v>30</v>
      </c>
      <c r="G922">
        <v>49</v>
      </c>
      <c r="H922" t="s">
        <v>3494</v>
      </c>
      <c r="I922" t="s">
        <v>3490</v>
      </c>
      <c r="J922" t="s">
        <v>2902</v>
      </c>
    </row>
    <row r="923" spans="1:10" x14ac:dyDescent="0.25">
      <c r="A923" t="s">
        <v>1253</v>
      </c>
      <c r="B923" t="s">
        <v>159</v>
      </c>
      <c r="C923">
        <v>8</v>
      </c>
      <c r="D923" t="s">
        <v>3116</v>
      </c>
      <c r="E923">
        <v>59</v>
      </c>
      <c r="F923">
        <v>25</v>
      </c>
      <c r="G923">
        <v>34</v>
      </c>
      <c r="H923" t="s">
        <v>3493</v>
      </c>
      <c r="I923" t="s">
        <v>3490</v>
      </c>
      <c r="J923" t="s">
        <v>2902</v>
      </c>
    </row>
    <row r="924" spans="1:10" x14ac:dyDescent="0.25">
      <c r="A924" t="s">
        <v>1253</v>
      </c>
      <c r="B924" t="s">
        <v>159</v>
      </c>
      <c r="C924">
        <v>8</v>
      </c>
      <c r="D924" t="s">
        <v>3118</v>
      </c>
      <c r="E924">
        <v>60</v>
      </c>
      <c r="F924">
        <v>15</v>
      </c>
      <c r="G924">
        <v>45</v>
      </c>
      <c r="H924" t="s">
        <v>3489</v>
      </c>
      <c r="I924" t="s">
        <v>3490</v>
      </c>
      <c r="J924" t="s">
        <v>2902</v>
      </c>
    </row>
    <row r="925" spans="1:10" x14ac:dyDescent="0.25">
      <c r="A925" t="s">
        <v>1253</v>
      </c>
      <c r="B925" t="s">
        <v>159</v>
      </c>
      <c r="C925">
        <v>8</v>
      </c>
      <c r="D925" t="s">
        <v>3120</v>
      </c>
      <c r="E925">
        <v>54</v>
      </c>
      <c r="F925">
        <v>19</v>
      </c>
      <c r="G925">
        <v>35</v>
      </c>
      <c r="H925" t="s">
        <v>3493</v>
      </c>
      <c r="I925" t="s">
        <v>3490</v>
      </c>
      <c r="J925" t="s">
        <v>2902</v>
      </c>
    </row>
    <row r="926" spans="1:10" x14ac:dyDescent="0.25">
      <c r="A926" t="s">
        <v>1253</v>
      </c>
      <c r="B926" t="s">
        <v>159</v>
      </c>
      <c r="C926">
        <v>8</v>
      </c>
      <c r="D926" t="s">
        <v>3122</v>
      </c>
      <c r="E926">
        <v>66</v>
      </c>
      <c r="F926">
        <v>10</v>
      </c>
      <c r="G926">
        <v>56</v>
      </c>
      <c r="H926" t="s">
        <v>3489</v>
      </c>
      <c r="I926" t="s">
        <v>3490</v>
      </c>
      <c r="J926" t="s">
        <v>2902</v>
      </c>
    </row>
    <row r="927" spans="1:10" x14ac:dyDescent="0.25">
      <c r="A927" t="s">
        <v>1259</v>
      </c>
      <c r="B927" t="s">
        <v>105</v>
      </c>
      <c r="C927">
        <v>4</v>
      </c>
      <c r="D927" t="s">
        <v>3154</v>
      </c>
      <c r="E927">
        <v>56</v>
      </c>
      <c r="F927">
        <v>20</v>
      </c>
      <c r="G927">
        <v>36</v>
      </c>
      <c r="H927" t="s">
        <v>3493</v>
      </c>
      <c r="I927" t="s">
        <v>3490</v>
      </c>
      <c r="J927" t="s">
        <v>2908</v>
      </c>
    </row>
    <row r="928" spans="1:10" x14ac:dyDescent="0.25">
      <c r="A928" t="s">
        <v>1259</v>
      </c>
      <c r="B928" t="s">
        <v>105</v>
      </c>
      <c r="C928">
        <v>4</v>
      </c>
      <c r="D928" t="s">
        <v>3156</v>
      </c>
      <c r="E928">
        <v>74</v>
      </c>
      <c r="F928">
        <v>18</v>
      </c>
      <c r="G928">
        <v>56</v>
      </c>
      <c r="H928" t="s">
        <v>3494</v>
      </c>
      <c r="I928" t="s">
        <v>3490</v>
      </c>
      <c r="J928" t="s">
        <v>2908</v>
      </c>
    </row>
    <row r="929" spans="1:10" x14ac:dyDescent="0.25">
      <c r="A929" t="s">
        <v>1259</v>
      </c>
      <c r="B929" t="s">
        <v>105</v>
      </c>
      <c r="C929">
        <v>4</v>
      </c>
      <c r="D929" t="s">
        <v>3158</v>
      </c>
      <c r="E929">
        <v>84</v>
      </c>
      <c r="F929">
        <v>25</v>
      </c>
      <c r="G929">
        <v>59</v>
      </c>
      <c r="H929" t="s">
        <v>196</v>
      </c>
      <c r="I929" t="s">
        <v>3490</v>
      </c>
      <c r="J929" t="s">
        <v>2908</v>
      </c>
    </row>
    <row r="930" spans="1:10" x14ac:dyDescent="0.25">
      <c r="A930" t="s">
        <v>1259</v>
      </c>
      <c r="B930" t="s">
        <v>105</v>
      </c>
      <c r="C930">
        <v>4</v>
      </c>
      <c r="D930" t="s">
        <v>3160</v>
      </c>
      <c r="E930">
        <v>44</v>
      </c>
      <c r="F930">
        <v>13</v>
      </c>
      <c r="G930">
        <v>31</v>
      </c>
      <c r="H930" t="s">
        <v>3491</v>
      </c>
      <c r="I930" t="s">
        <v>3492</v>
      </c>
      <c r="J930" t="s">
        <v>2908</v>
      </c>
    </row>
    <row r="931" spans="1:10" x14ac:dyDescent="0.25">
      <c r="A931" t="s">
        <v>1259</v>
      </c>
      <c r="B931" t="s">
        <v>105</v>
      </c>
      <c r="C931">
        <v>4</v>
      </c>
      <c r="D931" t="s">
        <v>3162</v>
      </c>
      <c r="E931">
        <v>82</v>
      </c>
      <c r="F931">
        <v>24</v>
      </c>
      <c r="G931">
        <v>58</v>
      </c>
      <c r="H931" t="s">
        <v>196</v>
      </c>
      <c r="I931" t="s">
        <v>3490</v>
      </c>
      <c r="J931" t="s">
        <v>2908</v>
      </c>
    </row>
    <row r="932" spans="1:10" x14ac:dyDescent="0.25">
      <c r="A932" t="s">
        <v>1266</v>
      </c>
      <c r="B932" t="s">
        <v>30</v>
      </c>
      <c r="C932">
        <v>8</v>
      </c>
      <c r="D932" t="s">
        <v>3354</v>
      </c>
      <c r="E932">
        <v>76</v>
      </c>
      <c r="F932">
        <v>28</v>
      </c>
      <c r="G932">
        <v>48</v>
      </c>
      <c r="H932" t="s">
        <v>3494</v>
      </c>
      <c r="I932" t="s">
        <v>3490</v>
      </c>
      <c r="J932" t="s">
        <v>2895</v>
      </c>
    </row>
    <row r="933" spans="1:10" x14ac:dyDescent="0.25">
      <c r="A933" t="s">
        <v>1266</v>
      </c>
      <c r="B933" t="s">
        <v>30</v>
      </c>
      <c r="C933">
        <v>8</v>
      </c>
      <c r="D933" t="s">
        <v>3356</v>
      </c>
      <c r="E933">
        <v>41</v>
      </c>
      <c r="F933">
        <v>10</v>
      </c>
      <c r="G933">
        <v>31</v>
      </c>
      <c r="H933" t="s">
        <v>3491</v>
      </c>
      <c r="I933" t="s">
        <v>3492</v>
      </c>
      <c r="J933" t="s">
        <v>2895</v>
      </c>
    </row>
    <row r="934" spans="1:10" x14ac:dyDescent="0.25">
      <c r="A934" t="s">
        <v>1266</v>
      </c>
      <c r="B934" t="s">
        <v>30</v>
      </c>
      <c r="C934">
        <v>8</v>
      </c>
      <c r="D934" t="s">
        <v>3358</v>
      </c>
      <c r="E934">
        <v>59</v>
      </c>
      <c r="F934">
        <v>28</v>
      </c>
      <c r="G934">
        <v>31</v>
      </c>
      <c r="H934" t="s">
        <v>3493</v>
      </c>
      <c r="I934" t="s">
        <v>3490</v>
      </c>
      <c r="J934" t="s">
        <v>2895</v>
      </c>
    </row>
    <row r="935" spans="1:10" x14ac:dyDescent="0.25">
      <c r="A935" t="s">
        <v>1266</v>
      </c>
      <c r="B935" t="s">
        <v>30</v>
      </c>
      <c r="C935">
        <v>8</v>
      </c>
      <c r="D935" t="s">
        <v>3360</v>
      </c>
      <c r="E935">
        <v>48</v>
      </c>
      <c r="F935">
        <v>24</v>
      </c>
      <c r="G935">
        <v>24</v>
      </c>
      <c r="H935" t="s">
        <v>3491</v>
      </c>
      <c r="I935" t="s">
        <v>3492</v>
      </c>
      <c r="J935" t="s">
        <v>2895</v>
      </c>
    </row>
    <row r="936" spans="1:10" x14ac:dyDescent="0.25">
      <c r="A936" t="s">
        <v>1266</v>
      </c>
      <c r="B936" t="s">
        <v>30</v>
      </c>
      <c r="C936">
        <v>8</v>
      </c>
      <c r="D936" t="s">
        <v>3362</v>
      </c>
      <c r="E936">
        <v>38</v>
      </c>
      <c r="F936">
        <v>15</v>
      </c>
      <c r="G936">
        <v>23</v>
      </c>
      <c r="H936" t="s">
        <v>3491</v>
      </c>
      <c r="I936" t="s">
        <v>3492</v>
      </c>
      <c r="J936" t="s">
        <v>2895</v>
      </c>
    </row>
    <row r="937" spans="1:10" x14ac:dyDescent="0.25">
      <c r="A937" t="s">
        <v>1271</v>
      </c>
      <c r="B937" t="s">
        <v>212</v>
      </c>
      <c r="C937">
        <v>8</v>
      </c>
      <c r="D937" t="s">
        <v>3474</v>
      </c>
      <c r="E937">
        <v>55</v>
      </c>
      <c r="F937">
        <v>20</v>
      </c>
      <c r="G937">
        <v>35</v>
      </c>
      <c r="H937" t="s">
        <v>3493</v>
      </c>
      <c r="I937" t="s">
        <v>3490</v>
      </c>
      <c r="J937" t="s">
        <v>3001</v>
      </c>
    </row>
    <row r="938" spans="1:10" x14ac:dyDescent="0.25">
      <c r="A938" t="s">
        <v>1271</v>
      </c>
      <c r="B938" t="s">
        <v>212</v>
      </c>
      <c r="C938">
        <v>8</v>
      </c>
      <c r="D938" t="s">
        <v>3476</v>
      </c>
      <c r="E938">
        <v>78</v>
      </c>
      <c r="F938">
        <v>29</v>
      </c>
      <c r="G938">
        <v>49</v>
      </c>
      <c r="H938" t="s">
        <v>3494</v>
      </c>
      <c r="I938" t="s">
        <v>3490</v>
      </c>
      <c r="J938" t="s">
        <v>3001</v>
      </c>
    </row>
    <row r="939" spans="1:10" x14ac:dyDescent="0.25">
      <c r="A939" t="s">
        <v>1271</v>
      </c>
      <c r="B939" t="s">
        <v>212</v>
      </c>
      <c r="C939">
        <v>8</v>
      </c>
      <c r="D939" t="s">
        <v>3478</v>
      </c>
      <c r="E939">
        <v>77</v>
      </c>
      <c r="F939">
        <v>26</v>
      </c>
      <c r="G939">
        <v>51</v>
      </c>
      <c r="H939" t="s">
        <v>3494</v>
      </c>
      <c r="I939" t="s">
        <v>3490</v>
      </c>
      <c r="J939" t="s">
        <v>3001</v>
      </c>
    </row>
    <row r="940" spans="1:10" x14ac:dyDescent="0.25">
      <c r="A940" t="s">
        <v>1271</v>
      </c>
      <c r="B940" t="s">
        <v>212</v>
      </c>
      <c r="C940">
        <v>8</v>
      </c>
      <c r="D940" t="s">
        <v>3480</v>
      </c>
      <c r="E940">
        <v>46</v>
      </c>
      <c r="F940">
        <v>13</v>
      </c>
      <c r="G940">
        <v>33</v>
      </c>
      <c r="H940" t="s">
        <v>3491</v>
      </c>
      <c r="I940" t="s">
        <v>3492</v>
      </c>
      <c r="J940" t="s">
        <v>3001</v>
      </c>
    </row>
    <row r="941" spans="1:10" x14ac:dyDescent="0.25">
      <c r="A941" t="s">
        <v>1271</v>
      </c>
      <c r="B941" t="s">
        <v>212</v>
      </c>
      <c r="C941">
        <v>8</v>
      </c>
      <c r="D941" t="s">
        <v>3482</v>
      </c>
      <c r="E941">
        <v>90</v>
      </c>
      <c r="F941">
        <v>25</v>
      </c>
      <c r="G941">
        <v>65</v>
      </c>
      <c r="H941" t="s">
        <v>3495</v>
      </c>
      <c r="I941" t="s">
        <v>3490</v>
      </c>
      <c r="J941" t="s">
        <v>3001</v>
      </c>
    </row>
    <row r="942" spans="1:10" x14ac:dyDescent="0.25">
      <c r="A942" t="s">
        <v>1276</v>
      </c>
      <c r="B942" t="s">
        <v>122</v>
      </c>
      <c r="C942">
        <v>6</v>
      </c>
      <c r="D942" t="s">
        <v>3294</v>
      </c>
      <c r="E942">
        <v>48</v>
      </c>
      <c r="F942">
        <v>20</v>
      </c>
      <c r="G942">
        <v>28</v>
      </c>
      <c r="H942" t="s">
        <v>3491</v>
      </c>
      <c r="I942" t="s">
        <v>3492</v>
      </c>
      <c r="J942" t="s">
        <v>2919</v>
      </c>
    </row>
    <row r="943" spans="1:10" x14ac:dyDescent="0.25">
      <c r="A943" t="s">
        <v>1276</v>
      </c>
      <c r="B943" t="s">
        <v>122</v>
      </c>
      <c r="C943">
        <v>6</v>
      </c>
      <c r="D943" t="s">
        <v>3296</v>
      </c>
      <c r="E943">
        <v>83</v>
      </c>
      <c r="F943">
        <v>28</v>
      </c>
      <c r="G943">
        <v>55</v>
      </c>
      <c r="H943" t="s">
        <v>196</v>
      </c>
      <c r="I943" t="s">
        <v>3490</v>
      </c>
      <c r="J943" t="s">
        <v>2919</v>
      </c>
    </row>
    <row r="944" spans="1:10" x14ac:dyDescent="0.25">
      <c r="A944" t="s">
        <v>1276</v>
      </c>
      <c r="B944" t="s">
        <v>122</v>
      </c>
      <c r="C944">
        <v>6</v>
      </c>
      <c r="D944" t="s">
        <v>3298</v>
      </c>
      <c r="E944">
        <v>61</v>
      </c>
      <c r="F944">
        <v>26</v>
      </c>
      <c r="G944">
        <v>35</v>
      </c>
      <c r="H944" t="s">
        <v>3489</v>
      </c>
      <c r="I944" t="s">
        <v>3490</v>
      </c>
      <c r="J944" t="s">
        <v>2919</v>
      </c>
    </row>
    <row r="945" spans="1:10" x14ac:dyDescent="0.25">
      <c r="A945" t="s">
        <v>1276</v>
      </c>
      <c r="B945" t="s">
        <v>122</v>
      </c>
      <c r="C945">
        <v>6</v>
      </c>
      <c r="D945" t="s">
        <v>3300</v>
      </c>
      <c r="E945">
        <v>43</v>
      </c>
      <c r="F945">
        <v>14</v>
      </c>
      <c r="G945">
        <v>29</v>
      </c>
      <c r="H945" t="s">
        <v>3491</v>
      </c>
      <c r="I945" t="s">
        <v>3492</v>
      </c>
      <c r="J945" t="s">
        <v>2919</v>
      </c>
    </row>
    <row r="946" spans="1:10" x14ac:dyDescent="0.25">
      <c r="A946" t="s">
        <v>1276</v>
      </c>
      <c r="B946" t="s">
        <v>122</v>
      </c>
      <c r="C946">
        <v>6</v>
      </c>
      <c r="D946" t="s">
        <v>3302</v>
      </c>
      <c r="E946">
        <v>73</v>
      </c>
      <c r="F946">
        <v>10</v>
      </c>
      <c r="G946">
        <v>63</v>
      </c>
      <c r="H946" t="s">
        <v>3494</v>
      </c>
      <c r="I946" t="s">
        <v>3490</v>
      </c>
      <c r="J946" t="s">
        <v>2919</v>
      </c>
    </row>
    <row r="947" spans="1:10" x14ac:dyDescent="0.25">
      <c r="A947" t="s">
        <v>1282</v>
      </c>
      <c r="B947" t="s">
        <v>63</v>
      </c>
      <c r="C947">
        <v>8</v>
      </c>
      <c r="D947" t="s">
        <v>3414</v>
      </c>
      <c r="E947">
        <v>41</v>
      </c>
      <c r="F947">
        <v>13</v>
      </c>
      <c r="G947">
        <v>28</v>
      </c>
      <c r="H947" t="s">
        <v>3491</v>
      </c>
      <c r="I947" t="s">
        <v>3492</v>
      </c>
      <c r="J947" t="s">
        <v>2932</v>
      </c>
    </row>
    <row r="948" spans="1:10" x14ac:dyDescent="0.25">
      <c r="A948" t="s">
        <v>1282</v>
      </c>
      <c r="B948" t="s">
        <v>63</v>
      </c>
      <c r="C948">
        <v>8</v>
      </c>
      <c r="D948" t="s">
        <v>3416</v>
      </c>
      <c r="E948">
        <v>66</v>
      </c>
      <c r="F948">
        <v>21</v>
      </c>
      <c r="G948">
        <v>45</v>
      </c>
      <c r="H948" t="s">
        <v>3489</v>
      </c>
      <c r="I948" t="s">
        <v>3490</v>
      </c>
      <c r="J948" t="s">
        <v>2932</v>
      </c>
    </row>
    <row r="949" spans="1:10" x14ac:dyDescent="0.25">
      <c r="A949" t="s">
        <v>1282</v>
      </c>
      <c r="B949" t="s">
        <v>63</v>
      </c>
      <c r="C949">
        <v>8</v>
      </c>
      <c r="D949" t="s">
        <v>3418</v>
      </c>
      <c r="E949">
        <v>66</v>
      </c>
      <c r="F949">
        <v>11</v>
      </c>
      <c r="G949">
        <v>55</v>
      </c>
      <c r="H949" t="s">
        <v>3489</v>
      </c>
      <c r="I949" t="s">
        <v>3490</v>
      </c>
      <c r="J949" t="s">
        <v>2932</v>
      </c>
    </row>
    <row r="950" spans="1:10" x14ac:dyDescent="0.25">
      <c r="A950" t="s">
        <v>1282</v>
      </c>
      <c r="B950" t="s">
        <v>63</v>
      </c>
      <c r="C950">
        <v>8</v>
      </c>
      <c r="D950" t="s">
        <v>3420</v>
      </c>
      <c r="E950">
        <v>47</v>
      </c>
      <c r="F950">
        <v>16</v>
      </c>
      <c r="G950">
        <v>31</v>
      </c>
      <c r="H950" t="s">
        <v>3491</v>
      </c>
      <c r="I950" t="s">
        <v>3492</v>
      </c>
      <c r="J950" t="s">
        <v>2932</v>
      </c>
    </row>
    <row r="951" spans="1:10" x14ac:dyDescent="0.25">
      <c r="A951" t="s">
        <v>1282</v>
      </c>
      <c r="B951" t="s">
        <v>63</v>
      </c>
      <c r="C951">
        <v>8</v>
      </c>
      <c r="D951" t="s">
        <v>3422</v>
      </c>
      <c r="E951">
        <v>33</v>
      </c>
      <c r="F951">
        <v>11</v>
      </c>
      <c r="G951">
        <v>22</v>
      </c>
      <c r="H951" t="s">
        <v>3491</v>
      </c>
      <c r="I951" t="s">
        <v>3492</v>
      </c>
      <c r="J951" t="s">
        <v>2932</v>
      </c>
    </row>
    <row r="952" spans="1:10" x14ac:dyDescent="0.25">
      <c r="A952" t="s">
        <v>1288</v>
      </c>
      <c r="B952" t="s">
        <v>95</v>
      </c>
      <c r="C952">
        <v>6</v>
      </c>
      <c r="D952" t="s">
        <v>3234</v>
      </c>
      <c r="E952">
        <v>86</v>
      </c>
      <c r="F952">
        <v>18</v>
      </c>
      <c r="G952">
        <v>68</v>
      </c>
      <c r="H952" t="s">
        <v>196</v>
      </c>
      <c r="I952" t="s">
        <v>3490</v>
      </c>
      <c r="J952" t="s">
        <v>2889</v>
      </c>
    </row>
    <row r="953" spans="1:10" x14ac:dyDescent="0.25">
      <c r="A953" t="s">
        <v>1288</v>
      </c>
      <c r="B953" t="s">
        <v>95</v>
      </c>
      <c r="C953">
        <v>6</v>
      </c>
      <c r="D953" t="s">
        <v>3236</v>
      </c>
      <c r="E953">
        <v>78</v>
      </c>
      <c r="F953">
        <v>27</v>
      </c>
      <c r="G953">
        <v>51</v>
      </c>
      <c r="H953" t="s">
        <v>3494</v>
      </c>
      <c r="I953" t="s">
        <v>3490</v>
      </c>
      <c r="J953" t="s">
        <v>2889</v>
      </c>
    </row>
    <row r="954" spans="1:10" x14ac:dyDescent="0.25">
      <c r="A954" t="s">
        <v>1288</v>
      </c>
      <c r="B954" t="s">
        <v>95</v>
      </c>
      <c r="C954">
        <v>6</v>
      </c>
      <c r="D954" t="s">
        <v>3238</v>
      </c>
      <c r="E954">
        <v>92</v>
      </c>
      <c r="F954">
        <v>29</v>
      </c>
      <c r="G954">
        <v>63</v>
      </c>
      <c r="H954" t="s">
        <v>3495</v>
      </c>
      <c r="I954" t="s">
        <v>3490</v>
      </c>
      <c r="J954" t="s">
        <v>2889</v>
      </c>
    </row>
    <row r="955" spans="1:10" x14ac:dyDescent="0.25">
      <c r="A955" t="s">
        <v>1288</v>
      </c>
      <c r="B955" t="s">
        <v>95</v>
      </c>
      <c r="C955">
        <v>6</v>
      </c>
      <c r="D955" t="s">
        <v>3240</v>
      </c>
      <c r="E955">
        <v>77</v>
      </c>
      <c r="F955">
        <v>24</v>
      </c>
      <c r="G955">
        <v>53</v>
      </c>
      <c r="H955" t="s">
        <v>3494</v>
      </c>
      <c r="I955" t="s">
        <v>3490</v>
      </c>
      <c r="J955" t="s">
        <v>2889</v>
      </c>
    </row>
    <row r="956" spans="1:10" x14ac:dyDescent="0.25">
      <c r="A956" t="s">
        <v>1288</v>
      </c>
      <c r="B956" t="s">
        <v>95</v>
      </c>
      <c r="C956">
        <v>6</v>
      </c>
      <c r="D956" t="s">
        <v>3242</v>
      </c>
      <c r="E956">
        <v>78</v>
      </c>
      <c r="F956">
        <v>26</v>
      </c>
      <c r="G956">
        <v>52</v>
      </c>
      <c r="H956" t="s">
        <v>3494</v>
      </c>
      <c r="I956" t="s">
        <v>3490</v>
      </c>
      <c r="J956" t="s">
        <v>2889</v>
      </c>
    </row>
    <row r="957" spans="1:10" x14ac:dyDescent="0.25">
      <c r="A957" t="s">
        <v>1294</v>
      </c>
      <c r="B957" t="s">
        <v>30</v>
      </c>
      <c r="C957">
        <v>8</v>
      </c>
      <c r="D957" t="s">
        <v>3354</v>
      </c>
      <c r="E957">
        <v>76</v>
      </c>
      <c r="F957">
        <v>28</v>
      </c>
      <c r="G957">
        <v>48</v>
      </c>
      <c r="H957" t="s">
        <v>3494</v>
      </c>
      <c r="I957" t="s">
        <v>3490</v>
      </c>
      <c r="J957" t="s">
        <v>2895</v>
      </c>
    </row>
    <row r="958" spans="1:10" x14ac:dyDescent="0.25">
      <c r="A958" t="s">
        <v>1294</v>
      </c>
      <c r="B958" t="s">
        <v>30</v>
      </c>
      <c r="C958">
        <v>8</v>
      </c>
      <c r="D958" t="s">
        <v>3356</v>
      </c>
      <c r="E958">
        <v>84</v>
      </c>
      <c r="F958">
        <v>21</v>
      </c>
      <c r="G958">
        <v>63</v>
      </c>
      <c r="H958" t="s">
        <v>196</v>
      </c>
      <c r="I958" t="s">
        <v>3490</v>
      </c>
      <c r="J958" t="s">
        <v>2895</v>
      </c>
    </row>
    <row r="959" spans="1:10" x14ac:dyDescent="0.25">
      <c r="A959" t="s">
        <v>1294</v>
      </c>
      <c r="B959" t="s">
        <v>30</v>
      </c>
      <c r="C959">
        <v>8</v>
      </c>
      <c r="D959" t="s">
        <v>3358</v>
      </c>
      <c r="E959">
        <v>80</v>
      </c>
      <c r="F959">
        <v>16</v>
      </c>
      <c r="G959">
        <v>64</v>
      </c>
      <c r="H959" t="s">
        <v>196</v>
      </c>
      <c r="I959" t="s">
        <v>3490</v>
      </c>
      <c r="J959" t="s">
        <v>2895</v>
      </c>
    </row>
    <row r="960" spans="1:10" x14ac:dyDescent="0.25">
      <c r="A960" t="s">
        <v>1294</v>
      </c>
      <c r="B960" t="s">
        <v>30</v>
      </c>
      <c r="C960">
        <v>8</v>
      </c>
      <c r="D960" t="s">
        <v>3360</v>
      </c>
      <c r="E960">
        <v>83</v>
      </c>
      <c r="F960">
        <v>21</v>
      </c>
      <c r="G960">
        <v>62</v>
      </c>
      <c r="H960" t="s">
        <v>196</v>
      </c>
      <c r="I960" t="s">
        <v>3490</v>
      </c>
      <c r="J960" t="s">
        <v>2895</v>
      </c>
    </row>
    <row r="961" spans="1:10" x14ac:dyDescent="0.25">
      <c r="A961" t="s">
        <v>1294</v>
      </c>
      <c r="B961" t="s">
        <v>30</v>
      </c>
      <c r="C961">
        <v>8</v>
      </c>
      <c r="D961" t="s">
        <v>3362</v>
      </c>
      <c r="E961">
        <v>68</v>
      </c>
      <c r="F961">
        <v>26</v>
      </c>
      <c r="G961">
        <v>42</v>
      </c>
      <c r="H961" t="s">
        <v>3489</v>
      </c>
      <c r="I961" t="s">
        <v>3490</v>
      </c>
      <c r="J961" t="s">
        <v>2895</v>
      </c>
    </row>
    <row r="962" spans="1:10" x14ac:dyDescent="0.25">
      <c r="A962" t="s">
        <v>1299</v>
      </c>
      <c r="B962" t="s">
        <v>63</v>
      </c>
      <c r="C962">
        <v>6</v>
      </c>
      <c r="D962" t="s">
        <v>3414</v>
      </c>
      <c r="E962">
        <v>50</v>
      </c>
      <c r="F962">
        <v>15</v>
      </c>
      <c r="G962">
        <v>35</v>
      </c>
      <c r="H962" t="s">
        <v>3493</v>
      </c>
      <c r="I962" t="s">
        <v>3490</v>
      </c>
      <c r="J962" t="s">
        <v>2932</v>
      </c>
    </row>
    <row r="963" spans="1:10" x14ac:dyDescent="0.25">
      <c r="A963" t="s">
        <v>1299</v>
      </c>
      <c r="B963" t="s">
        <v>63</v>
      </c>
      <c r="C963">
        <v>6</v>
      </c>
      <c r="D963" t="s">
        <v>3416</v>
      </c>
      <c r="E963">
        <v>84</v>
      </c>
      <c r="F963">
        <v>30</v>
      </c>
      <c r="G963">
        <v>54</v>
      </c>
      <c r="H963" t="s">
        <v>196</v>
      </c>
      <c r="I963" t="s">
        <v>3490</v>
      </c>
      <c r="J963" t="s">
        <v>2932</v>
      </c>
    </row>
    <row r="964" spans="1:10" x14ac:dyDescent="0.25">
      <c r="A964" t="s">
        <v>1299</v>
      </c>
      <c r="B964" t="s">
        <v>63</v>
      </c>
      <c r="C964">
        <v>6</v>
      </c>
      <c r="D964" t="s">
        <v>3418</v>
      </c>
      <c r="E964">
        <v>45</v>
      </c>
      <c r="F964">
        <v>22</v>
      </c>
      <c r="G964">
        <v>23</v>
      </c>
      <c r="H964" t="s">
        <v>3491</v>
      </c>
      <c r="I964" t="s">
        <v>3492</v>
      </c>
      <c r="J964" t="s">
        <v>2932</v>
      </c>
    </row>
    <row r="965" spans="1:10" x14ac:dyDescent="0.25">
      <c r="A965" t="s">
        <v>1299</v>
      </c>
      <c r="B965" t="s">
        <v>63</v>
      </c>
      <c r="C965">
        <v>6</v>
      </c>
      <c r="D965" t="s">
        <v>3420</v>
      </c>
      <c r="E965">
        <v>43</v>
      </c>
      <c r="F965">
        <v>11</v>
      </c>
      <c r="G965">
        <v>32</v>
      </c>
      <c r="H965" t="s">
        <v>3491</v>
      </c>
      <c r="I965" t="s">
        <v>3492</v>
      </c>
      <c r="J965" t="s">
        <v>2932</v>
      </c>
    </row>
    <row r="966" spans="1:10" x14ac:dyDescent="0.25">
      <c r="A966" t="s">
        <v>1299</v>
      </c>
      <c r="B966" t="s">
        <v>63</v>
      </c>
      <c r="C966">
        <v>6</v>
      </c>
      <c r="D966" t="s">
        <v>3422</v>
      </c>
      <c r="E966">
        <v>47</v>
      </c>
      <c r="F966">
        <v>10</v>
      </c>
      <c r="G966">
        <v>37</v>
      </c>
      <c r="H966" t="s">
        <v>3491</v>
      </c>
      <c r="I966" t="s">
        <v>3492</v>
      </c>
      <c r="J966" t="s">
        <v>2932</v>
      </c>
    </row>
    <row r="967" spans="1:10" x14ac:dyDescent="0.25">
      <c r="A967" t="s">
        <v>1305</v>
      </c>
      <c r="B967" t="s">
        <v>75</v>
      </c>
      <c r="C967">
        <v>8</v>
      </c>
      <c r="D967" t="s">
        <v>3054</v>
      </c>
      <c r="E967">
        <v>54</v>
      </c>
      <c r="F967">
        <v>19</v>
      </c>
      <c r="G967">
        <v>35</v>
      </c>
      <c r="H967" t="s">
        <v>3493</v>
      </c>
      <c r="I967" t="s">
        <v>3490</v>
      </c>
      <c r="J967" t="s">
        <v>2961</v>
      </c>
    </row>
    <row r="968" spans="1:10" x14ac:dyDescent="0.25">
      <c r="A968" t="s">
        <v>1305</v>
      </c>
      <c r="B968" t="s">
        <v>75</v>
      </c>
      <c r="C968">
        <v>8</v>
      </c>
      <c r="D968" t="s">
        <v>3056</v>
      </c>
      <c r="E968">
        <v>83</v>
      </c>
      <c r="F968">
        <v>22</v>
      </c>
      <c r="G968">
        <v>61</v>
      </c>
      <c r="H968" t="s">
        <v>196</v>
      </c>
      <c r="I968" t="s">
        <v>3490</v>
      </c>
      <c r="J968" t="s">
        <v>2961</v>
      </c>
    </row>
    <row r="969" spans="1:10" x14ac:dyDescent="0.25">
      <c r="A969" t="s">
        <v>1305</v>
      </c>
      <c r="B969" t="s">
        <v>75</v>
      </c>
      <c r="C969">
        <v>8</v>
      </c>
      <c r="D969" t="s">
        <v>3058</v>
      </c>
      <c r="E969">
        <v>68</v>
      </c>
      <c r="F969">
        <v>12</v>
      </c>
      <c r="G969">
        <v>56</v>
      </c>
      <c r="H969" t="s">
        <v>3489</v>
      </c>
      <c r="I969" t="s">
        <v>3490</v>
      </c>
      <c r="J969" t="s">
        <v>2961</v>
      </c>
    </row>
    <row r="970" spans="1:10" x14ac:dyDescent="0.25">
      <c r="A970" t="s">
        <v>1305</v>
      </c>
      <c r="B970" t="s">
        <v>75</v>
      </c>
      <c r="C970">
        <v>8</v>
      </c>
      <c r="D970" t="s">
        <v>3060</v>
      </c>
      <c r="E970">
        <v>68</v>
      </c>
      <c r="F970">
        <v>28</v>
      </c>
      <c r="G970">
        <v>40</v>
      </c>
      <c r="H970" t="s">
        <v>3489</v>
      </c>
      <c r="I970" t="s">
        <v>3490</v>
      </c>
      <c r="J970" t="s">
        <v>2961</v>
      </c>
    </row>
    <row r="971" spans="1:10" x14ac:dyDescent="0.25">
      <c r="A971" t="s">
        <v>1305</v>
      </c>
      <c r="B971" t="s">
        <v>75</v>
      </c>
      <c r="C971">
        <v>8</v>
      </c>
      <c r="D971" t="s">
        <v>3062</v>
      </c>
      <c r="E971">
        <v>62</v>
      </c>
      <c r="F971">
        <v>13</v>
      </c>
      <c r="G971">
        <v>49</v>
      </c>
      <c r="H971" t="s">
        <v>3489</v>
      </c>
      <c r="I971" t="s">
        <v>3490</v>
      </c>
      <c r="J971" t="s">
        <v>2961</v>
      </c>
    </row>
    <row r="972" spans="1:10" x14ac:dyDescent="0.25">
      <c r="A972" t="s">
        <v>1311</v>
      </c>
      <c r="B972" t="s">
        <v>95</v>
      </c>
      <c r="C972">
        <v>6</v>
      </c>
      <c r="D972" t="s">
        <v>3234</v>
      </c>
      <c r="E972">
        <v>54</v>
      </c>
      <c r="F972">
        <v>12</v>
      </c>
      <c r="G972">
        <v>42</v>
      </c>
      <c r="H972" t="s">
        <v>3493</v>
      </c>
      <c r="I972" t="s">
        <v>3490</v>
      </c>
      <c r="J972" t="s">
        <v>2889</v>
      </c>
    </row>
    <row r="973" spans="1:10" x14ac:dyDescent="0.25">
      <c r="A973" t="s">
        <v>1311</v>
      </c>
      <c r="B973" t="s">
        <v>95</v>
      </c>
      <c r="C973">
        <v>6</v>
      </c>
      <c r="D973" t="s">
        <v>3236</v>
      </c>
      <c r="E973">
        <v>48</v>
      </c>
      <c r="F973">
        <v>15</v>
      </c>
      <c r="G973">
        <v>33</v>
      </c>
      <c r="H973" t="s">
        <v>3491</v>
      </c>
      <c r="I973" t="s">
        <v>3492</v>
      </c>
      <c r="J973" t="s">
        <v>2889</v>
      </c>
    </row>
    <row r="974" spans="1:10" x14ac:dyDescent="0.25">
      <c r="A974" t="s">
        <v>1311</v>
      </c>
      <c r="B974" t="s">
        <v>95</v>
      </c>
      <c r="C974">
        <v>6</v>
      </c>
      <c r="D974" t="s">
        <v>3238</v>
      </c>
      <c r="E974">
        <v>53</v>
      </c>
      <c r="F974">
        <v>28</v>
      </c>
      <c r="G974">
        <v>25</v>
      </c>
      <c r="H974" t="s">
        <v>3493</v>
      </c>
      <c r="I974" t="s">
        <v>3490</v>
      </c>
      <c r="J974" t="s">
        <v>2889</v>
      </c>
    </row>
    <row r="975" spans="1:10" x14ac:dyDescent="0.25">
      <c r="A975" t="s">
        <v>1311</v>
      </c>
      <c r="B975" t="s">
        <v>95</v>
      </c>
      <c r="C975">
        <v>6</v>
      </c>
      <c r="D975" t="s">
        <v>3240</v>
      </c>
      <c r="E975">
        <v>79</v>
      </c>
      <c r="F975">
        <v>10</v>
      </c>
      <c r="G975">
        <v>69</v>
      </c>
      <c r="H975" t="s">
        <v>3494</v>
      </c>
      <c r="I975" t="s">
        <v>3490</v>
      </c>
      <c r="J975" t="s">
        <v>2889</v>
      </c>
    </row>
    <row r="976" spans="1:10" x14ac:dyDescent="0.25">
      <c r="A976" t="s">
        <v>1311</v>
      </c>
      <c r="B976" t="s">
        <v>95</v>
      </c>
      <c r="C976">
        <v>6</v>
      </c>
      <c r="D976" t="s">
        <v>3242</v>
      </c>
      <c r="E976">
        <v>75</v>
      </c>
      <c r="F976">
        <v>14</v>
      </c>
      <c r="G976">
        <v>61</v>
      </c>
      <c r="H976" t="s">
        <v>3494</v>
      </c>
      <c r="I976" t="s">
        <v>3490</v>
      </c>
      <c r="J976" t="s">
        <v>2889</v>
      </c>
    </row>
    <row r="977" spans="1:10" x14ac:dyDescent="0.25">
      <c r="A977" t="s">
        <v>1316</v>
      </c>
      <c r="B977" t="s">
        <v>212</v>
      </c>
      <c r="C977">
        <v>6</v>
      </c>
      <c r="D977" t="s">
        <v>3474</v>
      </c>
      <c r="E977">
        <v>58</v>
      </c>
      <c r="F977">
        <v>28</v>
      </c>
      <c r="G977">
        <v>30</v>
      </c>
      <c r="H977" t="s">
        <v>3493</v>
      </c>
      <c r="I977" t="s">
        <v>3490</v>
      </c>
      <c r="J977" t="s">
        <v>3001</v>
      </c>
    </row>
    <row r="978" spans="1:10" x14ac:dyDescent="0.25">
      <c r="A978" t="s">
        <v>1316</v>
      </c>
      <c r="B978" t="s">
        <v>212</v>
      </c>
      <c r="C978">
        <v>6</v>
      </c>
      <c r="D978" t="s">
        <v>3476</v>
      </c>
      <c r="E978">
        <v>95</v>
      </c>
      <c r="F978">
        <v>28</v>
      </c>
      <c r="G978">
        <v>67</v>
      </c>
      <c r="H978" t="s">
        <v>3495</v>
      </c>
      <c r="I978" t="s">
        <v>3490</v>
      </c>
      <c r="J978" t="s">
        <v>3001</v>
      </c>
    </row>
    <row r="979" spans="1:10" x14ac:dyDescent="0.25">
      <c r="A979" t="s">
        <v>1316</v>
      </c>
      <c r="B979" t="s">
        <v>212</v>
      </c>
      <c r="C979">
        <v>6</v>
      </c>
      <c r="D979" t="s">
        <v>3478</v>
      </c>
      <c r="E979">
        <v>83</v>
      </c>
      <c r="F979">
        <v>21</v>
      </c>
      <c r="G979">
        <v>62</v>
      </c>
      <c r="H979" t="s">
        <v>196</v>
      </c>
      <c r="I979" t="s">
        <v>3490</v>
      </c>
      <c r="J979" t="s">
        <v>3001</v>
      </c>
    </row>
    <row r="980" spans="1:10" x14ac:dyDescent="0.25">
      <c r="A980" t="s">
        <v>1316</v>
      </c>
      <c r="B980" t="s">
        <v>212</v>
      </c>
      <c r="C980">
        <v>6</v>
      </c>
      <c r="D980" t="s">
        <v>3480</v>
      </c>
      <c r="E980">
        <v>35</v>
      </c>
      <c r="F980">
        <v>10</v>
      </c>
      <c r="G980">
        <v>25</v>
      </c>
      <c r="H980" t="s">
        <v>3491</v>
      </c>
      <c r="I980" t="s">
        <v>3492</v>
      </c>
      <c r="J980" t="s">
        <v>3001</v>
      </c>
    </row>
    <row r="981" spans="1:10" x14ac:dyDescent="0.25">
      <c r="A981" t="s">
        <v>1316</v>
      </c>
      <c r="B981" t="s">
        <v>212</v>
      </c>
      <c r="C981">
        <v>6</v>
      </c>
      <c r="D981" t="s">
        <v>3482</v>
      </c>
      <c r="E981">
        <v>51</v>
      </c>
      <c r="F981">
        <v>19</v>
      </c>
      <c r="G981">
        <v>32</v>
      </c>
      <c r="H981" t="s">
        <v>3493</v>
      </c>
      <c r="I981" t="s">
        <v>3490</v>
      </c>
      <c r="J981" t="s">
        <v>3001</v>
      </c>
    </row>
    <row r="982" spans="1:10" x14ac:dyDescent="0.25">
      <c r="A982" t="s">
        <v>1321</v>
      </c>
      <c r="B982" t="s">
        <v>159</v>
      </c>
      <c r="C982">
        <v>8</v>
      </c>
      <c r="D982" t="s">
        <v>3114</v>
      </c>
      <c r="E982">
        <v>62</v>
      </c>
      <c r="F982">
        <v>25</v>
      </c>
      <c r="G982">
        <v>37</v>
      </c>
      <c r="H982" t="s">
        <v>3489</v>
      </c>
      <c r="I982" t="s">
        <v>3490</v>
      </c>
      <c r="J982" t="s">
        <v>2902</v>
      </c>
    </row>
    <row r="983" spans="1:10" x14ac:dyDescent="0.25">
      <c r="A983" t="s">
        <v>1321</v>
      </c>
      <c r="B983" t="s">
        <v>159</v>
      </c>
      <c r="C983">
        <v>8</v>
      </c>
      <c r="D983" t="s">
        <v>3116</v>
      </c>
      <c r="E983">
        <v>97</v>
      </c>
      <c r="F983">
        <v>30</v>
      </c>
      <c r="G983">
        <v>67</v>
      </c>
      <c r="H983" t="s">
        <v>3495</v>
      </c>
      <c r="I983" t="s">
        <v>3490</v>
      </c>
      <c r="J983" t="s">
        <v>2902</v>
      </c>
    </row>
    <row r="984" spans="1:10" x14ac:dyDescent="0.25">
      <c r="A984" t="s">
        <v>1321</v>
      </c>
      <c r="B984" t="s">
        <v>159</v>
      </c>
      <c r="C984">
        <v>8</v>
      </c>
      <c r="D984" t="s">
        <v>3118</v>
      </c>
      <c r="E984">
        <v>58</v>
      </c>
      <c r="F984">
        <v>26</v>
      </c>
      <c r="G984">
        <v>32</v>
      </c>
      <c r="H984" t="s">
        <v>3493</v>
      </c>
      <c r="I984" t="s">
        <v>3490</v>
      </c>
      <c r="J984" t="s">
        <v>2902</v>
      </c>
    </row>
    <row r="985" spans="1:10" x14ac:dyDescent="0.25">
      <c r="A985" t="s">
        <v>1321</v>
      </c>
      <c r="B985" t="s">
        <v>159</v>
      </c>
      <c r="C985">
        <v>8</v>
      </c>
      <c r="D985" t="s">
        <v>3120</v>
      </c>
      <c r="E985">
        <v>70</v>
      </c>
      <c r="F985">
        <v>11</v>
      </c>
      <c r="G985">
        <v>59</v>
      </c>
      <c r="H985" t="s">
        <v>3494</v>
      </c>
      <c r="I985" t="s">
        <v>3490</v>
      </c>
      <c r="J985" t="s">
        <v>2902</v>
      </c>
    </row>
    <row r="986" spans="1:10" x14ac:dyDescent="0.25">
      <c r="A986" t="s">
        <v>1321</v>
      </c>
      <c r="B986" t="s">
        <v>159</v>
      </c>
      <c r="C986">
        <v>8</v>
      </c>
      <c r="D986" t="s">
        <v>3122</v>
      </c>
      <c r="E986">
        <v>36</v>
      </c>
      <c r="F986">
        <v>16</v>
      </c>
      <c r="G986">
        <v>20</v>
      </c>
      <c r="H986" t="s">
        <v>3491</v>
      </c>
      <c r="I986" t="s">
        <v>3492</v>
      </c>
      <c r="J986" t="s">
        <v>2902</v>
      </c>
    </row>
    <row r="987" spans="1:10" x14ac:dyDescent="0.25">
      <c r="A987" t="s">
        <v>1327</v>
      </c>
      <c r="B987" t="s">
        <v>30</v>
      </c>
      <c r="C987">
        <v>4</v>
      </c>
      <c r="D987" t="s">
        <v>3334</v>
      </c>
      <c r="E987">
        <v>74</v>
      </c>
      <c r="F987">
        <v>28</v>
      </c>
      <c r="G987">
        <v>46</v>
      </c>
      <c r="H987" t="s">
        <v>3494</v>
      </c>
      <c r="I987" t="s">
        <v>3490</v>
      </c>
      <c r="J987" t="s">
        <v>2895</v>
      </c>
    </row>
    <row r="988" spans="1:10" x14ac:dyDescent="0.25">
      <c r="A988" t="s">
        <v>1327</v>
      </c>
      <c r="B988" t="s">
        <v>30</v>
      </c>
      <c r="C988">
        <v>4</v>
      </c>
      <c r="D988" t="s">
        <v>3336</v>
      </c>
      <c r="E988">
        <v>50</v>
      </c>
      <c r="F988">
        <v>25</v>
      </c>
      <c r="G988">
        <v>25</v>
      </c>
      <c r="H988" t="s">
        <v>3493</v>
      </c>
      <c r="I988" t="s">
        <v>3490</v>
      </c>
      <c r="J988" t="s">
        <v>2895</v>
      </c>
    </row>
    <row r="989" spans="1:10" x14ac:dyDescent="0.25">
      <c r="A989" t="s">
        <v>1327</v>
      </c>
      <c r="B989" t="s">
        <v>30</v>
      </c>
      <c r="C989">
        <v>4</v>
      </c>
      <c r="D989" t="s">
        <v>3338</v>
      </c>
      <c r="E989">
        <v>79</v>
      </c>
      <c r="F989">
        <v>16</v>
      </c>
      <c r="G989">
        <v>63</v>
      </c>
      <c r="H989" t="s">
        <v>3494</v>
      </c>
      <c r="I989" t="s">
        <v>3490</v>
      </c>
      <c r="J989" t="s">
        <v>2895</v>
      </c>
    </row>
    <row r="990" spans="1:10" x14ac:dyDescent="0.25">
      <c r="A990" t="s">
        <v>1327</v>
      </c>
      <c r="B990" t="s">
        <v>30</v>
      </c>
      <c r="C990">
        <v>4</v>
      </c>
      <c r="D990" t="s">
        <v>3340</v>
      </c>
      <c r="E990">
        <v>79</v>
      </c>
      <c r="F990">
        <v>28</v>
      </c>
      <c r="G990">
        <v>51</v>
      </c>
      <c r="H990" t="s">
        <v>3494</v>
      </c>
      <c r="I990" t="s">
        <v>3490</v>
      </c>
      <c r="J990" t="s">
        <v>2895</v>
      </c>
    </row>
    <row r="991" spans="1:10" x14ac:dyDescent="0.25">
      <c r="A991" t="s">
        <v>1327</v>
      </c>
      <c r="B991" t="s">
        <v>30</v>
      </c>
      <c r="C991">
        <v>4</v>
      </c>
      <c r="D991" t="s">
        <v>3342</v>
      </c>
      <c r="E991">
        <v>70</v>
      </c>
      <c r="F991">
        <v>12</v>
      </c>
      <c r="G991">
        <v>58</v>
      </c>
      <c r="H991" t="s">
        <v>3494</v>
      </c>
      <c r="I991" t="s">
        <v>3490</v>
      </c>
      <c r="J991" t="s">
        <v>2895</v>
      </c>
    </row>
    <row r="992" spans="1:10" x14ac:dyDescent="0.25">
      <c r="A992" t="s">
        <v>1332</v>
      </c>
      <c r="B992" t="s">
        <v>63</v>
      </c>
      <c r="C992">
        <v>8</v>
      </c>
      <c r="D992" t="s">
        <v>3414</v>
      </c>
      <c r="E992">
        <v>42</v>
      </c>
      <c r="F992">
        <v>13</v>
      </c>
      <c r="G992">
        <v>29</v>
      </c>
      <c r="H992" t="s">
        <v>3491</v>
      </c>
      <c r="I992" t="s">
        <v>3492</v>
      </c>
      <c r="J992" t="s">
        <v>2932</v>
      </c>
    </row>
    <row r="993" spans="1:10" x14ac:dyDescent="0.25">
      <c r="A993" t="s">
        <v>1332</v>
      </c>
      <c r="B993" t="s">
        <v>63</v>
      </c>
      <c r="C993">
        <v>8</v>
      </c>
      <c r="D993" t="s">
        <v>3416</v>
      </c>
      <c r="E993">
        <v>45</v>
      </c>
      <c r="F993">
        <v>22</v>
      </c>
      <c r="G993">
        <v>23</v>
      </c>
      <c r="H993" t="s">
        <v>3491</v>
      </c>
      <c r="I993" t="s">
        <v>3492</v>
      </c>
      <c r="J993" t="s">
        <v>2932</v>
      </c>
    </row>
    <row r="994" spans="1:10" x14ac:dyDescent="0.25">
      <c r="A994" t="s">
        <v>1332</v>
      </c>
      <c r="B994" t="s">
        <v>63</v>
      </c>
      <c r="C994">
        <v>8</v>
      </c>
      <c r="D994" t="s">
        <v>3418</v>
      </c>
      <c r="E994">
        <v>59</v>
      </c>
      <c r="F994">
        <v>30</v>
      </c>
      <c r="G994">
        <v>29</v>
      </c>
      <c r="H994" t="s">
        <v>3493</v>
      </c>
      <c r="I994" t="s">
        <v>3490</v>
      </c>
      <c r="J994" t="s">
        <v>2932</v>
      </c>
    </row>
    <row r="995" spans="1:10" x14ac:dyDescent="0.25">
      <c r="A995" t="s">
        <v>1332</v>
      </c>
      <c r="B995" t="s">
        <v>63</v>
      </c>
      <c r="C995">
        <v>8</v>
      </c>
      <c r="D995" t="s">
        <v>3420</v>
      </c>
      <c r="E995">
        <v>41</v>
      </c>
      <c r="F995">
        <v>14</v>
      </c>
      <c r="G995">
        <v>27</v>
      </c>
      <c r="H995" t="s">
        <v>3491</v>
      </c>
      <c r="I995" t="s">
        <v>3492</v>
      </c>
      <c r="J995" t="s">
        <v>2932</v>
      </c>
    </row>
    <row r="996" spans="1:10" x14ac:dyDescent="0.25">
      <c r="A996" t="s">
        <v>1332</v>
      </c>
      <c r="B996" t="s">
        <v>63</v>
      </c>
      <c r="C996">
        <v>8</v>
      </c>
      <c r="D996" t="s">
        <v>3422</v>
      </c>
      <c r="E996">
        <v>46</v>
      </c>
      <c r="F996">
        <v>16</v>
      </c>
      <c r="G996">
        <v>30</v>
      </c>
      <c r="H996" t="s">
        <v>3491</v>
      </c>
      <c r="I996" t="s">
        <v>3492</v>
      </c>
      <c r="J996" t="s">
        <v>2932</v>
      </c>
    </row>
    <row r="997" spans="1:10" x14ac:dyDescent="0.25">
      <c r="A997" t="s">
        <v>1337</v>
      </c>
      <c r="B997" t="s">
        <v>212</v>
      </c>
      <c r="C997">
        <v>8</v>
      </c>
      <c r="D997" t="s">
        <v>3474</v>
      </c>
      <c r="E997">
        <v>76</v>
      </c>
      <c r="F997">
        <v>13</v>
      </c>
      <c r="G997">
        <v>63</v>
      </c>
      <c r="H997" t="s">
        <v>3494</v>
      </c>
      <c r="I997" t="s">
        <v>3490</v>
      </c>
      <c r="J997" t="s">
        <v>3001</v>
      </c>
    </row>
    <row r="998" spans="1:10" x14ac:dyDescent="0.25">
      <c r="A998" t="s">
        <v>1337</v>
      </c>
      <c r="B998" t="s">
        <v>212</v>
      </c>
      <c r="C998">
        <v>8</v>
      </c>
      <c r="D998" t="s">
        <v>3476</v>
      </c>
      <c r="E998">
        <v>70</v>
      </c>
      <c r="F998">
        <v>24</v>
      </c>
      <c r="G998">
        <v>46</v>
      </c>
      <c r="H998" t="s">
        <v>3494</v>
      </c>
      <c r="I998" t="s">
        <v>3490</v>
      </c>
      <c r="J998" t="s">
        <v>3001</v>
      </c>
    </row>
    <row r="999" spans="1:10" x14ac:dyDescent="0.25">
      <c r="A999" t="s">
        <v>1337</v>
      </c>
      <c r="B999" t="s">
        <v>212</v>
      </c>
      <c r="C999">
        <v>8</v>
      </c>
      <c r="D999" t="s">
        <v>3478</v>
      </c>
      <c r="E999">
        <v>92</v>
      </c>
      <c r="F999">
        <v>24</v>
      </c>
      <c r="G999">
        <v>68</v>
      </c>
      <c r="H999" t="s">
        <v>3495</v>
      </c>
      <c r="I999" t="s">
        <v>3490</v>
      </c>
      <c r="J999" t="s">
        <v>3001</v>
      </c>
    </row>
    <row r="1000" spans="1:10" x14ac:dyDescent="0.25">
      <c r="A1000" t="s">
        <v>1337</v>
      </c>
      <c r="B1000" t="s">
        <v>212</v>
      </c>
      <c r="C1000">
        <v>8</v>
      </c>
      <c r="D1000" t="s">
        <v>3480</v>
      </c>
      <c r="E1000">
        <v>37</v>
      </c>
      <c r="F1000">
        <v>14</v>
      </c>
      <c r="G1000">
        <v>23</v>
      </c>
      <c r="H1000" t="s">
        <v>3491</v>
      </c>
      <c r="I1000" t="s">
        <v>3492</v>
      </c>
      <c r="J1000" t="s">
        <v>3001</v>
      </c>
    </row>
    <row r="1001" spans="1:10" x14ac:dyDescent="0.25">
      <c r="A1001" t="s">
        <v>1337</v>
      </c>
      <c r="B1001" t="s">
        <v>212</v>
      </c>
      <c r="C1001">
        <v>8</v>
      </c>
      <c r="D1001" t="s">
        <v>3482</v>
      </c>
      <c r="E1001">
        <v>71</v>
      </c>
      <c r="F1001">
        <v>13</v>
      </c>
      <c r="G1001">
        <v>58</v>
      </c>
      <c r="H1001" t="s">
        <v>3494</v>
      </c>
      <c r="I1001" t="s">
        <v>3490</v>
      </c>
      <c r="J1001" t="s">
        <v>3001</v>
      </c>
    </row>
    <row r="1002" spans="1:10" x14ac:dyDescent="0.25">
      <c r="A1002" t="s">
        <v>1342</v>
      </c>
      <c r="B1002" t="s">
        <v>63</v>
      </c>
      <c r="C1002">
        <v>6</v>
      </c>
      <c r="D1002" t="s">
        <v>3414</v>
      </c>
      <c r="E1002">
        <v>39</v>
      </c>
      <c r="F1002">
        <v>12</v>
      </c>
      <c r="G1002">
        <v>27</v>
      </c>
      <c r="H1002" t="s">
        <v>3491</v>
      </c>
      <c r="I1002" t="s">
        <v>3492</v>
      </c>
      <c r="J1002" t="s">
        <v>2932</v>
      </c>
    </row>
    <row r="1003" spans="1:10" x14ac:dyDescent="0.25">
      <c r="A1003" t="s">
        <v>1342</v>
      </c>
      <c r="B1003" t="s">
        <v>63</v>
      </c>
      <c r="C1003">
        <v>6</v>
      </c>
      <c r="D1003" t="s">
        <v>3416</v>
      </c>
      <c r="E1003">
        <v>57</v>
      </c>
      <c r="F1003">
        <v>13</v>
      </c>
      <c r="G1003">
        <v>44</v>
      </c>
      <c r="H1003" t="s">
        <v>3493</v>
      </c>
      <c r="I1003" t="s">
        <v>3490</v>
      </c>
      <c r="J1003" t="s">
        <v>2932</v>
      </c>
    </row>
    <row r="1004" spans="1:10" x14ac:dyDescent="0.25">
      <c r="A1004" t="s">
        <v>1342</v>
      </c>
      <c r="B1004" t="s">
        <v>63</v>
      </c>
      <c r="C1004">
        <v>6</v>
      </c>
      <c r="D1004" t="s">
        <v>3418</v>
      </c>
      <c r="E1004">
        <v>48</v>
      </c>
      <c r="F1004">
        <v>22</v>
      </c>
      <c r="G1004">
        <v>26</v>
      </c>
      <c r="H1004" t="s">
        <v>3491</v>
      </c>
      <c r="I1004" t="s">
        <v>3492</v>
      </c>
      <c r="J1004" t="s">
        <v>2932</v>
      </c>
    </row>
    <row r="1005" spans="1:10" x14ac:dyDescent="0.25">
      <c r="A1005" t="s">
        <v>1342</v>
      </c>
      <c r="B1005" t="s">
        <v>63</v>
      </c>
      <c r="C1005">
        <v>6</v>
      </c>
      <c r="D1005" t="s">
        <v>3420</v>
      </c>
      <c r="E1005">
        <v>45</v>
      </c>
      <c r="F1005">
        <v>14</v>
      </c>
      <c r="G1005">
        <v>31</v>
      </c>
      <c r="H1005" t="s">
        <v>3491</v>
      </c>
      <c r="I1005" t="s">
        <v>3492</v>
      </c>
      <c r="J1005" t="s">
        <v>2932</v>
      </c>
    </row>
    <row r="1006" spans="1:10" x14ac:dyDescent="0.25">
      <c r="A1006" t="s">
        <v>1342</v>
      </c>
      <c r="B1006" t="s">
        <v>63</v>
      </c>
      <c r="C1006">
        <v>6</v>
      </c>
      <c r="D1006" t="s">
        <v>3422</v>
      </c>
      <c r="E1006">
        <v>38</v>
      </c>
      <c r="F1006">
        <v>11</v>
      </c>
      <c r="G1006">
        <v>27</v>
      </c>
      <c r="H1006" t="s">
        <v>3491</v>
      </c>
      <c r="I1006" t="s">
        <v>3492</v>
      </c>
      <c r="J1006" t="s">
        <v>2932</v>
      </c>
    </row>
    <row r="1007" spans="1:10" x14ac:dyDescent="0.25">
      <c r="A1007" t="s">
        <v>1347</v>
      </c>
      <c r="B1007" t="s">
        <v>95</v>
      </c>
      <c r="C1007">
        <v>8</v>
      </c>
      <c r="D1007" t="s">
        <v>3234</v>
      </c>
      <c r="E1007">
        <v>95</v>
      </c>
      <c r="F1007">
        <v>29</v>
      </c>
      <c r="G1007">
        <v>66</v>
      </c>
      <c r="H1007" t="s">
        <v>3495</v>
      </c>
      <c r="I1007" t="s">
        <v>3490</v>
      </c>
      <c r="J1007" t="s">
        <v>2889</v>
      </c>
    </row>
    <row r="1008" spans="1:10" x14ac:dyDescent="0.25">
      <c r="A1008" t="s">
        <v>1347</v>
      </c>
      <c r="B1008" t="s">
        <v>95</v>
      </c>
      <c r="C1008">
        <v>8</v>
      </c>
      <c r="D1008" t="s">
        <v>3236</v>
      </c>
      <c r="E1008">
        <v>59</v>
      </c>
      <c r="F1008">
        <v>11</v>
      </c>
      <c r="G1008">
        <v>48</v>
      </c>
      <c r="H1008" t="s">
        <v>3493</v>
      </c>
      <c r="I1008" t="s">
        <v>3490</v>
      </c>
      <c r="J1008" t="s">
        <v>2889</v>
      </c>
    </row>
    <row r="1009" spans="1:10" x14ac:dyDescent="0.25">
      <c r="A1009" t="s">
        <v>1347</v>
      </c>
      <c r="B1009" t="s">
        <v>95</v>
      </c>
      <c r="C1009">
        <v>8</v>
      </c>
      <c r="D1009" t="s">
        <v>3238</v>
      </c>
      <c r="E1009">
        <v>80</v>
      </c>
      <c r="F1009">
        <v>14</v>
      </c>
      <c r="G1009">
        <v>66</v>
      </c>
      <c r="H1009" t="s">
        <v>196</v>
      </c>
      <c r="I1009" t="s">
        <v>3490</v>
      </c>
      <c r="J1009" t="s">
        <v>2889</v>
      </c>
    </row>
    <row r="1010" spans="1:10" x14ac:dyDescent="0.25">
      <c r="A1010" t="s">
        <v>1347</v>
      </c>
      <c r="B1010" t="s">
        <v>95</v>
      </c>
      <c r="C1010">
        <v>8</v>
      </c>
      <c r="D1010" t="s">
        <v>3240</v>
      </c>
      <c r="E1010">
        <v>82</v>
      </c>
      <c r="F1010">
        <v>20</v>
      </c>
      <c r="G1010">
        <v>62</v>
      </c>
      <c r="H1010" t="s">
        <v>196</v>
      </c>
      <c r="I1010" t="s">
        <v>3490</v>
      </c>
      <c r="J1010" t="s">
        <v>2889</v>
      </c>
    </row>
    <row r="1011" spans="1:10" x14ac:dyDescent="0.25">
      <c r="A1011" t="s">
        <v>1347</v>
      </c>
      <c r="B1011" t="s">
        <v>95</v>
      </c>
      <c r="C1011">
        <v>8</v>
      </c>
      <c r="D1011" t="s">
        <v>3242</v>
      </c>
      <c r="E1011">
        <v>94</v>
      </c>
      <c r="F1011">
        <v>26</v>
      </c>
      <c r="G1011">
        <v>68</v>
      </c>
      <c r="H1011" t="s">
        <v>3495</v>
      </c>
      <c r="I1011" t="s">
        <v>3490</v>
      </c>
      <c r="J1011" t="s">
        <v>2889</v>
      </c>
    </row>
    <row r="1012" spans="1:10" x14ac:dyDescent="0.25">
      <c r="A1012" t="s">
        <v>1353</v>
      </c>
      <c r="B1012" t="s">
        <v>122</v>
      </c>
      <c r="C1012">
        <v>8</v>
      </c>
      <c r="D1012" t="s">
        <v>3294</v>
      </c>
      <c r="E1012">
        <v>59</v>
      </c>
      <c r="F1012">
        <v>24</v>
      </c>
      <c r="G1012">
        <v>35</v>
      </c>
      <c r="H1012" t="s">
        <v>3493</v>
      </c>
      <c r="I1012" t="s">
        <v>3490</v>
      </c>
      <c r="J1012" t="s">
        <v>2919</v>
      </c>
    </row>
    <row r="1013" spans="1:10" x14ac:dyDescent="0.25">
      <c r="A1013" t="s">
        <v>1353</v>
      </c>
      <c r="B1013" t="s">
        <v>122</v>
      </c>
      <c r="C1013">
        <v>8</v>
      </c>
      <c r="D1013" t="s">
        <v>3296</v>
      </c>
      <c r="E1013">
        <v>75</v>
      </c>
      <c r="F1013">
        <v>16</v>
      </c>
      <c r="G1013">
        <v>59</v>
      </c>
      <c r="H1013" t="s">
        <v>3494</v>
      </c>
      <c r="I1013" t="s">
        <v>3490</v>
      </c>
      <c r="J1013" t="s">
        <v>2919</v>
      </c>
    </row>
    <row r="1014" spans="1:10" x14ac:dyDescent="0.25">
      <c r="A1014" t="s">
        <v>1353</v>
      </c>
      <c r="B1014" t="s">
        <v>122</v>
      </c>
      <c r="C1014">
        <v>8</v>
      </c>
      <c r="D1014" t="s">
        <v>3298</v>
      </c>
      <c r="E1014">
        <v>38</v>
      </c>
      <c r="F1014">
        <v>16</v>
      </c>
      <c r="G1014">
        <v>22</v>
      </c>
      <c r="H1014" t="s">
        <v>3491</v>
      </c>
      <c r="I1014" t="s">
        <v>3492</v>
      </c>
      <c r="J1014" t="s">
        <v>2919</v>
      </c>
    </row>
    <row r="1015" spans="1:10" x14ac:dyDescent="0.25">
      <c r="A1015" t="s">
        <v>1353</v>
      </c>
      <c r="B1015" t="s">
        <v>122</v>
      </c>
      <c r="C1015">
        <v>8</v>
      </c>
      <c r="D1015" t="s">
        <v>3300</v>
      </c>
      <c r="E1015">
        <v>75</v>
      </c>
      <c r="F1015">
        <v>19</v>
      </c>
      <c r="G1015">
        <v>56</v>
      </c>
      <c r="H1015" t="s">
        <v>3494</v>
      </c>
      <c r="I1015" t="s">
        <v>3490</v>
      </c>
      <c r="J1015" t="s">
        <v>2919</v>
      </c>
    </row>
    <row r="1016" spans="1:10" x14ac:dyDescent="0.25">
      <c r="A1016" t="s">
        <v>1353</v>
      </c>
      <c r="B1016" t="s">
        <v>122</v>
      </c>
      <c r="C1016">
        <v>8</v>
      </c>
      <c r="D1016" t="s">
        <v>3302</v>
      </c>
      <c r="E1016">
        <v>63</v>
      </c>
      <c r="F1016">
        <v>16</v>
      </c>
      <c r="G1016">
        <v>47</v>
      </c>
      <c r="H1016" t="s">
        <v>3489</v>
      </c>
      <c r="I1016" t="s">
        <v>3490</v>
      </c>
      <c r="J1016" t="s">
        <v>2919</v>
      </c>
    </row>
    <row r="1017" spans="1:10" x14ac:dyDescent="0.25">
      <c r="A1017" t="s">
        <v>1358</v>
      </c>
      <c r="B1017" t="s">
        <v>122</v>
      </c>
      <c r="C1017">
        <v>8</v>
      </c>
      <c r="D1017" t="s">
        <v>3294</v>
      </c>
      <c r="E1017">
        <v>63</v>
      </c>
      <c r="F1017">
        <v>22</v>
      </c>
      <c r="G1017">
        <v>41</v>
      </c>
      <c r="H1017" t="s">
        <v>3489</v>
      </c>
      <c r="I1017" t="s">
        <v>3490</v>
      </c>
      <c r="J1017" t="s">
        <v>2919</v>
      </c>
    </row>
    <row r="1018" spans="1:10" x14ac:dyDescent="0.25">
      <c r="A1018" t="s">
        <v>1358</v>
      </c>
      <c r="B1018" t="s">
        <v>122</v>
      </c>
      <c r="C1018">
        <v>8</v>
      </c>
      <c r="D1018" t="s">
        <v>3296</v>
      </c>
      <c r="E1018">
        <v>70</v>
      </c>
      <c r="F1018">
        <v>16</v>
      </c>
      <c r="G1018">
        <v>54</v>
      </c>
      <c r="H1018" t="s">
        <v>3494</v>
      </c>
      <c r="I1018" t="s">
        <v>3490</v>
      </c>
      <c r="J1018" t="s">
        <v>2919</v>
      </c>
    </row>
    <row r="1019" spans="1:10" x14ac:dyDescent="0.25">
      <c r="A1019" t="s">
        <v>1358</v>
      </c>
      <c r="B1019" t="s">
        <v>122</v>
      </c>
      <c r="C1019">
        <v>8</v>
      </c>
      <c r="D1019" t="s">
        <v>3298</v>
      </c>
      <c r="E1019">
        <v>72</v>
      </c>
      <c r="F1019">
        <v>10</v>
      </c>
      <c r="G1019">
        <v>62</v>
      </c>
      <c r="H1019" t="s">
        <v>3494</v>
      </c>
      <c r="I1019" t="s">
        <v>3490</v>
      </c>
      <c r="J1019" t="s">
        <v>2919</v>
      </c>
    </row>
    <row r="1020" spans="1:10" x14ac:dyDescent="0.25">
      <c r="A1020" t="s">
        <v>1358</v>
      </c>
      <c r="B1020" t="s">
        <v>122</v>
      </c>
      <c r="C1020">
        <v>8</v>
      </c>
      <c r="D1020" t="s">
        <v>3300</v>
      </c>
      <c r="E1020">
        <v>64</v>
      </c>
      <c r="F1020">
        <v>15</v>
      </c>
      <c r="G1020">
        <v>49</v>
      </c>
      <c r="H1020" t="s">
        <v>3489</v>
      </c>
      <c r="I1020" t="s">
        <v>3490</v>
      </c>
      <c r="J1020" t="s">
        <v>2919</v>
      </c>
    </row>
    <row r="1021" spans="1:10" x14ac:dyDescent="0.25">
      <c r="A1021" t="s">
        <v>1358</v>
      </c>
      <c r="B1021" t="s">
        <v>122</v>
      </c>
      <c r="C1021">
        <v>8</v>
      </c>
      <c r="D1021" t="s">
        <v>3302</v>
      </c>
      <c r="E1021">
        <v>92</v>
      </c>
      <c r="F1021">
        <v>30</v>
      </c>
      <c r="G1021">
        <v>62</v>
      </c>
      <c r="H1021" t="s">
        <v>3495</v>
      </c>
      <c r="I1021" t="s">
        <v>3490</v>
      </c>
      <c r="J1021" t="s">
        <v>2919</v>
      </c>
    </row>
    <row r="1022" spans="1:10" x14ac:dyDescent="0.25">
      <c r="A1022" t="s">
        <v>1365</v>
      </c>
      <c r="B1022" t="s">
        <v>63</v>
      </c>
      <c r="C1022">
        <v>6</v>
      </c>
      <c r="D1022" t="s">
        <v>3414</v>
      </c>
      <c r="E1022">
        <v>88</v>
      </c>
      <c r="F1022">
        <v>19</v>
      </c>
      <c r="G1022">
        <v>69</v>
      </c>
      <c r="H1022" t="s">
        <v>196</v>
      </c>
      <c r="I1022" t="s">
        <v>3490</v>
      </c>
      <c r="J1022" t="s">
        <v>2932</v>
      </c>
    </row>
    <row r="1023" spans="1:10" x14ac:dyDescent="0.25">
      <c r="A1023" t="s">
        <v>1365</v>
      </c>
      <c r="B1023" t="s">
        <v>63</v>
      </c>
      <c r="C1023">
        <v>6</v>
      </c>
      <c r="D1023" t="s">
        <v>3416</v>
      </c>
      <c r="E1023">
        <v>52</v>
      </c>
      <c r="F1023">
        <v>26</v>
      </c>
      <c r="G1023">
        <v>26</v>
      </c>
      <c r="H1023" t="s">
        <v>3493</v>
      </c>
      <c r="I1023" t="s">
        <v>3490</v>
      </c>
      <c r="J1023" t="s">
        <v>2932</v>
      </c>
    </row>
    <row r="1024" spans="1:10" x14ac:dyDescent="0.25">
      <c r="A1024" t="s">
        <v>1365</v>
      </c>
      <c r="B1024" t="s">
        <v>63</v>
      </c>
      <c r="C1024">
        <v>6</v>
      </c>
      <c r="D1024" t="s">
        <v>3418</v>
      </c>
      <c r="E1024">
        <v>82</v>
      </c>
      <c r="F1024">
        <v>14</v>
      </c>
      <c r="G1024">
        <v>68</v>
      </c>
      <c r="H1024" t="s">
        <v>196</v>
      </c>
      <c r="I1024" t="s">
        <v>3490</v>
      </c>
      <c r="J1024" t="s">
        <v>2932</v>
      </c>
    </row>
    <row r="1025" spans="1:10" x14ac:dyDescent="0.25">
      <c r="A1025" t="s">
        <v>1365</v>
      </c>
      <c r="B1025" t="s">
        <v>63</v>
      </c>
      <c r="C1025">
        <v>6</v>
      </c>
      <c r="D1025" t="s">
        <v>3420</v>
      </c>
      <c r="E1025">
        <v>50</v>
      </c>
      <c r="F1025">
        <v>19</v>
      </c>
      <c r="G1025">
        <v>31</v>
      </c>
      <c r="H1025" t="s">
        <v>3493</v>
      </c>
      <c r="I1025" t="s">
        <v>3490</v>
      </c>
      <c r="J1025" t="s">
        <v>2932</v>
      </c>
    </row>
    <row r="1026" spans="1:10" x14ac:dyDescent="0.25">
      <c r="A1026" t="s">
        <v>1365</v>
      </c>
      <c r="B1026" t="s">
        <v>63</v>
      </c>
      <c r="C1026">
        <v>6</v>
      </c>
      <c r="D1026" t="s">
        <v>3422</v>
      </c>
      <c r="E1026">
        <v>38</v>
      </c>
      <c r="F1026">
        <v>13</v>
      </c>
      <c r="G1026">
        <v>25</v>
      </c>
      <c r="H1026" t="s">
        <v>3491</v>
      </c>
      <c r="I1026" t="s">
        <v>3492</v>
      </c>
      <c r="J1026" t="s">
        <v>2932</v>
      </c>
    </row>
    <row r="1027" spans="1:10" x14ac:dyDescent="0.25">
      <c r="A1027" t="s">
        <v>1370</v>
      </c>
      <c r="B1027" t="s">
        <v>30</v>
      </c>
      <c r="C1027">
        <v>4</v>
      </c>
      <c r="D1027" t="s">
        <v>3334</v>
      </c>
      <c r="E1027">
        <v>40</v>
      </c>
      <c r="F1027">
        <v>19</v>
      </c>
      <c r="G1027">
        <v>21</v>
      </c>
      <c r="H1027" t="s">
        <v>3491</v>
      </c>
      <c r="I1027" t="s">
        <v>3492</v>
      </c>
      <c r="J1027" t="s">
        <v>2895</v>
      </c>
    </row>
    <row r="1028" spans="1:10" x14ac:dyDescent="0.25">
      <c r="A1028" t="s">
        <v>1370</v>
      </c>
      <c r="B1028" t="s">
        <v>30</v>
      </c>
      <c r="C1028">
        <v>4</v>
      </c>
      <c r="D1028" t="s">
        <v>3336</v>
      </c>
      <c r="E1028">
        <v>90</v>
      </c>
      <c r="F1028">
        <v>27</v>
      </c>
      <c r="G1028">
        <v>63</v>
      </c>
      <c r="H1028" t="s">
        <v>3495</v>
      </c>
      <c r="I1028" t="s">
        <v>3490</v>
      </c>
      <c r="J1028" t="s">
        <v>2895</v>
      </c>
    </row>
    <row r="1029" spans="1:10" x14ac:dyDescent="0.25">
      <c r="A1029" t="s">
        <v>1370</v>
      </c>
      <c r="B1029" t="s">
        <v>30</v>
      </c>
      <c r="C1029">
        <v>4</v>
      </c>
      <c r="D1029" t="s">
        <v>3338</v>
      </c>
      <c r="E1029">
        <v>82</v>
      </c>
      <c r="F1029">
        <v>22</v>
      </c>
      <c r="G1029">
        <v>60</v>
      </c>
      <c r="H1029" t="s">
        <v>196</v>
      </c>
      <c r="I1029" t="s">
        <v>3490</v>
      </c>
      <c r="J1029" t="s">
        <v>2895</v>
      </c>
    </row>
    <row r="1030" spans="1:10" x14ac:dyDescent="0.25">
      <c r="A1030" t="s">
        <v>1370</v>
      </c>
      <c r="B1030" t="s">
        <v>30</v>
      </c>
      <c r="C1030">
        <v>4</v>
      </c>
      <c r="D1030" t="s">
        <v>3340</v>
      </c>
      <c r="E1030">
        <v>54</v>
      </c>
      <c r="F1030">
        <v>26</v>
      </c>
      <c r="G1030">
        <v>28</v>
      </c>
      <c r="H1030" t="s">
        <v>3493</v>
      </c>
      <c r="I1030" t="s">
        <v>3490</v>
      </c>
      <c r="J1030" t="s">
        <v>2895</v>
      </c>
    </row>
    <row r="1031" spans="1:10" x14ac:dyDescent="0.25">
      <c r="A1031" t="s">
        <v>1370</v>
      </c>
      <c r="B1031" t="s">
        <v>30</v>
      </c>
      <c r="C1031">
        <v>4</v>
      </c>
      <c r="D1031" t="s">
        <v>3342</v>
      </c>
      <c r="E1031">
        <v>40</v>
      </c>
      <c r="F1031">
        <v>20</v>
      </c>
      <c r="G1031">
        <v>20</v>
      </c>
      <c r="H1031" t="s">
        <v>3491</v>
      </c>
      <c r="I1031" t="s">
        <v>3492</v>
      </c>
      <c r="J1031" t="s">
        <v>2895</v>
      </c>
    </row>
    <row r="1032" spans="1:10" x14ac:dyDescent="0.25">
      <c r="A1032" t="s">
        <v>1377</v>
      </c>
      <c r="B1032" t="s">
        <v>30</v>
      </c>
      <c r="C1032">
        <v>4</v>
      </c>
      <c r="D1032" t="s">
        <v>3334</v>
      </c>
      <c r="E1032">
        <v>90</v>
      </c>
      <c r="F1032">
        <v>28</v>
      </c>
      <c r="G1032">
        <v>62</v>
      </c>
      <c r="H1032" t="s">
        <v>3495</v>
      </c>
      <c r="I1032" t="s">
        <v>3490</v>
      </c>
      <c r="J1032" t="s">
        <v>2895</v>
      </c>
    </row>
    <row r="1033" spans="1:10" x14ac:dyDescent="0.25">
      <c r="A1033" t="s">
        <v>1377</v>
      </c>
      <c r="B1033" t="s">
        <v>30</v>
      </c>
      <c r="C1033">
        <v>4</v>
      </c>
      <c r="D1033" t="s">
        <v>3336</v>
      </c>
      <c r="E1033">
        <v>48</v>
      </c>
      <c r="F1033">
        <v>20</v>
      </c>
      <c r="G1033">
        <v>28</v>
      </c>
      <c r="H1033" t="s">
        <v>3491</v>
      </c>
      <c r="I1033" t="s">
        <v>3492</v>
      </c>
      <c r="J1033" t="s">
        <v>2895</v>
      </c>
    </row>
    <row r="1034" spans="1:10" x14ac:dyDescent="0.25">
      <c r="A1034" t="s">
        <v>1377</v>
      </c>
      <c r="B1034" t="s">
        <v>30</v>
      </c>
      <c r="C1034">
        <v>4</v>
      </c>
      <c r="D1034" t="s">
        <v>3338</v>
      </c>
      <c r="E1034">
        <v>72</v>
      </c>
      <c r="F1034">
        <v>14</v>
      </c>
      <c r="G1034">
        <v>58</v>
      </c>
      <c r="H1034" t="s">
        <v>3494</v>
      </c>
      <c r="I1034" t="s">
        <v>3490</v>
      </c>
      <c r="J1034" t="s">
        <v>2895</v>
      </c>
    </row>
    <row r="1035" spans="1:10" x14ac:dyDescent="0.25">
      <c r="A1035" t="s">
        <v>1377</v>
      </c>
      <c r="B1035" t="s">
        <v>30</v>
      </c>
      <c r="C1035">
        <v>4</v>
      </c>
      <c r="D1035" t="s">
        <v>3340</v>
      </c>
      <c r="E1035">
        <v>63</v>
      </c>
      <c r="F1035">
        <v>19</v>
      </c>
      <c r="G1035">
        <v>44</v>
      </c>
      <c r="H1035" t="s">
        <v>3489</v>
      </c>
      <c r="I1035" t="s">
        <v>3490</v>
      </c>
      <c r="J1035" t="s">
        <v>2895</v>
      </c>
    </row>
    <row r="1036" spans="1:10" x14ac:dyDescent="0.25">
      <c r="A1036" t="s">
        <v>1377</v>
      </c>
      <c r="B1036" t="s">
        <v>30</v>
      </c>
      <c r="C1036">
        <v>4</v>
      </c>
      <c r="D1036" t="s">
        <v>3342</v>
      </c>
      <c r="E1036">
        <v>35</v>
      </c>
      <c r="F1036">
        <v>14</v>
      </c>
      <c r="G1036">
        <v>21</v>
      </c>
      <c r="H1036" t="s">
        <v>3491</v>
      </c>
      <c r="I1036" t="s">
        <v>3492</v>
      </c>
      <c r="J1036" t="s">
        <v>2895</v>
      </c>
    </row>
    <row r="1037" spans="1:10" x14ac:dyDescent="0.25">
      <c r="A1037" t="s">
        <v>1383</v>
      </c>
      <c r="B1037" t="s">
        <v>95</v>
      </c>
      <c r="C1037">
        <v>4</v>
      </c>
      <c r="D1037" t="s">
        <v>3214</v>
      </c>
      <c r="E1037">
        <v>60</v>
      </c>
      <c r="F1037">
        <v>28</v>
      </c>
      <c r="G1037">
        <v>32</v>
      </c>
      <c r="H1037" t="s">
        <v>3489</v>
      </c>
      <c r="I1037" t="s">
        <v>3490</v>
      </c>
      <c r="J1037" t="s">
        <v>2889</v>
      </c>
    </row>
    <row r="1038" spans="1:10" x14ac:dyDescent="0.25">
      <c r="A1038" t="s">
        <v>1383</v>
      </c>
      <c r="B1038" t="s">
        <v>95</v>
      </c>
      <c r="C1038">
        <v>4</v>
      </c>
      <c r="D1038" t="s">
        <v>3216</v>
      </c>
      <c r="E1038">
        <v>63</v>
      </c>
      <c r="F1038">
        <v>21</v>
      </c>
      <c r="G1038">
        <v>42</v>
      </c>
      <c r="H1038" t="s">
        <v>3489</v>
      </c>
      <c r="I1038" t="s">
        <v>3490</v>
      </c>
      <c r="J1038" t="s">
        <v>2889</v>
      </c>
    </row>
    <row r="1039" spans="1:10" x14ac:dyDescent="0.25">
      <c r="A1039" t="s">
        <v>1383</v>
      </c>
      <c r="B1039" t="s">
        <v>95</v>
      </c>
      <c r="C1039">
        <v>4</v>
      </c>
      <c r="D1039" t="s">
        <v>3218</v>
      </c>
      <c r="E1039">
        <v>92</v>
      </c>
      <c r="F1039">
        <v>22</v>
      </c>
      <c r="G1039">
        <v>70</v>
      </c>
      <c r="H1039" t="s">
        <v>3495</v>
      </c>
      <c r="I1039" t="s">
        <v>3490</v>
      </c>
      <c r="J1039" t="s">
        <v>2889</v>
      </c>
    </row>
    <row r="1040" spans="1:10" x14ac:dyDescent="0.25">
      <c r="A1040" t="s">
        <v>1383</v>
      </c>
      <c r="B1040" t="s">
        <v>95</v>
      </c>
      <c r="C1040">
        <v>4</v>
      </c>
      <c r="D1040" t="s">
        <v>3220</v>
      </c>
      <c r="E1040">
        <v>79</v>
      </c>
      <c r="F1040">
        <v>12</v>
      </c>
      <c r="G1040">
        <v>67</v>
      </c>
      <c r="H1040" t="s">
        <v>3494</v>
      </c>
      <c r="I1040" t="s">
        <v>3490</v>
      </c>
      <c r="J1040" t="s">
        <v>2889</v>
      </c>
    </row>
    <row r="1041" spans="1:10" x14ac:dyDescent="0.25">
      <c r="A1041" t="s">
        <v>1383</v>
      </c>
      <c r="B1041" t="s">
        <v>95</v>
      </c>
      <c r="C1041">
        <v>4</v>
      </c>
      <c r="D1041" t="s">
        <v>3222</v>
      </c>
      <c r="E1041">
        <v>50</v>
      </c>
      <c r="F1041">
        <v>30</v>
      </c>
      <c r="G1041">
        <v>20</v>
      </c>
      <c r="H1041" t="s">
        <v>3493</v>
      </c>
      <c r="I1041" t="s">
        <v>3490</v>
      </c>
      <c r="J1041" t="s">
        <v>2889</v>
      </c>
    </row>
    <row r="1042" spans="1:10" x14ac:dyDescent="0.25">
      <c r="A1042" t="s">
        <v>1388</v>
      </c>
      <c r="B1042" t="s">
        <v>212</v>
      </c>
      <c r="C1042">
        <v>4</v>
      </c>
      <c r="D1042" t="s">
        <v>3454</v>
      </c>
      <c r="E1042">
        <v>81</v>
      </c>
      <c r="F1042">
        <v>16</v>
      </c>
      <c r="G1042">
        <v>65</v>
      </c>
      <c r="H1042" t="s">
        <v>196</v>
      </c>
      <c r="I1042" t="s">
        <v>3490</v>
      </c>
      <c r="J1042" t="s">
        <v>3001</v>
      </c>
    </row>
    <row r="1043" spans="1:10" x14ac:dyDescent="0.25">
      <c r="A1043" t="s">
        <v>1388</v>
      </c>
      <c r="B1043" t="s">
        <v>212</v>
      </c>
      <c r="C1043">
        <v>4</v>
      </c>
      <c r="D1043" t="s">
        <v>3456</v>
      </c>
      <c r="E1043">
        <v>86</v>
      </c>
      <c r="F1043">
        <v>28</v>
      </c>
      <c r="G1043">
        <v>58</v>
      </c>
      <c r="H1043" t="s">
        <v>196</v>
      </c>
      <c r="I1043" t="s">
        <v>3490</v>
      </c>
      <c r="J1043" t="s">
        <v>3001</v>
      </c>
    </row>
    <row r="1044" spans="1:10" x14ac:dyDescent="0.25">
      <c r="A1044" t="s">
        <v>1388</v>
      </c>
      <c r="B1044" t="s">
        <v>212</v>
      </c>
      <c r="C1044">
        <v>4</v>
      </c>
      <c r="D1044" t="s">
        <v>3458</v>
      </c>
      <c r="E1044">
        <v>49</v>
      </c>
      <c r="F1044">
        <v>21</v>
      </c>
      <c r="G1044">
        <v>28</v>
      </c>
      <c r="H1044" t="s">
        <v>3491</v>
      </c>
      <c r="I1044" t="s">
        <v>3492</v>
      </c>
      <c r="J1044" t="s">
        <v>3001</v>
      </c>
    </row>
    <row r="1045" spans="1:10" x14ac:dyDescent="0.25">
      <c r="A1045" t="s">
        <v>1388</v>
      </c>
      <c r="B1045" t="s">
        <v>212</v>
      </c>
      <c r="C1045">
        <v>4</v>
      </c>
      <c r="D1045" t="s">
        <v>3460</v>
      </c>
      <c r="E1045">
        <v>79</v>
      </c>
      <c r="F1045">
        <v>28</v>
      </c>
      <c r="G1045">
        <v>51</v>
      </c>
      <c r="H1045" t="s">
        <v>3494</v>
      </c>
      <c r="I1045" t="s">
        <v>3490</v>
      </c>
      <c r="J1045" t="s">
        <v>3001</v>
      </c>
    </row>
    <row r="1046" spans="1:10" x14ac:dyDescent="0.25">
      <c r="A1046" t="s">
        <v>1388</v>
      </c>
      <c r="B1046" t="s">
        <v>212</v>
      </c>
      <c r="C1046">
        <v>4</v>
      </c>
      <c r="D1046" t="s">
        <v>3462</v>
      </c>
      <c r="E1046">
        <v>79</v>
      </c>
      <c r="F1046">
        <v>10</v>
      </c>
      <c r="G1046">
        <v>69</v>
      </c>
      <c r="H1046" t="s">
        <v>3494</v>
      </c>
      <c r="I1046" t="s">
        <v>3490</v>
      </c>
      <c r="J1046" t="s">
        <v>3001</v>
      </c>
    </row>
    <row r="1047" spans="1:10" x14ac:dyDescent="0.25">
      <c r="A1047" t="s">
        <v>1394</v>
      </c>
      <c r="B1047" t="s">
        <v>159</v>
      </c>
      <c r="C1047">
        <v>6</v>
      </c>
      <c r="D1047" t="s">
        <v>3114</v>
      </c>
      <c r="E1047">
        <v>47</v>
      </c>
      <c r="F1047">
        <v>13</v>
      </c>
      <c r="G1047">
        <v>34</v>
      </c>
      <c r="H1047" t="s">
        <v>3491</v>
      </c>
      <c r="I1047" t="s">
        <v>3492</v>
      </c>
      <c r="J1047" t="s">
        <v>2902</v>
      </c>
    </row>
    <row r="1048" spans="1:10" x14ac:dyDescent="0.25">
      <c r="A1048" t="s">
        <v>1394</v>
      </c>
      <c r="B1048" t="s">
        <v>159</v>
      </c>
      <c r="C1048">
        <v>6</v>
      </c>
      <c r="D1048" t="s">
        <v>3116</v>
      </c>
      <c r="E1048">
        <v>51</v>
      </c>
      <c r="F1048">
        <v>24</v>
      </c>
      <c r="G1048">
        <v>27</v>
      </c>
      <c r="H1048" t="s">
        <v>3493</v>
      </c>
      <c r="I1048" t="s">
        <v>3490</v>
      </c>
      <c r="J1048" t="s">
        <v>2902</v>
      </c>
    </row>
    <row r="1049" spans="1:10" x14ac:dyDescent="0.25">
      <c r="A1049" t="s">
        <v>1394</v>
      </c>
      <c r="B1049" t="s">
        <v>159</v>
      </c>
      <c r="C1049">
        <v>6</v>
      </c>
      <c r="D1049" t="s">
        <v>3118</v>
      </c>
      <c r="E1049">
        <v>51</v>
      </c>
      <c r="F1049">
        <v>14</v>
      </c>
      <c r="G1049">
        <v>37</v>
      </c>
      <c r="H1049" t="s">
        <v>3493</v>
      </c>
      <c r="I1049" t="s">
        <v>3490</v>
      </c>
      <c r="J1049" t="s">
        <v>2902</v>
      </c>
    </row>
    <row r="1050" spans="1:10" x14ac:dyDescent="0.25">
      <c r="A1050" t="s">
        <v>1394</v>
      </c>
      <c r="B1050" t="s">
        <v>159</v>
      </c>
      <c r="C1050">
        <v>6</v>
      </c>
      <c r="D1050" t="s">
        <v>3120</v>
      </c>
      <c r="E1050">
        <v>63</v>
      </c>
      <c r="F1050">
        <v>16</v>
      </c>
      <c r="G1050">
        <v>47</v>
      </c>
      <c r="H1050" t="s">
        <v>3489</v>
      </c>
      <c r="I1050" t="s">
        <v>3490</v>
      </c>
      <c r="J1050" t="s">
        <v>2902</v>
      </c>
    </row>
    <row r="1051" spans="1:10" x14ac:dyDescent="0.25">
      <c r="A1051" t="s">
        <v>1394</v>
      </c>
      <c r="B1051" t="s">
        <v>159</v>
      </c>
      <c r="C1051">
        <v>6</v>
      </c>
      <c r="D1051" t="s">
        <v>3122</v>
      </c>
      <c r="E1051">
        <v>76</v>
      </c>
      <c r="F1051">
        <v>21</v>
      </c>
      <c r="G1051">
        <v>55</v>
      </c>
      <c r="H1051" t="s">
        <v>3494</v>
      </c>
      <c r="I1051" t="s">
        <v>3490</v>
      </c>
      <c r="J1051" t="s">
        <v>2902</v>
      </c>
    </row>
    <row r="1052" spans="1:10" x14ac:dyDescent="0.25">
      <c r="A1052" t="s">
        <v>1399</v>
      </c>
      <c r="B1052" t="s">
        <v>30</v>
      </c>
      <c r="C1052">
        <v>6</v>
      </c>
      <c r="D1052" t="s">
        <v>3354</v>
      </c>
      <c r="E1052">
        <v>74</v>
      </c>
      <c r="F1052">
        <v>20</v>
      </c>
      <c r="G1052">
        <v>54</v>
      </c>
      <c r="H1052" t="s">
        <v>3494</v>
      </c>
      <c r="I1052" t="s">
        <v>3490</v>
      </c>
      <c r="J1052" t="s">
        <v>2895</v>
      </c>
    </row>
    <row r="1053" spans="1:10" x14ac:dyDescent="0.25">
      <c r="A1053" t="s">
        <v>1399</v>
      </c>
      <c r="B1053" t="s">
        <v>30</v>
      </c>
      <c r="C1053">
        <v>6</v>
      </c>
      <c r="D1053" t="s">
        <v>3356</v>
      </c>
      <c r="E1053">
        <v>65</v>
      </c>
      <c r="F1053">
        <v>21</v>
      </c>
      <c r="G1053">
        <v>44</v>
      </c>
      <c r="H1053" t="s">
        <v>3489</v>
      </c>
      <c r="I1053" t="s">
        <v>3490</v>
      </c>
      <c r="J1053" t="s">
        <v>2895</v>
      </c>
    </row>
    <row r="1054" spans="1:10" x14ac:dyDescent="0.25">
      <c r="A1054" t="s">
        <v>1399</v>
      </c>
      <c r="B1054" t="s">
        <v>30</v>
      </c>
      <c r="C1054">
        <v>6</v>
      </c>
      <c r="D1054" t="s">
        <v>3358</v>
      </c>
      <c r="E1054">
        <v>87</v>
      </c>
      <c r="F1054">
        <v>19</v>
      </c>
      <c r="G1054">
        <v>68</v>
      </c>
      <c r="H1054" t="s">
        <v>196</v>
      </c>
      <c r="I1054" t="s">
        <v>3490</v>
      </c>
      <c r="J1054" t="s">
        <v>2895</v>
      </c>
    </row>
    <row r="1055" spans="1:10" x14ac:dyDescent="0.25">
      <c r="A1055" t="s">
        <v>1399</v>
      </c>
      <c r="B1055" t="s">
        <v>30</v>
      </c>
      <c r="C1055">
        <v>6</v>
      </c>
      <c r="D1055" t="s">
        <v>3360</v>
      </c>
      <c r="E1055">
        <v>47</v>
      </c>
      <c r="F1055">
        <v>14</v>
      </c>
      <c r="G1055">
        <v>33</v>
      </c>
      <c r="H1055" t="s">
        <v>3491</v>
      </c>
      <c r="I1055" t="s">
        <v>3492</v>
      </c>
      <c r="J1055" t="s">
        <v>2895</v>
      </c>
    </row>
    <row r="1056" spans="1:10" x14ac:dyDescent="0.25">
      <c r="A1056" t="s">
        <v>1399</v>
      </c>
      <c r="B1056" t="s">
        <v>30</v>
      </c>
      <c r="C1056">
        <v>6</v>
      </c>
      <c r="D1056" t="s">
        <v>3362</v>
      </c>
      <c r="E1056">
        <v>46</v>
      </c>
      <c r="F1056">
        <v>10</v>
      </c>
      <c r="G1056">
        <v>36</v>
      </c>
      <c r="H1056" t="s">
        <v>3491</v>
      </c>
      <c r="I1056" t="s">
        <v>3492</v>
      </c>
      <c r="J1056" t="s">
        <v>2895</v>
      </c>
    </row>
    <row r="1057" spans="1:10" x14ac:dyDescent="0.25">
      <c r="A1057" t="s">
        <v>1404</v>
      </c>
      <c r="B1057" t="s">
        <v>95</v>
      </c>
      <c r="C1057">
        <v>6</v>
      </c>
      <c r="D1057" t="s">
        <v>3234</v>
      </c>
      <c r="E1057">
        <v>79</v>
      </c>
      <c r="F1057">
        <v>12</v>
      </c>
      <c r="G1057">
        <v>67</v>
      </c>
      <c r="H1057" t="s">
        <v>3494</v>
      </c>
      <c r="I1057" t="s">
        <v>3490</v>
      </c>
      <c r="J1057" t="s">
        <v>2889</v>
      </c>
    </row>
    <row r="1058" spans="1:10" x14ac:dyDescent="0.25">
      <c r="A1058" t="s">
        <v>1404</v>
      </c>
      <c r="B1058" t="s">
        <v>95</v>
      </c>
      <c r="C1058">
        <v>6</v>
      </c>
      <c r="D1058" t="s">
        <v>3236</v>
      </c>
      <c r="E1058">
        <v>35</v>
      </c>
      <c r="F1058">
        <v>14</v>
      </c>
      <c r="G1058">
        <v>21</v>
      </c>
      <c r="H1058" t="s">
        <v>3491</v>
      </c>
      <c r="I1058" t="s">
        <v>3492</v>
      </c>
      <c r="J1058" t="s">
        <v>2889</v>
      </c>
    </row>
    <row r="1059" spans="1:10" x14ac:dyDescent="0.25">
      <c r="A1059" t="s">
        <v>1404</v>
      </c>
      <c r="B1059" t="s">
        <v>95</v>
      </c>
      <c r="C1059">
        <v>6</v>
      </c>
      <c r="D1059" t="s">
        <v>3238</v>
      </c>
      <c r="E1059">
        <v>64</v>
      </c>
      <c r="F1059">
        <v>14</v>
      </c>
      <c r="G1059">
        <v>50</v>
      </c>
      <c r="H1059" t="s">
        <v>3489</v>
      </c>
      <c r="I1059" t="s">
        <v>3490</v>
      </c>
      <c r="J1059" t="s">
        <v>2889</v>
      </c>
    </row>
    <row r="1060" spans="1:10" x14ac:dyDescent="0.25">
      <c r="A1060" t="s">
        <v>1404</v>
      </c>
      <c r="B1060" t="s">
        <v>95</v>
      </c>
      <c r="C1060">
        <v>6</v>
      </c>
      <c r="D1060" t="s">
        <v>3240</v>
      </c>
      <c r="E1060">
        <v>58</v>
      </c>
      <c r="F1060">
        <v>11</v>
      </c>
      <c r="G1060">
        <v>47</v>
      </c>
      <c r="H1060" t="s">
        <v>3493</v>
      </c>
      <c r="I1060" t="s">
        <v>3490</v>
      </c>
      <c r="J1060" t="s">
        <v>2889</v>
      </c>
    </row>
    <row r="1061" spans="1:10" x14ac:dyDescent="0.25">
      <c r="A1061" t="s">
        <v>1404</v>
      </c>
      <c r="B1061" t="s">
        <v>95</v>
      </c>
      <c r="C1061">
        <v>6</v>
      </c>
      <c r="D1061" t="s">
        <v>3242</v>
      </c>
      <c r="E1061">
        <v>56</v>
      </c>
      <c r="F1061">
        <v>13</v>
      </c>
      <c r="G1061">
        <v>43</v>
      </c>
      <c r="H1061" t="s">
        <v>3493</v>
      </c>
      <c r="I1061" t="s">
        <v>3490</v>
      </c>
      <c r="J1061" t="s">
        <v>2889</v>
      </c>
    </row>
    <row r="1062" spans="1:10" x14ac:dyDescent="0.25">
      <c r="A1062" t="s">
        <v>1409</v>
      </c>
      <c r="B1062" t="s">
        <v>63</v>
      </c>
      <c r="C1062">
        <v>4</v>
      </c>
      <c r="D1062" t="s">
        <v>3394</v>
      </c>
      <c r="E1062">
        <v>59</v>
      </c>
      <c r="F1062">
        <v>29</v>
      </c>
      <c r="G1062">
        <v>30</v>
      </c>
      <c r="H1062" t="s">
        <v>3493</v>
      </c>
      <c r="I1062" t="s">
        <v>3490</v>
      </c>
      <c r="J1062" t="s">
        <v>2932</v>
      </c>
    </row>
    <row r="1063" spans="1:10" x14ac:dyDescent="0.25">
      <c r="A1063" t="s">
        <v>1409</v>
      </c>
      <c r="B1063" t="s">
        <v>63</v>
      </c>
      <c r="C1063">
        <v>4</v>
      </c>
      <c r="D1063" t="s">
        <v>3396</v>
      </c>
      <c r="E1063">
        <v>59</v>
      </c>
      <c r="F1063">
        <v>25</v>
      </c>
      <c r="G1063">
        <v>34</v>
      </c>
      <c r="H1063" t="s">
        <v>3493</v>
      </c>
      <c r="I1063" t="s">
        <v>3490</v>
      </c>
      <c r="J1063" t="s">
        <v>2932</v>
      </c>
    </row>
    <row r="1064" spans="1:10" x14ac:dyDescent="0.25">
      <c r="A1064" t="s">
        <v>1409</v>
      </c>
      <c r="B1064" t="s">
        <v>63</v>
      </c>
      <c r="C1064">
        <v>4</v>
      </c>
      <c r="D1064" t="s">
        <v>3398</v>
      </c>
      <c r="E1064">
        <v>78</v>
      </c>
      <c r="F1064">
        <v>27</v>
      </c>
      <c r="G1064">
        <v>51</v>
      </c>
      <c r="H1064" t="s">
        <v>3494</v>
      </c>
      <c r="I1064" t="s">
        <v>3490</v>
      </c>
      <c r="J1064" t="s">
        <v>2932</v>
      </c>
    </row>
    <row r="1065" spans="1:10" x14ac:dyDescent="0.25">
      <c r="A1065" t="s">
        <v>1409</v>
      </c>
      <c r="B1065" t="s">
        <v>63</v>
      </c>
      <c r="C1065">
        <v>4</v>
      </c>
      <c r="D1065" t="s">
        <v>3400</v>
      </c>
      <c r="E1065">
        <v>41</v>
      </c>
      <c r="F1065">
        <v>18</v>
      </c>
      <c r="G1065">
        <v>23</v>
      </c>
      <c r="H1065" t="s">
        <v>3491</v>
      </c>
      <c r="I1065" t="s">
        <v>3492</v>
      </c>
      <c r="J1065" t="s">
        <v>2932</v>
      </c>
    </row>
    <row r="1066" spans="1:10" x14ac:dyDescent="0.25">
      <c r="A1066" t="s">
        <v>1409</v>
      </c>
      <c r="B1066" t="s">
        <v>63</v>
      </c>
      <c r="C1066">
        <v>4</v>
      </c>
      <c r="D1066" t="s">
        <v>3402</v>
      </c>
      <c r="E1066">
        <v>73</v>
      </c>
      <c r="F1066">
        <v>15</v>
      </c>
      <c r="G1066">
        <v>58</v>
      </c>
      <c r="H1066" t="s">
        <v>3494</v>
      </c>
      <c r="I1066" t="s">
        <v>3490</v>
      </c>
      <c r="J1066" t="s">
        <v>2932</v>
      </c>
    </row>
    <row r="1067" spans="1:10" x14ac:dyDescent="0.25">
      <c r="A1067" t="s">
        <v>1413</v>
      </c>
      <c r="B1067" t="s">
        <v>75</v>
      </c>
      <c r="C1067">
        <v>4</v>
      </c>
      <c r="D1067" t="s">
        <v>3034</v>
      </c>
      <c r="E1067">
        <v>52</v>
      </c>
      <c r="F1067">
        <v>29</v>
      </c>
      <c r="G1067">
        <v>23</v>
      </c>
      <c r="H1067" t="s">
        <v>3493</v>
      </c>
      <c r="I1067" t="s">
        <v>3490</v>
      </c>
      <c r="J1067" t="s">
        <v>2961</v>
      </c>
    </row>
    <row r="1068" spans="1:10" x14ac:dyDescent="0.25">
      <c r="A1068" t="s">
        <v>1413</v>
      </c>
      <c r="B1068" t="s">
        <v>75</v>
      </c>
      <c r="C1068">
        <v>4</v>
      </c>
      <c r="D1068" t="s">
        <v>3036</v>
      </c>
      <c r="E1068">
        <v>90</v>
      </c>
      <c r="F1068">
        <v>24</v>
      </c>
      <c r="G1068">
        <v>66</v>
      </c>
      <c r="H1068" t="s">
        <v>3495</v>
      </c>
      <c r="I1068" t="s">
        <v>3490</v>
      </c>
      <c r="J1068" t="s">
        <v>2961</v>
      </c>
    </row>
    <row r="1069" spans="1:10" x14ac:dyDescent="0.25">
      <c r="A1069" t="s">
        <v>1413</v>
      </c>
      <c r="B1069" t="s">
        <v>75</v>
      </c>
      <c r="C1069">
        <v>4</v>
      </c>
      <c r="D1069" t="s">
        <v>3038</v>
      </c>
      <c r="E1069">
        <v>59</v>
      </c>
      <c r="F1069">
        <v>12</v>
      </c>
      <c r="G1069">
        <v>47</v>
      </c>
      <c r="H1069" t="s">
        <v>3493</v>
      </c>
      <c r="I1069" t="s">
        <v>3490</v>
      </c>
      <c r="J1069" t="s">
        <v>2961</v>
      </c>
    </row>
    <row r="1070" spans="1:10" x14ac:dyDescent="0.25">
      <c r="A1070" t="s">
        <v>1413</v>
      </c>
      <c r="B1070" t="s">
        <v>75</v>
      </c>
      <c r="C1070">
        <v>4</v>
      </c>
      <c r="D1070" t="s">
        <v>3040</v>
      </c>
      <c r="E1070">
        <v>80</v>
      </c>
      <c r="F1070">
        <v>23</v>
      </c>
      <c r="G1070">
        <v>57</v>
      </c>
      <c r="H1070" t="s">
        <v>196</v>
      </c>
      <c r="I1070" t="s">
        <v>3490</v>
      </c>
      <c r="J1070" t="s">
        <v>2961</v>
      </c>
    </row>
    <row r="1071" spans="1:10" x14ac:dyDescent="0.25">
      <c r="A1071" t="s">
        <v>1413</v>
      </c>
      <c r="B1071" t="s">
        <v>75</v>
      </c>
      <c r="C1071">
        <v>4</v>
      </c>
      <c r="D1071" t="s">
        <v>3042</v>
      </c>
      <c r="E1071">
        <v>56</v>
      </c>
      <c r="F1071">
        <v>10</v>
      </c>
      <c r="G1071">
        <v>46</v>
      </c>
      <c r="H1071" t="s">
        <v>3493</v>
      </c>
      <c r="I1071" t="s">
        <v>3490</v>
      </c>
      <c r="J1071" t="s">
        <v>2961</v>
      </c>
    </row>
    <row r="1072" spans="1:10" x14ac:dyDescent="0.25">
      <c r="A1072" t="s">
        <v>1418</v>
      </c>
      <c r="B1072" t="s">
        <v>63</v>
      </c>
      <c r="C1072">
        <v>8</v>
      </c>
      <c r="D1072" t="s">
        <v>3414</v>
      </c>
      <c r="E1072">
        <v>45</v>
      </c>
      <c r="F1072">
        <v>17</v>
      </c>
      <c r="G1072">
        <v>28</v>
      </c>
      <c r="H1072" t="s">
        <v>3491</v>
      </c>
      <c r="I1072" t="s">
        <v>3492</v>
      </c>
      <c r="J1072" t="s">
        <v>2932</v>
      </c>
    </row>
    <row r="1073" spans="1:10" x14ac:dyDescent="0.25">
      <c r="A1073" t="s">
        <v>1418</v>
      </c>
      <c r="B1073" t="s">
        <v>63</v>
      </c>
      <c r="C1073">
        <v>8</v>
      </c>
      <c r="D1073" t="s">
        <v>3416</v>
      </c>
      <c r="E1073">
        <v>52</v>
      </c>
      <c r="F1073">
        <v>14</v>
      </c>
      <c r="G1073">
        <v>38</v>
      </c>
      <c r="H1073" t="s">
        <v>3493</v>
      </c>
      <c r="I1073" t="s">
        <v>3490</v>
      </c>
      <c r="J1073" t="s">
        <v>2932</v>
      </c>
    </row>
    <row r="1074" spans="1:10" x14ac:dyDescent="0.25">
      <c r="A1074" t="s">
        <v>1418</v>
      </c>
      <c r="B1074" t="s">
        <v>63</v>
      </c>
      <c r="C1074">
        <v>8</v>
      </c>
      <c r="D1074" t="s">
        <v>3418</v>
      </c>
      <c r="E1074">
        <v>87</v>
      </c>
      <c r="F1074">
        <v>26</v>
      </c>
      <c r="G1074">
        <v>61</v>
      </c>
      <c r="H1074" t="s">
        <v>196</v>
      </c>
      <c r="I1074" t="s">
        <v>3490</v>
      </c>
      <c r="J1074" t="s">
        <v>2932</v>
      </c>
    </row>
    <row r="1075" spans="1:10" x14ac:dyDescent="0.25">
      <c r="A1075" t="s">
        <v>1418</v>
      </c>
      <c r="B1075" t="s">
        <v>63</v>
      </c>
      <c r="C1075">
        <v>8</v>
      </c>
      <c r="D1075" t="s">
        <v>3420</v>
      </c>
      <c r="E1075">
        <v>54</v>
      </c>
      <c r="F1075">
        <v>13</v>
      </c>
      <c r="G1075">
        <v>41</v>
      </c>
      <c r="H1075" t="s">
        <v>3493</v>
      </c>
      <c r="I1075" t="s">
        <v>3490</v>
      </c>
      <c r="J1075" t="s">
        <v>2932</v>
      </c>
    </row>
    <row r="1076" spans="1:10" x14ac:dyDescent="0.25">
      <c r="A1076" t="s">
        <v>1418</v>
      </c>
      <c r="B1076" t="s">
        <v>63</v>
      </c>
      <c r="C1076">
        <v>8</v>
      </c>
      <c r="D1076" t="s">
        <v>3422</v>
      </c>
      <c r="E1076">
        <v>56</v>
      </c>
      <c r="F1076">
        <v>20</v>
      </c>
      <c r="G1076">
        <v>36</v>
      </c>
      <c r="H1076" t="s">
        <v>3493</v>
      </c>
      <c r="I1076" t="s">
        <v>3490</v>
      </c>
      <c r="J1076" t="s">
        <v>2932</v>
      </c>
    </row>
    <row r="1077" spans="1:10" x14ac:dyDescent="0.25">
      <c r="A1077" t="s">
        <v>1423</v>
      </c>
      <c r="B1077" t="s">
        <v>122</v>
      </c>
      <c r="C1077">
        <v>8</v>
      </c>
      <c r="D1077" t="s">
        <v>3294</v>
      </c>
      <c r="E1077">
        <v>78</v>
      </c>
      <c r="F1077">
        <v>15</v>
      </c>
      <c r="G1077">
        <v>63</v>
      </c>
      <c r="H1077" t="s">
        <v>3494</v>
      </c>
      <c r="I1077" t="s">
        <v>3490</v>
      </c>
      <c r="J1077" t="s">
        <v>2919</v>
      </c>
    </row>
    <row r="1078" spans="1:10" x14ac:dyDescent="0.25">
      <c r="A1078" t="s">
        <v>1423</v>
      </c>
      <c r="B1078" t="s">
        <v>122</v>
      </c>
      <c r="C1078">
        <v>8</v>
      </c>
      <c r="D1078" t="s">
        <v>3296</v>
      </c>
      <c r="E1078">
        <v>91</v>
      </c>
      <c r="F1078">
        <v>30</v>
      </c>
      <c r="G1078">
        <v>61</v>
      </c>
      <c r="H1078" t="s">
        <v>3495</v>
      </c>
      <c r="I1078" t="s">
        <v>3490</v>
      </c>
      <c r="J1078" t="s">
        <v>2919</v>
      </c>
    </row>
    <row r="1079" spans="1:10" x14ac:dyDescent="0.25">
      <c r="A1079" t="s">
        <v>1423</v>
      </c>
      <c r="B1079" t="s">
        <v>122</v>
      </c>
      <c r="C1079">
        <v>8</v>
      </c>
      <c r="D1079" t="s">
        <v>3298</v>
      </c>
      <c r="E1079">
        <v>44</v>
      </c>
      <c r="F1079">
        <v>10</v>
      </c>
      <c r="G1079">
        <v>34</v>
      </c>
      <c r="H1079" t="s">
        <v>3491</v>
      </c>
      <c r="I1079" t="s">
        <v>3492</v>
      </c>
      <c r="J1079" t="s">
        <v>2919</v>
      </c>
    </row>
    <row r="1080" spans="1:10" x14ac:dyDescent="0.25">
      <c r="A1080" t="s">
        <v>1423</v>
      </c>
      <c r="B1080" t="s">
        <v>122</v>
      </c>
      <c r="C1080">
        <v>8</v>
      </c>
      <c r="D1080" t="s">
        <v>3300</v>
      </c>
      <c r="E1080">
        <v>41</v>
      </c>
      <c r="F1080">
        <v>19</v>
      </c>
      <c r="G1080">
        <v>22</v>
      </c>
      <c r="H1080" t="s">
        <v>3491</v>
      </c>
      <c r="I1080" t="s">
        <v>3492</v>
      </c>
      <c r="J1080" t="s">
        <v>2919</v>
      </c>
    </row>
    <row r="1081" spans="1:10" x14ac:dyDescent="0.25">
      <c r="A1081" t="s">
        <v>1423</v>
      </c>
      <c r="B1081" t="s">
        <v>122</v>
      </c>
      <c r="C1081">
        <v>8</v>
      </c>
      <c r="D1081" t="s">
        <v>3302</v>
      </c>
      <c r="E1081">
        <v>40</v>
      </c>
      <c r="F1081">
        <v>17</v>
      </c>
      <c r="G1081">
        <v>23</v>
      </c>
      <c r="H1081" t="s">
        <v>3491</v>
      </c>
      <c r="I1081" t="s">
        <v>3492</v>
      </c>
      <c r="J1081" t="s">
        <v>2919</v>
      </c>
    </row>
    <row r="1082" spans="1:10" x14ac:dyDescent="0.25">
      <c r="A1082" t="s">
        <v>1428</v>
      </c>
      <c r="B1082" t="s">
        <v>212</v>
      </c>
      <c r="C1082">
        <v>4</v>
      </c>
      <c r="D1082" t="s">
        <v>3454</v>
      </c>
      <c r="E1082">
        <v>34</v>
      </c>
      <c r="F1082">
        <v>13</v>
      </c>
      <c r="G1082">
        <v>21</v>
      </c>
      <c r="H1082" t="s">
        <v>3491</v>
      </c>
      <c r="I1082" t="s">
        <v>3492</v>
      </c>
      <c r="J1082" t="s">
        <v>3001</v>
      </c>
    </row>
    <row r="1083" spans="1:10" x14ac:dyDescent="0.25">
      <c r="A1083" t="s">
        <v>1428</v>
      </c>
      <c r="B1083" t="s">
        <v>212</v>
      </c>
      <c r="C1083">
        <v>4</v>
      </c>
      <c r="D1083" t="s">
        <v>3456</v>
      </c>
      <c r="E1083">
        <v>72</v>
      </c>
      <c r="F1083">
        <v>29</v>
      </c>
      <c r="G1083">
        <v>43</v>
      </c>
      <c r="H1083" t="s">
        <v>3494</v>
      </c>
      <c r="I1083" t="s">
        <v>3490</v>
      </c>
      <c r="J1083" t="s">
        <v>3001</v>
      </c>
    </row>
    <row r="1084" spans="1:10" x14ac:dyDescent="0.25">
      <c r="A1084" t="s">
        <v>1428</v>
      </c>
      <c r="B1084" t="s">
        <v>212</v>
      </c>
      <c r="C1084">
        <v>4</v>
      </c>
      <c r="D1084" t="s">
        <v>3458</v>
      </c>
      <c r="E1084">
        <v>73</v>
      </c>
      <c r="F1084">
        <v>22</v>
      </c>
      <c r="G1084">
        <v>51</v>
      </c>
      <c r="H1084" t="s">
        <v>3494</v>
      </c>
      <c r="I1084" t="s">
        <v>3490</v>
      </c>
      <c r="J1084" t="s">
        <v>3001</v>
      </c>
    </row>
    <row r="1085" spans="1:10" x14ac:dyDescent="0.25">
      <c r="A1085" t="s">
        <v>1428</v>
      </c>
      <c r="B1085" t="s">
        <v>212</v>
      </c>
      <c r="C1085">
        <v>4</v>
      </c>
      <c r="D1085" t="s">
        <v>3460</v>
      </c>
      <c r="E1085">
        <v>97</v>
      </c>
      <c r="F1085">
        <v>28</v>
      </c>
      <c r="G1085">
        <v>69</v>
      </c>
      <c r="H1085" t="s">
        <v>3495</v>
      </c>
      <c r="I1085" t="s">
        <v>3490</v>
      </c>
      <c r="J1085" t="s">
        <v>3001</v>
      </c>
    </row>
    <row r="1086" spans="1:10" x14ac:dyDescent="0.25">
      <c r="A1086" t="s">
        <v>1428</v>
      </c>
      <c r="B1086" t="s">
        <v>212</v>
      </c>
      <c r="C1086">
        <v>4</v>
      </c>
      <c r="D1086" t="s">
        <v>3462</v>
      </c>
      <c r="E1086">
        <v>78</v>
      </c>
      <c r="F1086">
        <v>30</v>
      </c>
      <c r="G1086">
        <v>48</v>
      </c>
      <c r="H1086" t="s">
        <v>3494</v>
      </c>
      <c r="I1086" t="s">
        <v>3490</v>
      </c>
      <c r="J1086" t="s">
        <v>3001</v>
      </c>
    </row>
    <row r="1087" spans="1:10" x14ac:dyDescent="0.25">
      <c r="A1087" t="s">
        <v>1434</v>
      </c>
      <c r="B1087" t="s">
        <v>63</v>
      </c>
      <c r="C1087">
        <v>8</v>
      </c>
      <c r="D1087" t="s">
        <v>3414</v>
      </c>
      <c r="E1087">
        <v>68</v>
      </c>
      <c r="F1087">
        <v>21</v>
      </c>
      <c r="G1087">
        <v>47</v>
      </c>
      <c r="H1087" t="s">
        <v>3489</v>
      </c>
      <c r="I1087" t="s">
        <v>3490</v>
      </c>
      <c r="J1087" t="s">
        <v>2932</v>
      </c>
    </row>
    <row r="1088" spans="1:10" x14ac:dyDescent="0.25">
      <c r="A1088" t="s">
        <v>1434</v>
      </c>
      <c r="B1088" t="s">
        <v>63</v>
      </c>
      <c r="C1088">
        <v>8</v>
      </c>
      <c r="D1088" t="s">
        <v>3416</v>
      </c>
      <c r="E1088">
        <v>78</v>
      </c>
      <c r="F1088">
        <v>19</v>
      </c>
      <c r="G1088">
        <v>59</v>
      </c>
      <c r="H1088" t="s">
        <v>3494</v>
      </c>
      <c r="I1088" t="s">
        <v>3490</v>
      </c>
      <c r="J1088" t="s">
        <v>2932</v>
      </c>
    </row>
    <row r="1089" spans="1:10" x14ac:dyDescent="0.25">
      <c r="A1089" t="s">
        <v>1434</v>
      </c>
      <c r="B1089" t="s">
        <v>63</v>
      </c>
      <c r="C1089">
        <v>8</v>
      </c>
      <c r="D1089" t="s">
        <v>3418</v>
      </c>
      <c r="E1089">
        <v>55</v>
      </c>
      <c r="F1089">
        <v>12</v>
      </c>
      <c r="G1089">
        <v>43</v>
      </c>
      <c r="H1089" t="s">
        <v>3493</v>
      </c>
      <c r="I1089" t="s">
        <v>3490</v>
      </c>
      <c r="J1089" t="s">
        <v>2932</v>
      </c>
    </row>
    <row r="1090" spans="1:10" x14ac:dyDescent="0.25">
      <c r="A1090" t="s">
        <v>1434</v>
      </c>
      <c r="B1090" t="s">
        <v>63</v>
      </c>
      <c r="C1090">
        <v>8</v>
      </c>
      <c r="D1090" t="s">
        <v>3420</v>
      </c>
      <c r="E1090">
        <v>81</v>
      </c>
      <c r="F1090">
        <v>24</v>
      </c>
      <c r="G1090">
        <v>57</v>
      </c>
      <c r="H1090" t="s">
        <v>196</v>
      </c>
      <c r="I1090" t="s">
        <v>3490</v>
      </c>
      <c r="J1090" t="s">
        <v>2932</v>
      </c>
    </row>
    <row r="1091" spans="1:10" x14ac:dyDescent="0.25">
      <c r="A1091" t="s">
        <v>1434</v>
      </c>
      <c r="B1091" t="s">
        <v>63</v>
      </c>
      <c r="C1091">
        <v>8</v>
      </c>
      <c r="D1091" t="s">
        <v>3422</v>
      </c>
      <c r="E1091">
        <v>64</v>
      </c>
      <c r="F1091">
        <v>21</v>
      </c>
      <c r="G1091">
        <v>43</v>
      </c>
      <c r="H1091" t="s">
        <v>3489</v>
      </c>
      <c r="I1091" t="s">
        <v>3490</v>
      </c>
      <c r="J1091" t="s">
        <v>2932</v>
      </c>
    </row>
    <row r="1092" spans="1:10" x14ac:dyDescent="0.25">
      <c r="A1092" t="s">
        <v>1440</v>
      </c>
      <c r="B1092" t="s">
        <v>122</v>
      </c>
      <c r="C1092">
        <v>4</v>
      </c>
      <c r="D1092" t="s">
        <v>3274</v>
      </c>
      <c r="E1092">
        <v>66</v>
      </c>
      <c r="F1092">
        <v>19</v>
      </c>
      <c r="G1092">
        <v>47</v>
      </c>
      <c r="H1092" t="s">
        <v>3489</v>
      </c>
      <c r="I1092" t="s">
        <v>3490</v>
      </c>
      <c r="J1092" t="s">
        <v>2919</v>
      </c>
    </row>
    <row r="1093" spans="1:10" x14ac:dyDescent="0.25">
      <c r="A1093" t="s">
        <v>1440</v>
      </c>
      <c r="B1093" t="s">
        <v>122</v>
      </c>
      <c r="C1093">
        <v>4</v>
      </c>
      <c r="D1093" t="s">
        <v>3276</v>
      </c>
      <c r="E1093">
        <v>50</v>
      </c>
      <c r="F1093">
        <v>15</v>
      </c>
      <c r="G1093">
        <v>35</v>
      </c>
      <c r="H1093" t="s">
        <v>3493</v>
      </c>
      <c r="I1093" t="s">
        <v>3490</v>
      </c>
      <c r="J1093" t="s">
        <v>2919</v>
      </c>
    </row>
    <row r="1094" spans="1:10" x14ac:dyDescent="0.25">
      <c r="A1094" t="s">
        <v>1440</v>
      </c>
      <c r="B1094" t="s">
        <v>122</v>
      </c>
      <c r="C1094">
        <v>4</v>
      </c>
      <c r="D1094" t="s">
        <v>3278</v>
      </c>
      <c r="E1094">
        <v>68</v>
      </c>
      <c r="F1094">
        <v>18</v>
      </c>
      <c r="G1094">
        <v>50</v>
      </c>
      <c r="H1094" t="s">
        <v>3489</v>
      </c>
      <c r="I1094" t="s">
        <v>3490</v>
      </c>
      <c r="J1094" t="s">
        <v>2919</v>
      </c>
    </row>
    <row r="1095" spans="1:10" x14ac:dyDescent="0.25">
      <c r="A1095" t="s">
        <v>1440</v>
      </c>
      <c r="B1095" t="s">
        <v>122</v>
      </c>
      <c r="C1095">
        <v>4</v>
      </c>
      <c r="D1095" t="s">
        <v>3280</v>
      </c>
      <c r="E1095">
        <v>41</v>
      </c>
      <c r="F1095">
        <v>13</v>
      </c>
      <c r="G1095">
        <v>28</v>
      </c>
      <c r="H1095" t="s">
        <v>3491</v>
      </c>
      <c r="I1095" t="s">
        <v>3492</v>
      </c>
      <c r="J1095" t="s">
        <v>2919</v>
      </c>
    </row>
    <row r="1096" spans="1:10" x14ac:dyDescent="0.25">
      <c r="A1096" t="s">
        <v>1440</v>
      </c>
      <c r="B1096" t="s">
        <v>122</v>
      </c>
      <c r="C1096">
        <v>4</v>
      </c>
      <c r="D1096" t="s">
        <v>3282</v>
      </c>
      <c r="E1096">
        <v>67</v>
      </c>
      <c r="F1096">
        <v>18</v>
      </c>
      <c r="G1096">
        <v>49</v>
      </c>
      <c r="H1096" t="s">
        <v>3489</v>
      </c>
      <c r="I1096" t="s">
        <v>3490</v>
      </c>
      <c r="J1096" t="s">
        <v>2919</v>
      </c>
    </row>
    <row r="1097" spans="1:10" x14ac:dyDescent="0.25">
      <c r="A1097" t="s">
        <v>1444</v>
      </c>
      <c r="B1097" t="s">
        <v>95</v>
      </c>
      <c r="C1097">
        <v>6</v>
      </c>
      <c r="D1097" t="s">
        <v>3234</v>
      </c>
      <c r="E1097">
        <v>43</v>
      </c>
      <c r="F1097">
        <v>23</v>
      </c>
      <c r="G1097">
        <v>20</v>
      </c>
      <c r="H1097" t="s">
        <v>3491</v>
      </c>
      <c r="I1097" t="s">
        <v>3492</v>
      </c>
      <c r="J1097" t="s">
        <v>2889</v>
      </c>
    </row>
    <row r="1098" spans="1:10" x14ac:dyDescent="0.25">
      <c r="A1098" t="s">
        <v>1444</v>
      </c>
      <c r="B1098" t="s">
        <v>95</v>
      </c>
      <c r="C1098">
        <v>6</v>
      </c>
      <c r="D1098" t="s">
        <v>3236</v>
      </c>
      <c r="E1098">
        <v>35</v>
      </c>
      <c r="F1098">
        <v>13</v>
      </c>
      <c r="G1098">
        <v>22</v>
      </c>
      <c r="H1098" t="s">
        <v>3491</v>
      </c>
      <c r="I1098" t="s">
        <v>3492</v>
      </c>
      <c r="J1098" t="s">
        <v>2889</v>
      </c>
    </row>
    <row r="1099" spans="1:10" x14ac:dyDescent="0.25">
      <c r="A1099" t="s">
        <v>1444</v>
      </c>
      <c r="B1099" t="s">
        <v>95</v>
      </c>
      <c r="C1099">
        <v>6</v>
      </c>
      <c r="D1099" t="s">
        <v>3238</v>
      </c>
      <c r="E1099">
        <v>50</v>
      </c>
      <c r="F1099">
        <v>27</v>
      </c>
      <c r="G1099">
        <v>23</v>
      </c>
      <c r="H1099" t="s">
        <v>3493</v>
      </c>
      <c r="I1099" t="s">
        <v>3490</v>
      </c>
      <c r="J1099" t="s">
        <v>2889</v>
      </c>
    </row>
    <row r="1100" spans="1:10" x14ac:dyDescent="0.25">
      <c r="A1100" t="s">
        <v>1444</v>
      </c>
      <c r="B1100" t="s">
        <v>95</v>
      </c>
      <c r="C1100">
        <v>6</v>
      </c>
      <c r="D1100" t="s">
        <v>3240</v>
      </c>
      <c r="E1100">
        <v>83</v>
      </c>
      <c r="F1100">
        <v>13</v>
      </c>
      <c r="G1100">
        <v>70</v>
      </c>
      <c r="H1100" t="s">
        <v>196</v>
      </c>
      <c r="I1100" t="s">
        <v>3490</v>
      </c>
      <c r="J1100" t="s">
        <v>2889</v>
      </c>
    </row>
    <row r="1101" spans="1:10" x14ac:dyDescent="0.25">
      <c r="A1101" t="s">
        <v>1444</v>
      </c>
      <c r="B1101" t="s">
        <v>95</v>
      </c>
      <c r="C1101">
        <v>6</v>
      </c>
      <c r="D1101" t="s">
        <v>3242</v>
      </c>
      <c r="E1101">
        <v>53</v>
      </c>
      <c r="F1101">
        <v>26</v>
      </c>
      <c r="G1101">
        <v>27</v>
      </c>
      <c r="H1101" t="s">
        <v>3493</v>
      </c>
      <c r="I1101" t="s">
        <v>3490</v>
      </c>
      <c r="J1101" t="s">
        <v>2889</v>
      </c>
    </row>
    <row r="1102" spans="1:10" x14ac:dyDescent="0.25">
      <c r="A1102" t="s">
        <v>1449</v>
      </c>
      <c r="B1102" t="s">
        <v>63</v>
      </c>
      <c r="C1102">
        <v>6</v>
      </c>
      <c r="D1102" t="s">
        <v>3414</v>
      </c>
      <c r="E1102">
        <v>44</v>
      </c>
      <c r="F1102">
        <v>11</v>
      </c>
      <c r="G1102">
        <v>33</v>
      </c>
      <c r="H1102" t="s">
        <v>3491</v>
      </c>
      <c r="I1102" t="s">
        <v>3492</v>
      </c>
      <c r="J1102" t="s">
        <v>2932</v>
      </c>
    </row>
    <row r="1103" spans="1:10" x14ac:dyDescent="0.25">
      <c r="A1103" t="s">
        <v>1449</v>
      </c>
      <c r="B1103" t="s">
        <v>63</v>
      </c>
      <c r="C1103">
        <v>6</v>
      </c>
      <c r="D1103" t="s">
        <v>3416</v>
      </c>
      <c r="E1103">
        <v>77</v>
      </c>
      <c r="F1103">
        <v>10</v>
      </c>
      <c r="G1103">
        <v>67</v>
      </c>
      <c r="H1103" t="s">
        <v>3494</v>
      </c>
      <c r="I1103" t="s">
        <v>3490</v>
      </c>
      <c r="J1103" t="s">
        <v>2932</v>
      </c>
    </row>
    <row r="1104" spans="1:10" x14ac:dyDescent="0.25">
      <c r="A1104" t="s">
        <v>1449</v>
      </c>
      <c r="B1104" t="s">
        <v>63</v>
      </c>
      <c r="C1104">
        <v>6</v>
      </c>
      <c r="D1104" t="s">
        <v>3418</v>
      </c>
      <c r="E1104">
        <v>78</v>
      </c>
      <c r="F1104">
        <v>23</v>
      </c>
      <c r="G1104">
        <v>55</v>
      </c>
      <c r="H1104" t="s">
        <v>3494</v>
      </c>
      <c r="I1104" t="s">
        <v>3490</v>
      </c>
      <c r="J1104" t="s">
        <v>2932</v>
      </c>
    </row>
    <row r="1105" spans="1:10" x14ac:dyDescent="0.25">
      <c r="A1105" t="s">
        <v>1449</v>
      </c>
      <c r="B1105" t="s">
        <v>63</v>
      </c>
      <c r="C1105">
        <v>6</v>
      </c>
      <c r="D1105" t="s">
        <v>3420</v>
      </c>
      <c r="E1105">
        <v>43</v>
      </c>
      <c r="F1105">
        <v>17</v>
      </c>
      <c r="G1105">
        <v>26</v>
      </c>
      <c r="H1105" t="s">
        <v>3491</v>
      </c>
      <c r="I1105" t="s">
        <v>3492</v>
      </c>
      <c r="J1105" t="s">
        <v>2932</v>
      </c>
    </row>
    <row r="1106" spans="1:10" x14ac:dyDescent="0.25">
      <c r="A1106" t="s">
        <v>1449</v>
      </c>
      <c r="B1106" t="s">
        <v>63</v>
      </c>
      <c r="C1106">
        <v>6</v>
      </c>
      <c r="D1106" t="s">
        <v>3422</v>
      </c>
      <c r="E1106">
        <v>69</v>
      </c>
      <c r="F1106">
        <v>24</v>
      </c>
      <c r="G1106">
        <v>45</v>
      </c>
      <c r="H1106" t="s">
        <v>3489</v>
      </c>
      <c r="I1106" t="s">
        <v>3490</v>
      </c>
      <c r="J1106" t="s">
        <v>2932</v>
      </c>
    </row>
    <row r="1107" spans="1:10" x14ac:dyDescent="0.25">
      <c r="A1107" t="s">
        <v>1454</v>
      </c>
      <c r="B1107" t="s">
        <v>63</v>
      </c>
      <c r="C1107">
        <v>6</v>
      </c>
      <c r="D1107" t="s">
        <v>3414</v>
      </c>
      <c r="E1107">
        <v>86</v>
      </c>
      <c r="F1107">
        <v>18</v>
      </c>
      <c r="G1107">
        <v>68</v>
      </c>
      <c r="H1107" t="s">
        <v>196</v>
      </c>
      <c r="I1107" t="s">
        <v>3490</v>
      </c>
      <c r="J1107" t="s">
        <v>2932</v>
      </c>
    </row>
    <row r="1108" spans="1:10" x14ac:dyDescent="0.25">
      <c r="A1108" t="s">
        <v>1454</v>
      </c>
      <c r="B1108" t="s">
        <v>63</v>
      </c>
      <c r="C1108">
        <v>6</v>
      </c>
      <c r="D1108" t="s">
        <v>3416</v>
      </c>
      <c r="E1108">
        <v>63</v>
      </c>
      <c r="F1108">
        <v>12</v>
      </c>
      <c r="G1108">
        <v>51</v>
      </c>
      <c r="H1108" t="s">
        <v>3489</v>
      </c>
      <c r="I1108" t="s">
        <v>3490</v>
      </c>
      <c r="J1108" t="s">
        <v>2932</v>
      </c>
    </row>
    <row r="1109" spans="1:10" x14ac:dyDescent="0.25">
      <c r="A1109" t="s">
        <v>1454</v>
      </c>
      <c r="B1109" t="s">
        <v>63</v>
      </c>
      <c r="C1109">
        <v>6</v>
      </c>
      <c r="D1109" t="s">
        <v>3418</v>
      </c>
      <c r="E1109">
        <v>62</v>
      </c>
      <c r="F1109">
        <v>15</v>
      </c>
      <c r="G1109">
        <v>47</v>
      </c>
      <c r="H1109" t="s">
        <v>3489</v>
      </c>
      <c r="I1109" t="s">
        <v>3490</v>
      </c>
      <c r="J1109" t="s">
        <v>2932</v>
      </c>
    </row>
    <row r="1110" spans="1:10" x14ac:dyDescent="0.25">
      <c r="A1110" t="s">
        <v>1454</v>
      </c>
      <c r="B1110" t="s">
        <v>63</v>
      </c>
      <c r="C1110">
        <v>6</v>
      </c>
      <c r="D1110" t="s">
        <v>3420</v>
      </c>
      <c r="E1110">
        <v>48</v>
      </c>
      <c r="F1110">
        <v>26</v>
      </c>
      <c r="G1110">
        <v>22</v>
      </c>
      <c r="H1110" t="s">
        <v>3491</v>
      </c>
      <c r="I1110" t="s">
        <v>3492</v>
      </c>
      <c r="J1110" t="s">
        <v>2932</v>
      </c>
    </row>
    <row r="1111" spans="1:10" x14ac:dyDescent="0.25">
      <c r="A1111" t="s">
        <v>1454</v>
      </c>
      <c r="B1111" t="s">
        <v>63</v>
      </c>
      <c r="C1111">
        <v>6</v>
      </c>
      <c r="D1111" t="s">
        <v>3422</v>
      </c>
      <c r="E1111">
        <v>47</v>
      </c>
      <c r="F1111">
        <v>27</v>
      </c>
      <c r="G1111">
        <v>20</v>
      </c>
      <c r="H1111" t="s">
        <v>3491</v>
      </c>
      <c r="I1111" t="s">
        <v>3492</v>
      </c>
      <c r="J1111" t="s">
        <v>2932</v>
      </c>
    </row>
    <row r="1112" spans="1:10" x14ac:dyDescent="0.25">
      <c r="A1112" t="s">
        <v>1458</v>
      </c>
      <c r="B1112" t="s">
        <v>122</v>
      </c>
      <c r="C1112">
        <v>8</v>
      </c>
      <c r="D1112" t="s">
        <v>3294</v>
      </c>
      <c r="E1112">
        <v>52</v>
      </c>
      <c r="F1112">
        <v>26</v>
      </c>
      <c r="G1112">
        <v>26</v>
      </c>
      <c r="H1112" t="s">
        <v>3493</v>
      </c>
      <c r="I1112" t="s">
        <v>3490</v>
      </c>
      <c r="J1112" t="s">
        <v>2919</v>
      </c>
    </row>
    <row r="1113" spans="1:10" x14ac:dyDescent="0.25">
      <c r="A1113" t="s">
        <v>1458</v>
      </c>
      <c r="B1113" t="s">
        <v>122</v>
      </c>
      <c r="C1113">
        <v>8</v>
      </c>
      <c r="D1113" t="s">
        <v>3296</v>
      </c>
      <c r="E1113">
        <v>69</v>
      </c>
      <c r="F1113">
        <v>21</v>
      </c>
      <c r="G1113">
        <v>48</v>
      </c>
      <c r="H1113" t="s">
        <v>3489</v>
      </c>
      <c r="I1113" t="s">
        <v>3490</v>
      </c>
      <c r="J1113" t="s">
        <v>2919</v>
      </c>
    </row>
    <row r="1114" spans="1:10" x14ac:dyDescent="0.25">
      <c r="A1114" t="s">
        <v>1458</v>
      </c>
      <c r="B1114" t="s">
        <v>122</v>
      </c>
      <c r="C1114">
        <v>8</v>
      </c>
      <c r="D1114" t="s">
        <v>3298</v>
      </c>
      <c r="E1114">
        <v>42</v>
      </c>
      <c r="F1114">
        <v>13</v>
      </c>
      <c r="G1114">
        <v>29</v>
      </c>
      <c r="H1114" t="s">
        <v>3491</v>
      </c>
      <c r="I1114" t="s">
        <v>3492</v>
      </c>
      <c r="J1114" t="s">
        <v>2919</v>
      </c>
    </row>
    <row r="1115" spans="1:10" x14ac:dyDescent="0.25">
      <c r="A1115" t="s">
        <v>1458</v>
      </c>
      <c r="B1115" t="s">
        <v>122</v>
      </c>
      <c r="C1115">
        <v>8</v>
      </c>
      <c r="D1115" t="s">
        <v>3300</v>
      </c>
      <c r="E1115">
        <v>49</v>
      </c>
      <c r="F1115">
        <v>28</v>
      </c>
      <c r="G1115">
        <v>21</v>
      </c>
      <c r="H1115" t="s">
        <v>3491</v>
      </c>
      <c r="I1115" t="s">
        <v>3492</v>
      </c>
      <c r="J1115" t="s">
        <v>2919</v>
      </c>
    </row>
    <row r="1116" spans="1:10" x14ac:dyDescent="0.25">
      <c r="A1116" t="s">
        <v>1458</v>
      </c>
      <c r="B1116" t="s">
        <v>122</v>
      </c>
      <c r="C1116">
        <v>8</v>
      </c>
      <c r="D1116" t="s">
        <v>3302</v>
      </c>
      <c r="E1116">
        <v>54</v>
      </c>
      <c r="F1116">
        <v>13</v>
      </c>
      <c r="G1116">
        <v>41</v>
      </c>
      <c r="H1116" t="s">
        <v>3493</v>
      </c>
      <c r="I1116" t="s">
        <v>3490</v>
      </c>
      <c r="J1116" t="s">
        <v>2919</v>
      </c>
    </row>
    <row r="1117" spans="1:10" x14ac:dyDescent="0.25">
      <c r="A1117" t="s">
        <v>1463</v>
      </c>
      <c r="B1117" t="s">
        <v>212</v>
      </c>
      <c r="C1117">
        <v>4</v>
      </c>
      <c r="D1117" t="s">
        <v>3454</v>
      </c>
      <c r="E1117">
        <v>60</v>
      </c>
      <c r="F1117">
        <v>11</v>
      </c>
      <c r="G1117">
        <v>49</v>
      </c>
      <c r="H1117" t="s">
        <v>3489</v>
      </c>
      <c r="I1117" t="s">
        <v>3490</v>
      </c>
      <c r="J1117" t="s">
        <v>3001</v>
      </c>
    </row>
    <row r="1118" spans="1:10" x14ac:dyDescent="0.25">
      <c r="A1118" t="s">
        <v>1463</v>
      </c>
      <c r="B1118" t="s">
        <v>212</v>
      </c>
      <c r="C1118">
        <v>4</v>
      </c>
      <c r="D1118" t="s">
        <v>3456</v>
      </c>
      <c r="E1118">
        <v>44</v>
      </c>
      <c r="F1118">
        <v>12</v>
      </c>
      <c r="G1118">
        <v>32</v>
      </c>
      <c r="H1118" t="s">
        <v>3491</v>
      </c>
      <c r="I1118" t="s">
        <v>3492</v>
      </c>
      <c r="J1118" t="s">
        <v>3001</v>
      </c>
    </row>
    <row r="1119" spans="1:10" x14ac:dyDescent="0.25">
      <c r="A1119" t="s">
        <v>1463</v>
      </c>
      <c r="B1119" t="s">
        <v>212</v>
      </c>
      <c r="C1119">
        <v>4</v>
      </c>
      <c r="D1119" t="s">
        <v>3458</v>
      </c>
      <c r="E1119">
        <v>48</v>
      </c>
      <c r="F1119">
        <v>26</v>
      </c>
      <c r="G1119">
        <v>22</v>
      </c>
      <c r="H1119" t="s">
        <v>3491</v>
      </c>
      <c r="I1119" t="s">
        <v>3492</v>
      </c>
      <c r="J1119" t="s">
        <v>3001</v>
      </c>
    </row>
    <row r="1120" spans="1:10" x14ac:dyDescent="0.25">
      <c r="A1120" t="s">
        <v>1463</v>
      </c>
      <c r="B1120" t="s">
        <v>212</v>
      </c>
      <c r="C1120">
        <v>4</v>
      </c>
      <c r="D1120" t="s">
        <v>3460</v>
      </c>
      <c r="E1120">
        <v>71</v>
      </c>
      <c r="F1120">
        <v>23</v>
      </c>
      <c r="G1120">
        <v>48</v>
      </c>
      <c r="H1120" t="s">
        <v>3494</v>
      </c>
      <c r="I1120" t="s">
        <v>3490</v>
      </c>
      <c r="J1120" t="s">
        <v>3001</v>
      </c>
    </row>
    <row r="1121" spans="1:10" x14ac:dyDescent="0.25">
      <c r="A1121" t="s">
        <v>1463</v>
      </c>
      <c r="B1121" t="s">
        <v>212</v>
      </c>
      <c r="C1121">
        <v>4</v>
      </c>
      <c r="D1121" t="s">
        <v>3462</v>
      </c>
      <c r="E1121">
        <v>48</v>
      </c>
      <c r="F1121">
        <v>13</v>
      </c>
      <c r="G1121">
        <v>35</v>
      </c>
      <c r="H1121" t="s">
        <v>3491</v>
      </c>
      <c r="I1121" t="s">
        <v>3492</v>
      </c>
      <c r="J1121" t="s">
        <v>3001</v>
      </c>
    </row>
    <row r="1122" spans="1:10" x14ac:dyDescent="0.25">
      <c r="A1122" t="s">
        <v>1468</v>
      </c>
      <c r="B1122" t="s">
        <v>159</v>
      </c>
      <c r="C1122">
        <v>8</v>
      </c>
      <c r="D1122" t="s">
        <v>3114</v>
      </c>
      <c r="E1122">
        <v>60</v>
      </c>
      <c r="F1122">
        <v>11</v>
      </c>
      <c r="G1122">
        <v>49</v>
      </c>
      <c r="H1122" t="s">
        <v>3489</v>
      </c>
      <c r="I1122" t="s">
        <v>3490</v>
      </c>
      <c r="J1122" t="s">
        <v>2902</v>
      </c>
    </row>
    <row r="1123" spans="1:10" x14ac:dyDescent="0.25">
      <c r="A1123" t="s">
        <v>1468</v>
      </c>
      <c r="B1123" t="s">
        <v>159</v>
      </c>
      <c r="C1123">
        <v>8</v>
      </c>
      <c r="D1123" t="s">
        <v>3116</v>
      </c>
      <c r="E1123">
        <v>58</v>
      </c>
      <c r="F1123">
        <v>17</v>
      </c>
      <c r="G1123">
        <v>41</v>
      </c>
      <c r="H1123" t="s">
        <v>3493</v>
      </c>
      <c r="I1123" t="s">
        <v>3490</v>
      </c>
      <c r="J1123" t="s">
        <v>2902</v>
      </c>
    </row>
    <row r="1124" spans="1:10" x14ac:dyDescent="0.25">
      <c r="A1124" t="s">
        <v>1468</v>
      </c>
      <c r="B1124" t="s">
        <v>159</v>
      </c>
      <c r="C1124">
        <v>8</v>
      </c>
      <c r="D1124" t="s">
        <v>3118</v>
      </c>
      <c r="E1124">
        <v>35</v>
      </c>
      <c r="F1124">
        <v>12</v>
      </c>
      <c r="G1124">
        <v>23</v>
      </c>
      <c r="H1124" t="s">
        <v>3491</v>
      </c>
      <c r="I1124" t="s">
        <v>3492</v>
      </c>
      <c r="J1124" t="s">
        <v>2902</v>
      </c>
    </row>
    <row r="1125" spans="1:10" x14ac:dyDescent="0.25">
      <c r="A1125" t="s">
        <v>1468</v>
      </c>
      <c r="B1125" t="s">
        <v>159</v>
      </c>
      <c r="C1125">
        <v>8</v>
      </c>
      <c r="D1125" t="s">
        <v>3120</v>
      </c>
      <c r="E1125">
        <v>62</v>
      </c>
      <c r="F1125">
        <v>19</v>
      </c>
      <c r="G1125">
        <v>43</v>
      </c>
      <c r="H1125" t="s">
        <v>3489</v>
      </c>
      <c r="I1125" t="s">
        <v>3490</v>
      </c>
      <c r="J1125" t="s">
        <v>2902</v>
      </c>
    </row>
    <row r="1126" spans="1:10" x14ac:dyDescent="0.25">
      <c r="A1126" t="s">
        <v>1468</v>
      </c>
      <c r="B1126" t="s">
        <v>159</v>
      </c>
      <c r="C1126">
        <v>8</v>
      </c>
      <c r="D1126" t="s">
        <v>3122</v>
      </c>
      <c r="E1126">
        <v>63</v>
      </c>
      <c r="F1126">
        <v>26</v>
      </c>
      <c r="G1126">
        <v>37</v>
      </c>
      <c r="H1126" t="s">
        <v>3489</v>
      </c>
      <c r="I1126" t="s">
        <v>3490</v>
      </c>
      <c r="J1126" t="s">
        <v>2902</v>
      </c>
    </row>
    <row r="1127" spans="1:10" x14ac:dyDescent="0.25">
      <c r="A1127" t="s">
        <v>1473</v>
      </c>
      <c r="B1127" t="s">
        <v>122</v>
      </c>
      <c r="C1127">
        <v>8</v>
      </c>
      <c r="D1127" t="s">
        <v>3294</v>
      </c>
      <c r="E1127">
        <v>64</v>
      </c>
      <c r="F1127">
        <v>25</v>
      </c>
      <c r="G1127">
        <v>39</v>
      </c>
      <c r="H1127" t="s">
        <v>3489</v>
      </c>
      <c r="I1127" t="s">
        <v>3490</v>
      </c>
      <c r="J1127" t="s">
        <v>2919</v>
      </c>
    </row>
    <row r="1128" spans="1:10" x14ac:dyDescent="0.25">
      <c r="A1128" t="s">
        <v>1473</v>
      </c>
      <c r="B1128" t="s">
        <v>122</v>
      </c>
      <c r="C1128">
        <v>8</v>
      </c>
      <c r="D1128" t="s">
        <v>3296</v>
      </c>
      <c r="E1128">
        <v>61</v>
      </c>
      <c r="F1128">
        <v>16</v>
      </c>
      <c r="G1128">
        <v>45</v>
      </c>
      <c r="H1128" t="s">
        <v>3489</v>
      </c>
      <c r="I1128" t="s">
        <v>3490</v>
      </c>
      <c r="J1128" t="s">
        <v>2919</v>
      </c>
    </row>
    <row r="1129" spans="1:10" x14ac:dyDescent="0.25">
      <c r="A1129" t="s">
        <v>1473</v>
      </c>
      <c r="B1129" t="s">
        <v>122</v>
      </c>
      <c r="C1129">
        <v>8</v>
      </c>
      <c r="D1129" t="s">
        <v>3298</v>
      </c>
      <c r="E1129">
        <v>42</v>
      </c>
      <c r="F1129">
        <v>15</v>
      </c>
      <c r="G1129">
        <v>27</v>
      </c>
      <c r="H1129" t="s">
        <v>3491</v>
      </c>
      <c r="I1129" t="s">
        <v>3492</v>
      </c>
      <c r="J1129" t="s">
        <v>2919</v>
      </c>
    </row>
    <row r="1130" spans="1:10" x14ac:dyDescent="0.25">
      <c r="A1130" t="s">
        <v>1473</v>
      </c>
      <c r="B1130" t="s">
        <v>122</v>
      </c>
      <c r="C1130">
        <v>8</v>
      </c>
      <c r="D1130" t="s">
        <v>3300</v>
      </c>
      <c r="E1130">
        <v>37</v>
      </c>
      <c r="F1130">
        <v>16</v>
      </c>
      <c r="G1130">
        <v>21</v>
      </c>
      <c r="H1130" t="s">
        <v>3491</v>
      </c>
      <c r="I1130" t="s">
        <v>3492</v>
      </c>
      <c r="J1130" t="s">
        <v>2919</v>
      </c>
    </row>
    <row r="1131" spans="1:10" x14ac:dyDescent="0.25">
      <c r="A1131" t="s">
        <v>1473</v>
      </c>
      <c r="B1131" t="s">
        <v>122</v>
      </c>
      <c r="C1131">
        <v>8</v>
      </c>
      <c r="D1131" t="s">
        <v>3302</v>
      </c>
      <c r="E1131">
        <v>66</v>
      </c>
      <c r="F1131">
        <v>10</v>
      </c>
      <c r="G1131">
        <v>56</v>
      </c>
      <c r="H1131" t="s">
        <v>3489</v>
      </c>
      <c r="I1131" t="s">
        <v>3490</v>
      </c>
      <c r="J1131" t="s">
        <v>2919</v>
      </c>
    </row>
    <row r="1132" spans="1:10" x14ac:dyDescent="0.25">
      <c r="A1132" t="s">
        <v>1478</v>
      </c>
      <c r="B1132" t="s">
        <v>75</v>
      </c>
      <c r="C1132">
        <v>4</v>
      </c>
      <c r="D1132" t="s">
        <v>3034</v>
      </c>
      <c r="E1132">
        <v>54</v>
      </c>
      <c r="F1132">
        <v>23</v>
      </c>
      <c r="G1132">
        <v>31</v>
      </c>
      <c r="H1132" t="s">
        <v>3493</v>
      </c>
      <c r="I1132" t="s">
        <v>3490</v>
      </c>
      <c r="J1132" t="s">
        <v>2961</v>
      </c>
    </row>
    <row r="1133" spans="1:10" x14ac:dyDescent="0.25">
      <c r="A1133" t="s">
        <v>1478</v>
      </c>
      <c r="B1133" t="s">
        <v>75</v>
      </c>
      <c r="C1133">
        <v>4</v>
      </c>
      <c r="D1133" t="s">
        <v>3036</v>
      </c>
      <c r="E1133">
        <v>75</v>
      </c>
      <c r="F1133">
        <v>21</v>
      </c>
      <c r="G1133">
        <v>54</v>
      </c>
      <c r="H1133" t="s">
        <v>3494</v>
      </c>
      <c r="I1133" t="s">
        <v>3490</v>
      </c>
      <c r="J1133" t="s">
        <v>2961</v>
      </c>
    </row>
    <row r="1134" spans="1:10" x14ac:dyDescent="0.25">
      <c r="A1134" t="s">
        <v>1478</v>
      </c>
      <c r="B1134" t="s">
        <v>75</v>
      </c>
      <c r="C1134">
        <v>4</v>
      </c>
      <c r="D1134" t="s">
        <v>3038</v>
      </c>
      <c r="E1134">
        <v>89</v>
      </c>
      <c r="F1134">
        <v>26</v>
      </c>
      <c r="G1134">
        <v>63</v>
      </c>
      <c r="H1134" t="s">
        <v>196</v>
      </c>
      <c r="I1134" t="s">
        <v>3490</v>
      </c>
      <c r="J1134" t="s">
        <v>2961</v>
      </c>
    </row>
    <row r="1135" spans="1:10" x14ac:dyDescent="0.25">
      <c r="A1135" t="s">
        <v>1478</v>
      </c>
      <c r="B1135" t="s">
        <v>75</v>
      </c>
      <c r="C1135">
        <v>4</v>
      </c>
      <c r="D1135" t="s">
        <v>3040</v>
      </c>
      <c r="E1135">
        <v>69</v>
      </c>
      <c r="F1135">
        <v>21</v>
      </c>
      <c r="G1135">
        <v>48</v>
      </c>
      <c r="H1135" t="s">
        <v>3489</v>
      </c>
      <c r="I1135" t="s">
        <v>3490</v>
      </c>
      <c r="J1135" t="s">
        <v>2961</v>
      </c>
    </row>
    <row r="1136" spans="1:10" x14ac:dyDescent="0.25">
      <c r="A1136" t="s">
        <v>1478</v>
      </c>
      <c r="B1136" t="s">
        <v>75</v>
      </c>
      <c r="C1136">
        <v>4</v>
      </c>
      <c r="D1136" t="s">
        <v>3042</v>
      </c>
      <c r="E1136">
        <v>88</v>
      </c>
      <c r="F1136">
        <v>23</v>
      </c>
      <c r="G1136">
        <v>65</v>
      </c>
      <c r="H1136" t="s">
        <v>196</v>
      </c>
      <c r="I1136" t="s">
        <v>3490</v>
      </c>
      <c r="J1136" t="s">
        <v>2961</v>
      </c>
    </row>
    <row r="1137" spans="1:10" x14ac:dyDescent="0.25">
      <c r="A1137" t="s">
        <v>1482</v>
      </c>
      <c r="B1137" t="s">
        <v>63</v>
      </c>
      <c r="C1137">
        <v>6</v>
      </c>
      <c r="D1137" t="s">
        <v>3414</v>
      </c>
      <c r="E1137">
        <v>81</v>
      </c>
      <c r="F1137">
        <v>23</v>
      </c>
      <c r="G1137">
        <v>58</v>
      </c>
      <c r="H1137" t="s">
        <v>196</v>
      </c>
      <c r="I1137" t="s">
        <v>3490</v>
      </c>
      <c r="J1137" t="s">
        <v>2932</v>
      </c>
    </row>
    <row r="1138" spans="1:10" x14ac:dyDescent="0.25">
      <c r="A1138" t="s">
        <v>1482</v>
      </c>
      <c r="B1138" t="s">
        <v>63</v>
      </c>
      <c r="C1138">
        <v>6</v>
      </c>
      <c r="D1138" t="s">
        <v>3416</v>
      </c>
      <c r="E1138">
        <v>69</v>
      </c>
      <c r="F1138">
        <v>18</v>
      </c>
      <c r="G1138">
        <v>51</v>
      </c>
      <c r="H1138" t="s">
        <v>3489</v>
      </c>
      <c r="I1138" t="s">
        <v>3490</v>
      </c>
      <c r="J1138" t="s">
        <v>2932</v>
      </c>
    </row>
    <row r="1139" spans="1:10" x14ac:dyDescent="0.25">
      <c r="A1139" t="s">
        <v>1482</v>
      </c>
      <c r="B1139" t="s">
        <v>63</v>
      </c>
      <c r="C1139">
        <v>6</v>
      </c>
      <c r="D1139" t="s">
        <v>3418</v>
      </c>
      <c r="E1139">
        <v>43</v>
      </c>
      <c r="F1139">
        <v>10</v>
      </c>
      <c r="G1139">
        <v>33</v>
      </c>
      <c r="H1139" t="s">
        <v>3491</v>
      </c>
      <c r="I1139" t="s">
        <v>3492</v>
      </c>
      <c r="J1139" t="s">
        <v>2932</v>
      </c>
    </row>
    <row r="1140" spans="1:10" x14ac:dyDescent="0.25">
      <c r="A1140" t="s">
        <v>1482</v>
      </c>
      <c r="B1140" t="s">
        <v>63</v>
      </c>
      <c r="C1140">
        <v>6</v>
      </c>
      <c r="D1140" t="s">
        <v>3420</v>
      </c>
      <c r="E1140">
        <v>68</v>
      </c>
      <c r="F1140">
        <v>13</v>
      </c>
      <c r="G1140">
        <v>55</v>
      </c>
      <c r="H1140" t="s">
        <v>3489</v>
      </c>
      <c r="I1140" t="s">
        <v>3490</v>
      </c>
      <c r="J1140" t="s">
        <v>2932</v>
      </c>
    </row>
    <row r="1141" spans="1:10" x14ac:dyDescent="0.25">
      <c r="A1141" t="s">
        <v>1482</v>
      </c>
      <c r="B1141" t="s">
        <v>63</v>
      </c>
      <c r="C1141">
        <v>6</v>
      </c>
      <c r="D1141" t="s">
        <v>3422</v>
      </c>
      <c r="E1141">
        <v>51</v>
      </c>
      <c r="F1141">
        <v>10</v>
      </c>
      <c r="G1141">
        <v>41</v>
      </c>
      <c r="H1141" t="s">
        <v>3493</v>
      </c>
      <c r="I1141" t="s">
        <v>3490</v>
      </c>
      <c r="J1141" t="s">
        <v>2932</v>
      </c>
    </row>
    <row r="1142" spans="1:10" x14ac:dyDescent="0.25">
      <c r="A1142" t="s">
        <v>1487</v>
      </c>
      <c r="B1142" t="s">
        <v>95</v>
      </c>
      <c r="C1142">
        <v>4</v>
      </c>
      <c r="D1142" t="s">
        <v>3214</v>
      </c>
      <c r="E1142">
        <v>78</v>
      </c>
      <c r="F1142">
        <v>16</v>
      </c>
      <c r="G1142">
        <v>62</v>
      </c>
      <c r="H1142" t="s">
        <v>3494</v>
      </c>
      <c r="I1142" t="s">
        <v>3490</v>
      </c>
      <c r="J1142" t="s">
        <v>2889</v>
      </c>
    </row>
    <row r="1143" spans="1:10" x14ac:dyDescent="0.25">
      <c r="A1143" t="s">
        <v>1487</v>
      </c>
      <c r="B1143" t="s">
        <v>95</v>
      </c>
      <c r="C1143">
        <v>4</v>
      </c>
      <c r="D1143" t="s">
        <v>3216</v>
      </c>
      <c r="E1143">
        <v>74</v>
      </c>
      <c r="F1143">
        <v>16</v>
      </c>
      <c r="G1143">
        <v>58</v>
      </c>
      <c r="H1143" t="s">
        <v>3494</v>
      </c>
      <c r="I1143" t="s">
        <v>3490</v>
      </c>
      <c r="J1143" t="s">
        <v>2889</v>
      </c>
    </row>
    <row r="1144" spans="1:10" x14ac:dyDescent="0.25">
      <c r="A1144" t="s">
        <v>1487</v>
      </c>
      <c r="B1144" t="s">
        <v>95</v>
      </c>
      <c r="C1144">
        <v>4</v>
      </c>
      <c r="D1144" t="s">
        <v>3218</v>
      </c>
      <c r="E1144">
        <v>52</v>
      </c>
      <c r="F1144">
        <v>22</v>
      </c>
      <c r="G1144">
        <v>30</v>
      </c>
      <c r="H1144" t="s">
        <v>3493</v>
      </c>
      <c r="I1144" t="s">
        <v>3490</v>
      </c>
      <c r="J1144" t="s">
        <v>2889</v>
      </c>
    </row>
    <row r="1145" spans="1:10" x14ac:dyDescent="0.25">
      <c r="A1145" t="s">
        <v>1487</v>
      </c>
      <c r="B1145" t="s">
        <v>95</v>
      </c>
      <c r="C1145">
        <v>4</v>
      </c>
      <c r="D1145" t="s">
        <v>3220</v>
      </c>
      <c r="E1145">
        <v>60</v>
      </c>
      <c r="F1145">
        <v>24</v>
      </c>
      <c r="G1145">
        <v>36</v>
      </c>
      <c r="H1145" t="s">
        <v>3489</v>
      </c>
      <c r="I1145" t="s">
        <v>3490</v>
      </c>
      <c r="J1145" t="s">
        <v>2889</v>
      </c>
    </row>
    <row r="1146" spans="1:10" x14ac:dyDescent="0.25">
      <c r="A1146" t="s">
        <v>1487</v>
      </c>
      <c r="B1146" t="s">
        <v>95</v>
      </c>
      <c r="C1146">
        <v>4</v>
      </c>
      <c r="D1146" t="s">
        <v>3222</v>
      </c>
      <c r="E1146">
        <v>68</v>
      </c>
      <c r="F1146">
        <v>23</v>
      </c>
      <c r="G1146">
        <v>45</v>
      </c>
      <c r="H1146" t="s">
        <v>3489</v>
      </c>
      <c r="I1146" t="s">
        <v>3490</v>
      </c>
      <c r="J1146" t="s">
        <v>2889</v>
      </c>
    </row>
    <row r="1147" spans="1:10" x14ac:dyDescent="0.25">
      <c r="A1147" t="s">
        <v>1492</v>
      </c>
      <c r="B1147" t="s">
        <v>212</v>
      </c>
      <c r="C1147">
        <v>4</v>
      </c>
      <c r="D1147" t="s">
        <v>3454</v>
      </c>
      <c r="E1147">
        <v>52</v>
      </c>
      <c r="F1147">
        <v>23</v>
      </c>
      <c r="G1147">
        <v>29</v>
      </c>
      <c r="H1147" t="s">
        <v>3493</v>
      </c>
      <c r="I1147" t="s">
        <v>3490</v>
      </c>
      <c r="J1147" t="s">
        <v>3001</v>
      </c>
    </row>
    <row r="1148" spans="1:10" x14ac:dyDescent="0.25">
      <c r="A1148" t="s">
        <v>1492</v>
      </c>
      <c r="B1148" t="s">
        <v>212</v>
      </c>
      <c r="C1148">
        <v>4</v>
      </c>
      <c r="D1148" t="s">
        <v>3456</v>
      </c>
      <c r="E1148">
        <v>54</v>
      </c>
      <c r="F1148">
        <v>12</v>
      </c>
      <c r="G1148">
        <v>42</v>
      </c>
      <c r="H1148" t="s">
        <v>3493</v>
      </c>
      <c r="I1148" t="s">
        <v>3490</v>
      </c>
      <c r="J1148" t="s">
        <v>3001</v>
      </c>
    </row>
    <row r="1149" spans="1:10" x14ac:dyDescent="0.25">
      <c r="A1149" t="s">
        <v>1492</v>
      </c>
      <c r="B1149" t="s">
        <v>212</v>
      </c>
      <c r="C1149">
        <v>4</v>
      </c>
      <c r="D1149" t="s">
        <v>3458</v>
      </c>
      <c r="E1149">
        <v>52</v>
      </c>
      <c r="F1149">
        <v>28</v>
      </c>
      <c r="G1149">
        <v>24</v>
      </c>
      <c r="H1149" t="s">
        <v>3493</v>
      </c>
      <c r="I1149" t="s">
        <v>3490</v>
      </c>
      <c r="J1149" t="s">
        <v>3001</v>
      </c>
    </row>
    <row r="1150" spans="1:10" x14ac:dyDescent="0.25">
      <c r="A1150" t="s">
        <v>1492</v>
      </c>
      <c r="B1150" t="s">
        <v>212</v>
      </c>
      <c r="C1150">
        <v>4</v>
      </c>
      <c r="D1150" t="s">
        <v>3460</v>
      </c>
      <c r="E1150">
        <v>61</v>
      </c>
      <c r="F1150">
        <v>26</v>
      </c>
      <c r="G1150">
        <v>35</v>
      </c>
      <c r="H1150" t="s">
        <v>3489</v>
      </c>
      <c r="I1150" t="s">
        <v>3490</v>
      </c>
      <c r="J1150" t="s">
        <v>3001</v>
      </c>
    </row>
    <row r="1151" spans="1:10" x14ac:dyDescent="0.25">
      <c r="A1151" t="s">
        <v>1492</v>
      </c>
      <c r="B1151" t="s">
        <v>212</v>
      </c>
      <c r="C1151">
        <v>4</v>
      </c>
      <c r="D1151" t="s">
        <v>3462</v>
      </c>
      <c r="E1151">
        <v>78</v>
      </c>
      <c r="F1151">
        <v>14</v>
      </c>
      <c r="G1151">
        <v>64</v>
      </c>
      <c r="H1151" t="s">
        <v>3494</v>
      </c>
      <c r="I1151" t="s">
        <v>3490</v>
      </c>
      <c r="J1151" t="s">
        <v>3001</v>
      </c>
    </row>
    <row r="1152" spans="1:10" x14ac:dyDescent="0.25">
      <c r="A1152" t="s">
        <v>1498</v>
      </c>
      <c r="B1152" t="s">
        <v>95</v>
      </c>
      <c r="C1152">
        <v>8</v>
      </c>
      <c r="D1152" t="s">
        <v>3234</v>
      </c>
      <c r="E1152">
        <v>46</v>
      </c>
      <c r="F1152">
        <v>25</v>
      </c>
      <c r="G1152">
        <v>21</v>
      </c>
      <c r="H1152" t="s">
        <v>3491</v>
      </c>
      <c r="I1152" t="s">
        <v>3492</v>
      </c>
      <c r="J1152" t="s">
        <v>2889</v>
      </c>
    </row>
    <row r="1153" spans="1:10" x14ac:dyDescent="0.25">
      <c r="A1153" t="s">
        <v>1498</v>
      </c>
      <c r="B1153" t="s">
        <v>95</v>
      </c>
      <c r="C1153">
        <v>8</v>
      </c>
      <c r="D1153" t="s">
        <v>3236</v>
      </c>
      <c r="E1153">
        <v>34</v>
      </c>
      <c r="F1153">
        <v>11</v>
      </c>
      <c r="G1153">
        <v>23</v>
      </c>
      <c r="H1153" t="s">
        <v>3491</v>
      </c>
      <c r="I1153" t="s">
        <v>3492</v>
      </c>
      <c r="J1153" t="s">
        <v>2889</v>
      </c>
    </row>
    <row r="1154" spans="1:10" x14ac:dyDescent="0.25">
      <c r="A1154" t="s">
        <v>1498</v>
      </c>
      <c r="B1154" t="s">
        <v>95</v>
      </c>
      <c r="C1154">
        <v>8</v>
      </c>
      <c r="D1154" t="s">
        <v>3238</v>
      </c>
      <c r="E1154">
        <v>63</v>
      </c>
      <c r="F1154">
        <v>18</v>
      </c>
      <c r="G1154">
        <v>45</v>
      </c>
      <c r="H1154" t="s">
        <v>3489</v>
      </c>
      <c r="I1154" t="s">
        <v>3490</v>
      </c>
      <c r="J1154" t="s">
        <v>2889</v>
      </c>
    </row>
    <row r="1155" spans="1:10" x14ac:dyDescent="0.25">
      <c r="A1155" t="s">
        <v>1498</v>
      </c>
      <c r="B1155" t="s">
        <v>95</v>
      </c>
      <c r="C1155">
        <v>8</v>
      </c>
      <c r="D1155" t="s">
        <v>3240</v>
      </c>
      <c r="E1155">
        <v>70</v>
      </c>
      <c r="F1155">
        <v>23</v>
      </c>
      <c r="G1155">
        <v>47</v>
      </c>
      <c r="H1155" t="s">
        <v>3494</v>
      </c>
      <c r="I1155" t="s">
        <v>3490</v>
      </c>
      <c r="J1155" t="s">
        <v>2889</v>
      </c>
    </row>
    <row r="1156" spans="1:10" x14ac:dyDescent="0.25">
      <c r="A1156" t="s">
        <v>1498</v>
      </c>
      <c r="B1156" t="s">
        <v>95</v>
      </c>
      <c r="C1156">
        <v>8</v>
      </c>
      <c r="D1156" t="s">
        <v>3242</v>
      </c>
      <c r="E1156">
        <v>52</v>
      </c>
      <c r="F1156">
        <v>13</v>
      </c>
      <c r="G1156">
        <v>39</v>
      </c>
      <c r="H1156" t="s">
        <v>3493</v>
      </c>
      <c r="I1156" t="s">
        <v>3490</v>
      </c>
      <c r="J1156" t="s">
        <v>2889</v>
      </c>
    </row>
    <row r="1157" spans="1:10" x14ac:dyDescent="0.25">
      <c r="A1157" t="s">
        <v>1503</v>
      </c>
      <c r="B1157" t="s">
        <v>212</v>
      </c>
      <c r="C1157">
        <v>8</v>
      </c>
      <c r="D1157" t="s">
        <v>3474</v>
      </c>
      <c r="E1157">
        <v>80</v>
      </c>
      <c r="F1157">
        <v>20</v>
      </c>
      <c r="G1157">
        <v>60</v>
      </c>
      <c r="H1157" t="s">
        <v>196</v>
      </c>
      <c r="I1157" t="s">
        <v>3490</v>
      </c>
      <c r="J1157" t="s">
        <v>3001</v>
      </c>
    </row>
    <row r="1158" spans="1:10" x14ac:dyDescent="0.25">
      <c r="A1158" t="s">
        <v>1503</v>
      </c>
      <c r="B1158" t="s">
        <v>212</v>
      </c>
      <c r="C1158">
        <v>8</v>
      </c>
      <c r="D1158" t="s">
        <v>3476</v>
      </c>
      <c r="E1158">
        <v>49</v>
      </c>
      <c r="F1158">
        <v>28</v>
      </c>
      <c r="G1158">
        <v>21</v>
      </c>
      <c r="H1158" t="s">
        <v>3491</v>
      </c>
      <c r="I1158" t="s">
        <v>3492</v>
      </c>
      <c r="J1158" t="s">
        <v>3001</v>
      </c>
    </row>
    <row r="1159" spans="1:10" x14ac:dyDescent="0.25">
      <c r="A1159" t="s">
        <v>1503</v>
      </c>
      <c r="B1159" t="s">
        <v>212</v>
      </c>
      <c r="C1159">
        <v>8</v>
      </c>
      <c r="D1159" t="s">
        <v>3478</v>
      </c>
      <c r="E1159">
        <v>82</v>
      </c>
      <c r="F1159">
        <v>12</v>
      </c>
      <c r="G1159">
        <v>70</v>
      </c>
      <c r="H1159" t="s">
        <v>196</v>
      </c>
      <c r="I1159" t="s">
        <v>3490</v>
      </c>
      <c r="J1159" t="s">
        <v>3001</v>
      </c>
    </row>
    <row r="1160" spans="1:10" x14ac:dyDescent="0.25">
      <c r="A1160" t="s">
        <v>1503</v>
      </c>
      <c r="B1160" t="s">
        <v>212</v>
      </c>
      <c r="C1160">
        <v>8</v>
      </c>
      <c r="D1160" t="s">
        <v>3480</v>
      </c>
      <c r="E1160">
        <v>36</v>
      </c>
      <c r="F1160">
        <v>13</v>
      </c>
      <c r="G1160">
        <v>23</v>
      </c>
      <c r="H1160" t="s">
        <v>3491</v>
      </c>
      <c r="I1160" t="s">
        <v>3492</v>
      </c>
      <c r="J1160" t="s">
        <v>3001</v>
      </c>
    </row>
    <row r="1161" spans="1:10" x14ac:dyDescent="0.25">
      <c r="A1161" t="s">
        <v>1503</v>
      </c>
      <c r="B1161" t="s">
        <v>212</v>
      </c>
      <c r="C1161">
        <v>8</v>
      </c>
      <c r="D1161" t="s">
        <v>3482</v>
      </c>
      <c r="E1161">
        <v>81</v>
      </c>
      <c r="F1161">
        <v>24</v>
      </c>
      <c r="G1161">
        <v>57</v>
      </c>
      <c r="H1161" t="s">
        <v>196</v>
      </c>
      <c r="I1161" t="s">
        <v>3490</v>
      </c>
      <c r="J1161" t="s">
        <v>3001</v>
      </c>
    </row>
    <row r="1162" spans="1:10" x14ac:dyDescent="0.25">
      <c r="A1162" t="s">
        <v>1508</v>
      </c>
      <c r="B1162" t="s">
        <v>159</v>
      </c>
      <c r="C1162">
        <v>4</v>
      </c>
      <c r="D1162" t="s">
        <v>3094</v>
      </c>
      <c r="E1162">
        <v>87</v>
      </c>
      <c r="F1162">
        <v>25</v>
      </c>
      <c r="G1162">
        <v>62</v>
      </c>
      <c r="H1162" t="s">
        <v>196</v>
      </c>
      <c r="I1162" t="s">
        <v>3490</v>
      </c>
      <c r="J1162" t="s">
        <v>2902</v>
      </c>
    </row>
    <row r="1163" spans="1:10" x14ac:dyDescent="0.25">
      <c r="A1163" t="s">
        <v>1508</v>
      </c>
      <c r="B1163" t="s">
        <v>159</v>
      </c>
      <c r="C1163">
        <v>4</v>
      </c>
      <c r="D1163" t="s">
        <v>3096</v>
      </c>
      <c r="E1163">
        <v>51</v>
      </c>
      <c r="F1163">
        <v>24</v>
      </c>
      <c r="G1163">
        <v>27</v>
      </c>
      <c r="H1163" t="s">
        <v>3493</v>
      </c>
      <c r="I1163" t="s">
        <v>3490</v>
      </c>
      <c r="J1163" t="s">
        <v>2902</v>
      </c>
    </row>
    <row r="1164" spans="1:10" x14ac:dyDescent="0.25">
      <c r="A1164" t="s">
        <v>1508</v>
      </c>
      <c r="B1164" t="s">
        <v>159</v>
      </c>
      <c r="C1164">
        <v>4</v>
      </c>
      <c r="D1164" t="s">
        <v>3098</v>
      </c>
      <c r="E1164">
        <v>40</v>
      </c>
      <c r="F1164">
        <v>18</v>
      </c>
      <c r="G1164">
        <v>22</v>
      </c>
      <c r="H1164" t="s">
        <v>3491</v>
      </c>
      <c r="I1164" t="s">
        <v>3492</v>
      </c>
      <c r="J1164" t="s">
        <v>2902</v>
      </c>
    </row>
    <row r="1165" spans="1:10" x14ac:dyDescent="0.25">
      <c r="A1165" t="s">
        <v>1508</v>
      </c>
      <c r="B1165" t="s">
        <v>159</v>
      </c>
      <c r="C1165">
        <v>4</v>
      </c>
      <c r="D1165" t="s">
        <v>3100</v>
      </c>
      <c r="E1165">
        <v>77</v>
      </c>
      <c r="F1165">
        <v>10</v>
      </c>
      <c r="G1165">
        <v>67</v>
      </c>
      <c r="H1165" t="s">
        <v>3494</v>
      </c>
      <c r="I1165" t="s">
        <v>3490</v>
      </c>
      <c r="J1165" t="s">
        <v>2902</v>
      </c>
    </row>
    <row r="1166" spans="1:10" x14ac:dyDescent="0.25">
      <c r="A1166" t="s">
        <v>1508</v>
      </c>
      <c r="B1166" t="s">
        <v>159</v>
      </c>
      <c r="C1166">
        <v>4</v>
      </c>
      <c r="D1166" t="s">
        <v>3102</v>
      </c>
      <c r="E1166">
        <v>66</v>
      </c>
      <c r="F1166">
        <v>30</v>
      </c>
      <c r="G1166">
        <v>36</v>
      </c>
      <c r="H1166" t="s">
        <v>3489</v>
      </c>
      <c r="I1166" t="s">
        <v>3490</v>
      </c>
      <c r="J1166" t="s">
        <v>2902</v>
      </c>
    </row>
    <row r="1167" spans="1:10" x14ac:dyDescent="0.25">
      <c r="A1167" t="s">
        <v>1513</v>
      </c>
      <c r="B1167" t="s">
        <v>75</v>
      </c>
      <c r="C1167">
        <v>6</v>
      </c>
      <c r="D1167" t="s">
        <v>3054</v>
      </c>
      <c r="E1167">
        <v>63</v>
      </c>
      <c r="F1167">
        <v>28</v>
      </c>
      <c r="G1167">
        <v>35</v>
      </c>
      <c r="H1167" t="s">
        <v>3489</v>
      </c>
      <c r="I1167" t="s">
        <v>3490</v>
      </c>
      <c r="J1167" t="s">
        <v>2961</v>
      </c>
    </row>
    <row r="1168" spans="1:10" x14ac:dyDescent="0.25">
      <c r="A1168" t="s">
        <v>1513</v>
      </c>
      <c r="B1168" t="s">
        <v>75</v>
      </c>
      <c r="C1168">
        <v>6</v>
      </c>
      <c r="D1168" t="s">
        <v>3056</v>
      </c>
      <c r="E1168">
        <v>96</v>
      </c>
      <c r="F1168">
        <v>27</v>
      </c>
      <c r="G1168">
        <v>69</v>
      </c>
      <c r="H1168" t="s">
        <v>3495</v>
      </c>
      <c r="I1168" t="s">
        <v>3490</v>
      </c>
      <c r="J1168" t="s">
        <v>2961</v>
      </c>
    </row>
    <row r="1169" spans="1:10" x14ac:dyDescent="0.25">
      <c r="A1169" t="s">
        <v>1513</v>
      </c>
      <c r="B1169" t="s">
        <v>75</v>
      </c>
      <c r="C1169">
        <v>6</v>
      </c>
      <c r="D1169" t="s">
        <v>3058</v>
      </c>
      <c r="E1169">
        <v>51</v>
      </c>
      <c r="F1169">
        <v>27</v>
      </c>
      <c r="G1169">
        <v>24</v>
      </c>
      <c r="H1169" t="s">
        <v>3493</v>
      </c>
      <c r="I1169" t="s">
        <v>3490</v>
      </c>
      <c r="J1169" t="s">
        <v>2961</v>
      </c>
    </row>
    <row r="1170" spans="1:10" x14ac:dyDescent="0.25">
      <c r="A1170" t="s">
        <v>1513</v>
      </c>
      <c r="B1170" t="s">
        <v>75</v>
      </c>
      <c r="C1170">
        <v>6</v>
      </c>
      <c r="D1170" t="s">
        <v>3060</v>
      </c>
      <c r="E1170">
        <v>96</v>
      </c>
      <c r="F1170">
        <v>28</v>
      </c>
      <c r="G1170">
        <v>68</v>
      </c>
      <c r="H1170" t="s">
        <v>3495</v>
      </c>
      <c r="I1170" t="s">
        <v>3490</v>
      </c>
      <c r="J1170" t="s">
        <v>2961</v>
      </c>
    </row>
    <row r="1171" spans="1:10" x14ac:dyDescent="0.25">
      <c r="A1171" t="s">
        <v>1513</v>
      </c>
      <c r="B1171" t="s">
        <v>75</v>
      </c>
      <c r="C1171">
        <v>6</v>
      </c>
      <c r="D1171" t="s">
        <v>3062</v>
      </c>
      <c r="E1171">
        <v>94</v>
      </c>
      <c r="F1171">
        <v>30</v>
      </c>
      <c r="G1171">
        <v>64</v>
      </c>
      <c r="H1171" t="s">
        <v>3495</v>
      </c>
      <c r="I1171" t="s">
        <v>3490</v>
      </c>
      <c r="J1171" t="s">
        <v>2961</v>
      </c>
    </row>
    <row r="1172" spans="1:10" x14ac:dyDescent="0.25">
      <c r="A1172" t="s">
        <v>1518</v>
      </c>
      <c r="B1172" t="s">
        <v>122</v>
      </c>
      <c r="C1172">
        <v>8</v>
      </c>
      <c r="D1172" t="s">
        <v>3294</v>
      </c>
      <c r="E1172">
        <v>74</v>
      </c>
      <c r="F1172">
        <v>18</v>
      </c>
      <c r="G1172">
        <v>56</v>
      </c>
      <c r="H1172" t="s">
        <v>3494</v>
      </c>
      <c r="I1172" t="s">
        <v>3490</v>
      </c>
      <c r="J1172" t="s">
        <v>2919</v>
      </c>
    </row>
    <row r="1173" spans="1:10" x14ac:dyDescent="0.25">
      <c r="A1173" t="s">
        <v>1518</v>
      </c>
      <c r="B1173" t="s">
        <v>122</v>
      </c>
      <c r="C1173">
        <v>8</v>
      </c>
      <c r="D1173" t="s">
        <v>3296</v>
      </c>
      <c r="E1173">
        <v>50</v>
      </c>
      <c r="F1173">
        <v>10</v>
      </c>
      <c r="G1173">
        <v>40</v>
      </c>
      <c r="H1173" t="s">
        <v>3493</v>
      </c>
      <c r="I1173" t="s">
        <v>3490</v>
      </c>
      <c r="J1173" t="s">
        <v>2919</v>
      </c>
    </row>
    <row r="1174" spans="1:10" x14ac:dyDescent="0.25">
      <c r="A1174" t="s">
        <v>1518</v>
      </c>
      <c r="B1174" t="s">
        <v>122</v>
      </c>
      <c r="C1174">
        <v>8</v>
      </c>
      <c r="D1174" t="s">
        <v>3298</v>
      </c>
      <c r="E1174">
        <v>79</v>
      </c>
      <c r="F1174">
        <v>17</v>
      </c>
      <c r="G1174">
        <v>62</v>
      </c>
      <c r="H1174" t="s">
        <v>3494</v>
      </c>
      <c r="I1174" t="s">
        <v>3490</v>
      </c>
      <c r="J1174" t="s">
        <v>2919</v>
      </c>
    </row>
    <row r="1175" spans="1:10" x14ac:dyDescent="0.25">
      <c r="A1175" t="s">
        <v>1518</v>
      </c>
      <c r="B1175" t="s">
        <v>122</v>
      </c>
      <c r="C1175">
        <v>8</v>
      </c>
      <c r="D1175" t="s">
        <v>3300</v>
      </c>
      <c r="E1175">
        <v>52</v>
      </c>
      <c r="F1175">
        <v>12</v>
      </c>
      <c r="G1175">
        <v>40</v>
      </c>
      <c r="H1175" t="s">
        <v>3493</v>
      </c>
      <c r="I1175" t="s">
        <v>3490</v>
      </c>
      <c r="J1175" t="s">
        <v>2919</v>
      </c>
    </row>
    <row r="1176" spans="1:10" x14ac:dyDescent="0.25">
      <c r="A1176" t="s">
        <v>1518</v>
      </c>
      <c r="B1176" t="s">
        <v>122</v>
      </c>
      <c r="C1176">
        <v>8</v>
      </c>
      <c r="D1176" t="s">
        <v>3302</v>
      </c>
      <c r="E1176">
        <v>37</v>
      </c>
      <c r="F1176">
        <v>15</v>
      </c>
      <c r="G1176">
        <v>22</v>
      </c>
      <c r="H1176" t="s">
        <v>3491</v>
      </c>
      <c r="I1176" t="s">
        <v>3492</v>
      </c>
      <c r="J1176" t="s">
        <v>2919</v>
      </c>
    </row>
    <row r="1177" spans="1:10" x14ac:dyDescent="0.25">
      <c r="A1177" t="s">
        <v>1524</v>
      </c>
      <c r="B1177" t="s">
        <v>63</v>
      </c>
      <c r="C1177">
        <v>6</v>
      </c>
      <c r="D1177" t="s">
        <v>3414</v>
      </c>
      <c r="E1177">
        <v>77</v>
      </c>
      <c r="F1177">
        <v>18</v>
      </c>
      <c r="G1177">
        <v>59</v>
      </c>
      <c r="H1177" t="s">
        <v>3494</v>
      </c>
      <c r="I1177" t="s">
        <v>3490</v>
      </c>
      <c r="J1177" t="s">
        <v>2932</v>
      </c>
    </row>
    <row r="1178" spans="1:10" x14ac:dyDescent="0.25">
      <c r="A1178" t="s">
        <v>1524</v>
      </c>
      <c r="B1178" t="s">
        <v>63</v>
      </c>
      <c r="C1178">
        <v>6</v>
      </c>
      <c r="D1178" t="s">
        <v>3416</v>
      </c>
      <c r="E1178">
        <v>81</v>
      </c>
      <c r="F1178">
        <v>29</v>
      </c>
      <c r="G1178">
        <v>52</v>
      </c>
      <c r="H1178" t="s">
        <v>196</v>
      </c>
      <c r="I1178" t="s">
        <v>3490</v>
      </c>
      <c r="J1178" t="s">
        <v>2932</v>
      </c>
    </row>
    <row r="1179" spans="1:10" x14ac:dyDescent="0.25">
      <c r="A1179" t="s">
        <v>1524</v>
      </c>
      <c r="B1179" t="s">
        <v>63</v>
      </c>
      <c r="C1179">
        <v>6</v>
      </c>
      <c r="D1179" t="s">
        <v>3418</v>
      </c>
      <c r="E1179">
        <v>68</v>
      </c>
      <c r="F1179">
        <v>11</v>
      </c>
      <c r="G1179">
        <v>57</v>
      </c>
      <c r="H1179" t="s">
        <v>3489</v>
      </c>
      <c r="I1179" t="s">
        <v>3490</v>
      </c>
      <c r="J1179" t="s">
        <v>2932</v>
      </c>
    </row>
    <row r="1180" spans="1:10" x14ac:dyDescent="0.25">
      <c r="A1180" t="s">
        <v>1524</v>
      </c>
      <c r="B1180" t="s">
        <v>63</v>
      </c>
      <c r="C1180">
        <v>6</v>
      </c>
      <c r="D1180" t="s">
        <v>3420</v>
      </c>
      <c r="E1180">
        <v>80</v>
      </c>
      <c r="F1180">
        <v>19</v>
      </c>
      <c r="G1180">
        <v>61</v>
      </c>
      <c r="H1180" t="s">
        <v>196</v>
      </c>
      <c r="I1180" t="s">
        <v>3490</v>
      </c>
      <c r="J1180" t="s">
        <v>2932</v>
      </c>
    </row>
    <row r="1181" spans="1:10" x14ac:dyDescent="0.25">
      <c r="A1181" t="s">
        <v>1524</v>
      </c>
      <c r="B1181" t="s">
        <v>63</v>
      </c>
      <c r="C1181">
        <v>6</v>
      </c>
      <c r="D1181" t="s">
        <v>3422</v>
      </c>
      <c r="E1181">
        <v>80</v>
      </c>
      <c r="F1181">
        <v>29</v>
      </c>
      <c r="G1181">
        <v>51</v>
      </c>
      <c r="H1181" t="s">
        <v>196</v>
      </c>
      <c r="I1181" t="s">
        <v>3490</v>
      </c>
      <c r="J1181" t="s">
        <v>2932</v>
      </c>
    </row>
    <row r="1182" spans="1:10" x14ac:dyDescent="0.25">
      <c r="A1182" t="s">
        <v>1529</v>
      </c>
      <c r="B1182" t="s">
        <v>95</v>
      </c>
      <c r="C1182">
        <v>4</v>
      </c>
      <c r="D1182" t="s">
        <v>3214</v>
      </c>
      <c r="E1182">
        <v>92</v>
      </c>
      <c r="F1182">
        <v>22</v>
      </c>
      <c r="G1182">
        <v>70</v>
      </c>
      <c r="H1182" t="s">
        <v>3495</v>
      </c>
      <c r="I1182" t="s">
        <v>3490</v>
      </c>
      <c r="J1182" t="s">
        <v>2889</v>
      </c>
    </row>
    <row r="1183" spans="1:10" x14ac:dyDescent="0.25">
      <c r="A1183" t="s">
        <v>1529</v>
      </c>
      <c r="B1183" t="s">
        <v>95</v>
      </c>
      <c r="C1183">
        <v>4</v>
      </c>
      <c r="D1183" t="s">
        <v>3216</v>
      </c>
      <c r="E1183">
        <v>82</v>
      </c>
      <c r="F1183">
        <v>29</v>
      </c>
      <c r="G1183">
        <v>53</v>
      </c>
      <c r="H1183" t="s">
        <v>196</v>
      </c>
      <c r="I1183" t="s">
        <v>3490</v>
      </c>
      <c r="J1183" t="s">
        <v>2889</v>
      </c>
    </row>
    <row r="1184" spans="1:10" x14ac:dyDescent="0.25">
      <c r="A1184" t="s">
        <v>1529</v>
      </c>
      <c r="B1184" t="s">
        <v>95</v>
      </c>
      <c r="C1184">
        <v>4</v>
      </c>
      <c r="D1184" t="s">
        <v>3218</v>
      </c>
      <c r="E1184">
        <v>85</v>
      </c>
      <c r="F1184">
        <v>25</v>
      </c>
      <c r="G1184">
        <v>60</v>
      </c>
      <c r="H1184" t="s">
        <v>196</v>
      </c>
      <c r="I1184" t="s">
        <v>3490</v>
      </c>
      <c r="J1184" t="s">
        <v>2889</v>
      </c>
    </row>
    <row r="1185" spans="1:10" x14ac:dyDescent="0.25">
      <c r="A1185" t="s">
        <v>1529</v>
      </c>
      <c r="B1185" t="s">
        <v>95</v>
      </c>
      <c r="C1185">
        <v>4</v>
      </c>
      <c r="D1185" t="s">
        <v>3220</v>
      </c>
      <c r="E1185">
        <v>78</v>
      </c>
      <c r="F1185">
        <v>17</v>
      </c>
      <c r="G1185">
        <v>61</v>
      </c>
      <c r="H1185" t="s">
        <v>3494</v>
      </c>
      <c r="I1185" t="s">
        <v>3490</v>
      </c>
      <c r="J1185" t="s">
        <v>2889</v>
      </c>
    </row>
    <row r="1186" spans="1:10" x14ac:dyDescent="0.25">
      <c r="A1186" t="s">
        <v>1529</v>
      </c>
      <c r="B1186" t="s">
        <v>95</v>
      </c>
      <c r="C1186">
        <v>4</v>
      </c>
      <c r="D1186" t="s">
        <v>3222</v>
      </c>
      <c r="E1186">
        <v>44</v>
      </c>
      <c r="F1186">
        <v>12</v>
      </c>
      <c r="G1186">
        <v>32</v>
      </c>
      <c r="H1186" t="s">
        <v>3491</v>
      </c>
      <c r="I1186" t="s">
        <v>3492</v>
      </c>
      <c r="J1186" t="s">
        <v>2889</v>
      </c>
    </row>
    <row r="1187" spans="1:10" x14ac:dyDescent="0.25">
      <c r="A1187" t="s">
        <v>1534</v>
      </c>
      <c r="B1187" t="s">
        <v>105</v>
      </c>
      <c r="C1187">
        <v>8</v>
      </c>
      <c r="D1187" t="s">
        <v>3174</v>
      </c>
      <c r="E1187">
        <v>81</v>
      </c>
      <c r="F1187">
        <v>24</v>
      </c>
      <c r="G1187">
        <v>57</v>
      </c>
      <c r="H1187" t="s">
        <v>196</v>
      </c>
      <c r="I1187" t="s">
        <v>3490</v>
      </c>
      <c r="J1187" t="s">
        <v>2908</v>
      </c>
    </row>
    <row r="1188" spans="1:10" x14ac:dyDescent="0.25">
      <c r="A1188" t="s">
        <v>1534</v>
      </c>
      <c r="B1188" t="s">
        <v>105</v>
      </c>
      <c r="C1188">
        <v>8</v>
      </c>
      <c r="D1188" t="s">
        <v>3176</v>
      </c>
      <c r="E1188">
        <v>87</v>
      </c>
      <c r="F1188">
        <v>24</v>
      </c>
      <c r="G1188">
        <v>63</v>
      </c>
      <c r="H1188" t="s">
        <v>196</v>
      </c>
      <c r="I1188" t="s">
        <v>3490</v>
      </c>
      <c r="J1188" t="s">
        <v>2908</v>
      </c>
    </row>
    <row r="1189" spans="1:10" x14ac:dyDescent="0.25">
      <c r="A1189" t="s">
        <v>1534</v>
      </c>
      <c r="B1189" t="s">
        <v>105</v>
      </c>
      <c r="C1189">
        <v>8</v>
      </c>
      <c r="D1189" t="s">
        <v>3178</v>
      </c>
      <c r="E1189">
        <v>59</v>
      </c>
      <c r="F1189">
        <v>13</v>
      </c>
      <c r="G1189">
        <v>46</v>
      </c>
      <c r="H1189" t="s">
        <v>3493</v>
      </c>
      <c r="I1189" t="s">
        <v>3490</v>
      </c>
      <c r="J1189" t="s">
        <v>2908</v>
      </c>
    </row>
    <row r="1190" spans="1:10" x14ac:dyDescent="0.25">
      <c r="A1190" t="s">
        <v>1534</v>
      </c>
      <c r="B1190" t="s">
        <v>105</v>
      </c>
      <c r="C1190">
        <v>8</v>
      </c>
      <c r="D1190" t="s">
        <v>3180</v>
      </c>
      <c r="E1190">
        <v>80</v>
      </c>
      <c r="F1190">
        <v>22</v>
      </c>
      <c r="G1190">
        <v>58</v>
      </c>
      <c r="H1190" t="s">
        <v>196</v>
      </c>
      <c r="I1190" t="s">
        <v>3490</v>
      </c>
      <c r="J1190" t="s">
        <v>2908</v>
      </c>
    </row>
    <row r="1191" spans="1:10" x14ac:dyDescent="0.25">
      <c r="A1191" t="s">
        <v>1534</v>
      </c>
      <c r="B1191" t="s">
        <v>105</v>
      </c>
      <c r="C1191">
        <v>8</v>
      </c>
      <c r="D1191" t="s">
        <v>3182</v>
      </c>
      <c r="E1191">
        <v>94</v>
      </c>
      <c r="F1191">
        <v>27</v>
      </c>
      <c r="G1191">
        <v>67</v>
      </c>
      <c r="H1191" t="s">
        <v>3495</v>
      </c>
      <c r="I1191" t="s">
        <v>3490</v>
      </c>
      <c r="J1191" t="s">
        <v>2908</v>
      </c>
    </row>
    <row r="1192" spans="1:10" x14ac:dyDescent="0.25">
      <c r="A1192" t="s">
        <v>1539</v>
      </c>
      <c r="B1192" t="s">
        <v>75</v>
      </c>
      <c r="C1192">
        <v>4</v>
      </c>
      <c r="D1192" t="s">
        <v>3034</v>
      </c>
      <c r="E1192">
        <v>45</v>
      </c>
      <c r="F1192">
        <v>19</v>
      </c>
      <c r="G1192">
        <v>26</v>
      </c>
      <c r="H1192" t="s">
        <v>3491</v>
      </c>
      <c r="I1192" t="s">
        <v>3492</v>
      </c>
      <c r="J1192" t="s">
        <v>2961</v>
      </c>
    </row>
    <row r="1193" spans="1:10" x14ac:dyDescent="0.25">
      <c r="A1193" t="s">
        <v>1539</v>
      </c>
      <c r="B1193" t="s">
        <v>75</v>
      </c>
      <c r="C1193">
        <v>4</v>
      </c>
      <c r="D1193" t="s">
        <v>3036</v>
      </c>
      <c r="E1193">
        <v>67</v>
      </c>
      <c r="F1193">
        <v>23</v>
      </c>
      <c r="G1193">
        <v>44</v>
      </c>
      <c r="H1193" t="s">
        <v>3489</v>
      </c>
      <c r="I1193" t="s">
        <v>3490</v>
      </c>
      <c r="J1193" t="s">
        <v>2961</v>
      </c>
    </row>
    <row r="1194" spans="1:10" x14ac:dyDescent="0.25">
      <c r="A1194" t="s">
        <v>1539</v>
      </c>
      <c r="B1194" t="s">
        <v>75</v>
      </c>
      <c r="C1194">
        <v>4</v>
      </c>
      <c r="D1194" t="s">
        <v>3038</v>
      </c>
      <c r="E1194">
        <v>42</v>
      </c>
      <c r="F1194">
        <v>13</v>
      </c>
      <c r="G1194">
        <v>29</v>
      </c>
      <c r="H1194" t="s">
        <v>3491</v>
      </c>
      <c r="I1194" t="s">
        <v>3492</v>
      </c>
      <c r="J1194" t="s">
        <v>2961</v>
      </c>
    </row>
    <row r="1195" spans="1:10" x14ac:dyDescent="0.25">
      <c r="A1195" t="s">
        <v>1539</v>
      </c>
      <c r="B1195" t="s">
        <v>75</v>
      </c>
      <c r="C1195">
        <v>4</v>
      </c>
      <c r="D1195" t="s">
        <v>3040</v>
      </c>
      <c r="E1195">
        <v>67</v>
      </c>
      <c r="F1195">
        <v>16</v>
      </c>
      <c r="G1195">
        <v>51</v>
      </c>
      <c r="H1195" t="s">
        <v>3489</v>
      </c>
      <c r="I1195" t="s">
        <v>3490</v>
      </c>
      <c r="J1195" t="s">
        <v>2961</v>
      </c>
    </row>
    <row r="1196" spans="1:10" x14ac:dyDescent="0.25">
      <c r="A1196" t="s">
        <v>1539</v>
      </c>
      <c r="B1196" t="s">
        <v>75</v>
      </c>
      <c r="C1196">
        <v>4</v>
      </c>
      <c r="D1196" t="s">
        <v>3042</v>
      </c>
      <c r="E1196">
        <v>42</v>
      </c>
      <c r="F1196">
        <v>19</v>
      </c>
      <c r="G1196">
        <v>23</v>
      </c>
      <c r="H1196" t="s">
        <v>3491</v>
      </c>
      <c r="I1196" t="s">
        <v>3492</v>
      </c>
      <c r="J1196" t="s">
        <v>2961</v>
      </c>
    </row>
    <row r="1197" spans="1:10" x14ac:dyDescent="0.25">
      <c r="A1197" t="s">
        <v>1545</v>
      </c>
      <c r="B1197" t="s">
        <v>63</v>
      </c>
      <c r="C1197">
        <v>8</v>
      </c>
      <c r="D1197" t="s">
        <v>3414</v>
      </c>
      <c r="E1197">
        <v>75</v>
      </c>
      <c r="F1197">
        <v>25</v>
      </c>
      <c r="G1197">
        <v>50</v>
      </c>
      <c r="H1197" t="s">
        <v>3494</v>
      </c>
      <c r="I1197" t="s">
        <v>3490</v>
      </c>
      <c r="J1197" t="s">
        <v>2932</v>
      </c>
    </row>
    <row r="1198" spans="1:10" x14ac:dyDescent="0.25">
      <c r="A1198" t="s">
        <v>1545</v>
      </c>
      <c r="B1198" t="s">
        <v>63</v>
      </c>
      <c r="C1198">
        <v>8</v>
      </c>
      <c r="D1198" t="s">
        <v>3416</v>
      </c>
      <c r="E1198">
        <v>65</v>
      </c>
      <c r="F1198">
        <v>28</v>
      </c>
      <c r="G1198">
        <v>37</v>
      </c>
      <c r="H1198" t="s">
        <v>3489</v>
      </c>
      <c r="I1198" t="s">
        <v>3490</v>
      </c>
      <c r="J1198" t="s">
        <v>2932</v>
      </c>
    </row>
    <row r="1199" spans="1:10" x14ac:dyDescent="0.25">
      <c r="A1199" t="s">
        <v>1545</v>
      </c>
      <c r="B1199" t="s">
        <v>63</v>
      </c>
      <c r="C1199">
        <v>8</v>
      </c>
      <c r="D1199" t="s">
        <v>3418</v>
      </c>
      <c r="E1199">
        <v>51</v>
      </c>
      <c r="F1199">
        <v>17</v>
      </c>
      <c r="G1199">
        <v>34</v>
      </c>
      <c r="H1199" t="s">
        <v>3493</v>
      </c>
      <c r="I1199" t="s">
        <v>3490</v>
      </c>
      <c r="J1199" t="s">
        <v>2932</v>
      </c>
    </row>
    <row r="1200" spans="1:10" x14ac:dyDescent="0.25">
      <c r="A1200" t="s">
        <v>1545</v>
      </c>
      <c r="B1200" t="s">
        <v>63</v>
      </c>
      <c r="C1200">
        <v>8</v>
      </c>
      <c r="D1200" t="s">
        <v>3420</v>
      </c>
      <c r="E1200">
        <v>83</v>
      </c>
      <c r="F1200">
        <v>15</v>
      </c>
      <c r="G1200">
        <v>68</v>
      </c>
      <c r="H1200" t="s">
        <v>196</v>
      </c>
      <c r="I1200" t="s">
        <v>3490</v>
      </c>
      <c r="J1200" t="s">
        <v>2932</v>
      </c>
    </row>
    <row r="1201" spans="1:10" x14ac:dyDescent="0.25">
      <c r="A1201" t="s">
        <v>1545</v>
      </c>
      <c r="B1201" t="s">
        <v>63</v>
      </c>
      <c r="C1201">
        <v>8</v>
      </c>
      <c r="D1201" t="s">
        <v>3422</v>
      </c>
      <c r="E1201">
        <v>67</v>
      </c>
      <c r="F1201">
        <v>20</v>
      </c>
      <c r="G1201">
        <v>47</v>
      </c>
      <c r="H1201" t="s">
        <v>3489</v>
      </c>
      <c r="I1201" t="s">
        <v>3490</v>
      </c>
      <c r="J1201" t="s">
        <v>2932</v>
      </c>
    </row>
    <row r="1202" spans="1:10" x14ac:dyDescent="0.25">
      <c r="A1202" t="s">
        <v>1551</v>
      </c>
      <c r="B1202" t="s">
        <v>95</v>
      </c>
      <c r="C1202">
        <v>6</v>
      </c>
      <c r="D1202" t="s">
        <v>3234</v>
      </c>
      <c r="E1202">
        <v>48</v>
      </c>
      <c r="F1202">
        <v>15</v>
      </c>
      <c r="G1202">
        <v>33</v>
      </c>
      <c r="H1202" t="s">
        <v>3491</v>
      </c>
      <c r="I1202" t="s">
        <v>3492</v>
      </c>
      <c r="J1202" t="s">
        <v>2889</v>
      </c>
    </row>
    <row r="1203" spans="1:10" x14ac:dyDescent="0.25">
      <c r="A1203" t="s">
        <v>1551</v>
      </c>
      <c r="B1203" t="s">
        <v>95</v>
      </c>
      <c r="C1203">
        <v>6</v>
      </c>
      <c r="D1203" t="s">
        <v>3236</v>
      </c>
      <c r="E1203">
        <v>88</v>
      </c>
      <c r="F1203">
        <v>26</v>
      </c>
      <c r="G1203">
        <v>62</v>
      </c>
      <c r="H1203" t="s">
        <v>196</v>
      </c>
      <c r="I1203" t="s">
        <v>3490</v>
      </c>
      <c r="J1203" t="s">
        <v>2889</v>
      </c>
    </row>
    <row r="1204" spans="1:10" x14ac:dyDescent="0.25">
      <c r="A1204" t="s">
        <v>1551</v>
      </c>
      <c r="B1204" t="s">
        <v>95</v>
      </c>
      <c r="C1204">
        <v>6</v>
      </c>
      <c r="D1204" t="s">
        <v>3238</v>
      </c>
      <c r="E1204">
        <v>86</v>
      </c>
      <c r="F1204">
        <v>28</v>
      </c>
      <c r="G1204">
        <v>58</v>
      </c>
      <c r="H1204" t="s">
        <v>196</v>
      </c>
      <c r="I1204" t="s">
        <v>3490</v>
      </c>
      <c r="J1204" t="s">
        <v>2889</v>
      </c>
    </row>
    <row r="1205" spans="1:10" x14ac:dyDescent="0.25">
      <c r="A1205" t="s">
        <v>1551</v>
      </c>
      <c r="B1205" t="s">
        <v>95</v>
      </c>
      <c r="C1205">
        <v>6</v>
      </c>
      <c r="D1205" t="s">
        <v>3240</v>
      </c>
      <c r="E1205">
        <v>76</v>
      </c>
      <c r="F1205">
        <v>19</v>
      </c>
      <c r="G1205">
        <v>57</v>
      </c>
      <c r="H1205" t="s">
        <v>3494</v>
      </c>
      <c r="I1205" t="s">
        <v>3490</v>
      </c>
      <c r="J1205" t="s">
        <v>2889</v>
      </c>
    </row>
    <row r="1206" spans="1:10" x14ac:dyDescent="0.25">
      <c r="A1206" t="s">
        <v>1551</v>
      </c>
      <c r="B1206" t="s">
        <v>95</v>
      </c>
      <c r="C1206">
        <v>6</v>
      </c>
      <c r="D1206" t="s">
        <v>3242</v>
      </c>
      <c r="E1206">
        <v>55</v>
      </c>
      <c r="F1206">
        <v>28</v>
      </c>
      <c r="G1206">
        <v>27</v>
      </c>
      <c r="H1206" t="s">
        <v>3493</v>
      </c>
      <c r="I1206" t="s">
        <v>3490</v>
      </c>
      <c r="J1206" t="s">
        <v>2889</v>
      </c>
    </row>
    <row r="1207" spans="1:10" x14ac:dyDescent="0.25">
      <c r="A1207" t="s">
        <v>1558</v>
      </c>
      <c r="B1207" t="s">
        <v>75</v>
      </c>
      <c r="C1207">
        <v>8</v>
      </c>
      <c r="D1207" t="s">
        <v>3054</v>
      </c>
      <c r="E1207">
        <v>77</v>
      </c>
      <c r="F1207">
        <v>29</v>
      </c>
      <c r="G1207">
        <v>48</v>
      </c>
      <c r="H1207" t="s">
        <v>3494</v>
      </c>
      <c r="I1207" t="s">
        <v>3490</v>
      </c>
      <c r="J1207" t="s">
        <v>2961</v>
      </c>
    </row>
    <row r="1208" spans="1:10" x14ac:dyDescent="0.25">
      <c r="A1208" t="s">
        <v>1558</v>
      </c>
      <c r="B1208" t="s">
        <v>75</v>
      </c>
      <c r="C1208">
        <v>8</v>
      </c>
      <c r="D1208" t="s">
        <v>3056</v>
      </c>
      <c r="E1208">
        <v>34</v>
      </c>
      <c r="F1208">
        <v>10</v>
      </c>
      <c r="G1208">
        <v>24</v>
      </c>
      <c r="H1208" t="s">
        <v>3491</v>
      </c>
      <c r="I1208" t="s">
        <v>3492</v>
      </c>
      <c r="J1208" t="s">
        <v>2961</v>
      </c>
    </row>
    <row r="1209" spans="1:10" x14ac:dyDescent="0.25">
      <c r="A1209" t="s">
        <v>1558</v>
      </c>
      <c r="B1209" t="s">
        <v>75</v>
      </c>
      <c r="C1209">
        <v>8</v>
      </c>
      <c r="D1209" t="s">
        <v>3058</v>
      </c>
      <c r="E1209">
        <v>48</v>
      </c>
      <c r="F1209">
        <v>18</v>
      </c>
      <c r="G1209">
        <v>30</v>
      </c>
      <c r="H1209" t="s">
        <v>3491</v>
      </c>
      <c r="I1209" t="s">
        <v>3492</v>
      </c>
      <c r="J1209" t="s">
        <v>2961</v>
      </c>
    </row>
    <row r="1210" spans="1:10" x14ac:dyDescent="0.25">
      <c r="A1210" t="s">
        <v>1558</v>
      </c>
      <c r="B1210" t="s">
        <v>75</v>
      </c>
      <c r="C1210">
        <v>8</v>
      </c>
      <c r="D1210" t="s">
        <v>3060</v>
      </c>
      <c r="E1210">
        <v>85</v>
      </c>
      <c r="F1210">
        <v>23</v>
      </c>
      <c r="G1210">
        <v>62</v>
      </c>
      <c r="H1210" t="s">
        <v>196</v>
      </c>
      <c r="I1210" t="s">
        <v>3490</v>
      </c>
      <c r="J1210" t="s">
        <v>2961</v>
      </c>
    </row>
    <row r="1211" spans="1:10" x14ac:dyDescent="0.25">
      <c r="A1211" t="s">
        <v>1558</v>
      </c>
      <c r="B1211" t="s">
        <v>75</v>
      </c>
      <c r="C1211">
        <v>8</v>
      </c>
      <c r="D1211" t="s">
        <v>3062</v>
      </c>
      <c r="E1211">
        <v>35</v>
      </c>
      <c r="F1211">
        <v>14</v>
      </c>
      <c r="G1211">
        <v>21</v>
      </c>
      <c r="H1211" t="s">
        <v>3491</v>
      </c>
      <c r="I1211" t="s">
        <v>3492</v>
      </c>
      <c r="J1211" t="s">
        <v>2961</v>
      </c>
    </row>
    <row r="1212" spans="1:10" x14ac:dyDescent="0.25">
      <c r="A1212" t="s">
        <v>1565</v>
      </c>
      <c r="B1212" t="s">
        <v>122</v>
      </c>
      <c r="C1212">
        <v>8</v>
      </c>
      <c r="D1212" t="s">
        <v>3294</v>
      </c>
      <c r="E1212">
        <v>65</v>
      </c>
      <c r="F1212">
        <v>16</v>
      </c>
      <c r="G1212">
        <v>49</v>
      </c>
      <c r="H1212" t="s">
        <v>3489</v>
      </c>
      <c r="I1212" t="s">
        <v>3490</v>
      </c>
      <c r="J1212" t="s">
        <v>2919</v>
      </c>
    </row>
    <row r="1213" spans="1:10" x14ac:dyDescent="0.25">
      <c r="A1213" t="s">
        <v>1565</v>
      </c>
      <c r="B1213" t="s">
        <v>122</v>
      </c>
      <c r="C1213">
        <v>8</v>
      </c>
      <c r="D1213" t="s">
        <v>3296</v>
      </c>
      <c r="E1213">
        <v>63</v>
      </c>
      <c r="F1213">
        <v>11</v>
      </c>
      <c r="G1213">
        <v>52</v>
      </c>
      <c r="H1213" t="s">
        <v>3489</v>
      </c>
      <c r="I1213" t="s">
        <v>3490</v>
      </c>
      <c r="J1213" t="s">
        <v>2919</v>
      </c>
    </row>
    <row r="1214" spans="1:10" x14ac:dyDescent="0.25">
      <c r="A1214" t="s">
        <v>1565</v>
      </c>
      <c r="B1214" t="s">
        <v>122</v>
      </c>
      <c r="C1214">
        <v>8</v>
      </c>
      <c r="D1214" t="s">
        <v>3298</v>
      </c>
      <c r="E1214">
        <v>78</v>
      </c>
      <c r="F1214">
        <v>24</v>
      </c>
      <c r="G1214">
        <v>54</v>
      </c>
      <c r="H1214" t="s">
        <v>3494</v>
      </c>
      <c r="I1214" t="s">
        <v>3490</v>
      </c>
      <c r="J1214" t="s">
        <v>2919</v>
      </c>
    </row>
    <row r="1215" spans="1:10" x14ac:dyDescent="0.25">
      <c r="A1215" t="s">
        <v>1565</v>
      </c>
      <c r="B1215" t="s">
        <v>122</v>
      </c>
      <c r="C1215">
        <v>8</v>
      </c>
      <c r="D1215" t="s">
        <v>3300</v>
      </c>
      <c r="E1215">
        <v>41</v>
      </c>
      <c r="F1215">
        <v>15</v>
      </c>
      <c r="G1215">
        <v>26</v>
      </c>
      <c r="H1215" t="s">
        <v>3491</v>
      </c>
      <c r="I1215" t="s">
        <v>3492</v>
      </c>
      <c r="J1215" t="s">
        <v>2919</v>
      </c>
    </row>
    <row r="1216" spans="1:10" x14ac:dyDescent="0.25">
      <c r="A1216" t="s">
        <v>1565</v>
      </c>
      <c r="B1216" t="s">
        <v>122</v>
      </c>
      <c r="C1216">
        <v>8</v>
      </c>
      <c r="D1216" t="s">
        <v>3302</v>
      </c>
      <c r="E1216">
        <v>58</v>
      </c>
      <c r="F1216">
        <v>12</v>
      </c>
      <c r="G1216">
        <v>46</v>
      </c>
      <c r="H1216" t="s">
        <v>3493</v>
      </c>
      <c r="I1216" t="s">
        <v>3490</v>
      </c>
      <c r="J1216" t="s">
        <v>2919</v>
      </c>
    </row>
    <row r="1217" spans="1:10" x14ac:dyDescent="0.25">
      <c r="A1217" t="s">
        <v>1570</v>
      </c>
      <c r="B1217" t="s">
        <v>122</v>
      </c>
      <c r="C1217">
        <v>8</v>
      </c>
      <c r="D1217" t="s">
        <v>3294</v>
      </c>
      <c r="E1217">
        <v>41</v>
      </c>
      <c r="F1217">
        <v>11</v>
      </c>
      <c r="G1217">
        <v>30</v>
      </c>
      <c r="H1217" t="s">
        <v>3491</v>
      </c>
      <c r="I1217" t="s">
        <v>3492</v>
      </c>
      <c r="J1217" t="s">
        <v>2919</v>
      </c>
    </row>
    <row r="1218" spans="1:10" x14ac:dyDescent="0.25">
      <c r="A1218" t="s">
        <v>1570</v>
      </c>
      <c r="B1218" t="s">
        <v>122</v>
      </c>
      <c r="C1218">
        <v>8</v>
      </c>
      <c r="D1218" t="s">
        <v>3296</v>
      </c>
      <c r="E1218">
        <v>70</v>
      </c>
      <c r="F1218">
        <v>10</v>
      </c>
      <c r="G1218">
        <v>60</v>
      </c>
      <c r="H1218" t="s">
        <v>3494</v>
      </c>
      <c r="I1218" t="s">
        <v>3490</v>
      </c>
      <c r="J1218" t="s">
        <v>2919</v>
      </c>
    </row>
    <row r="1219" spans="1:10" x14ac:dyDescent="0.25">
      <c r="A1219" t="s">
        <v>1570</v>
      </c>
      <c r="B1219" t="s">
        <v>122</v>
      </c>
      <c r="C1219">
        <v>8</v>
      </c>
      <c r="D1219" t="s">
        <v>3298</v>
      </c>
      <c r="E1219">
        <v>66</v>
      </c>
      <c r="F1219">
        <v>30</v>
      </c>
      <c r="G1219">
        <v>36</v>
      </c>
      <c r="H1219" t="s">
        <v>3489</v>
      </c>
      <c r="I1219" t="s">
        <v>3490</v>
      </c>
      <c r="J1219" t="s">
        <v>2919</v>
      </c>
    </row>
    <row r="1220" spans="1:10" x14ac:dyDescent="0.25">
      <c r="A1220" t="s">
        <v>1570</v>
      </c>
      <c r="B1220" t="s">
        <v>122</v>
      </c>
      <c r="C1220">
        <v>8</v>
      </c>
      <c r="D1220" t="s">
        <v>3300</v>
      </c>
      <c r="E1220">
        <v>67</v>
      </c>
      <c r="F1220">
        <v>13</v>
      </c>
      <c r="G1220">
        <v>54</v>
      </c>
      <c r="H1220" t="s">
        <v>3489</v>
      </c>
      <c r="I1220" t="s">
        <v>3490</v>
      </c>
      <c r="J1220" t="s">
        <v>2919</v>
      </c>
    </row>
    <row r="1221" spans="1:10" x14ac:dyDescent="0.25">
      <c r="A1221" t="s">
        <v>1570</v>
      </c>
      <c r="B1221" t="s">
        <v>122</v>
      </c>
      <c r="C1221">
        <v>8</v>
      </c>
      <c r="D1221" t="s">
        <v>3302</v>
      </c>
      <c r="E1221">
        <v>47</v>
      </c>
      <c r="F1221">
        <v>12</v>
      </c>
      <c r="G1221">
        <v>35</v>
      </c>
      <c r="H1221" t="s">
        <v>3491</v>
      </c>
      <c r="I1221" t="s">
        <v>3492</v>
      </c>
      <c r="J1221" t="s">
        <v>2919</v>
      </c>
    </row>
    <row r="1222" spans="1:10" x14ac:dyDescent="0.25">
      <c r="A1222" t="s">
        <v>1575</v>
      </c>
      <c r="B1222" t="s">
        <v>212</v>
      </c>
      <c r="C1222">
        <v>8</v>
      </c>
      <c r="D1222" t="s">
        <v>3474</v>
      </c>
      <c r="E1222">
        <v>84</v>
      </c>
      <c r="F1222">
        <v>21</v>
      </c>
      <c r="G1222">
        <v>63</v>
      </c>
      <c r="H1222" t="s">
        <v>196</v>
      </c>
      <c r="I1222" t="s">
        <v>3490</v>
      </c>
      <c r="J1222" t="s">
        <v>3001</v>
      </c>
    </row>
    <row r="1223" spans="1:10" x14ac:dyDescent="0.25">
      <c r="A1223" t="s">
        <v>1575</v>
      </c>
      <c r="B1223" t="s">
        <v>212</v>
      </c>
      <c r="C1223">
        <v>8</v>
      </c>
      <c r="D1223" t="s">
        <v>3476</v>
      </c>
      <c r="E1223">
        <v>85</v>
      </c>
      <c r="F1223">
        <v>29</v>
      </c>
      <c r="G1223">
        <v>56</v>
      </c>
      <c r="H1223" t="s">
        <v>196</v>
      </c>
      <c r="I1223" t="s">
        <v>3490</v>
      </c>
      <c r="J1223" t="s">
        <v>3001</v>
      </c>
    </row>
    <row r="1224" spans="1:10" x14ac:dyDescent="0.25">
      <c r="A1224" t="s">
        <v>1575</v>
      </c>
      <c r="B1224" t="s">
        <v>212</v>
      </c>
      <c r="C1224">
        <v>8</v>
      </c>
      <c r="D1224" t="s">
        <v>3478</v>
      </c>
      <c r="E1224">
        <v>84</v>
      </c>
      <c r="F1224">
        <v>26</v>
      </c>
      <c r="G1224">
        <v>58</v>
      </c>
      <c r="H1224" t="s">
        <v>196</v>
      </c>
      <c r="I1224" t="s">
        <v>3490</v>
      </c>
      <c r="J1224" t="s">
        <v>3001</v>
      </c>
    </row>
    <row r="1225" spans="1:10" x14ac:dyDescent="0.25">
      <c r="A1225" t="s">
        <v>1575</v>
      </c>
      <c r="B1225" t="s">
        <v>212</v>
      </c>
      <c r="C1225">
        <v>8</v>
      </c>
      <c r="D1225" t="s">
        <v>3480</v>
      </c>
      <c r="E1225">
        <v>95</v>
      </c>
      <c r="F1225">
        <v>26</v>
      </c>
      <c r="G1225">
        <v>69</v>
      </c>
      <c r="H1225" t="s">
        <v>3495</v>
      </c>
      <c r="I1225" t="s">
        <v>3490</v>
      </c>
      <c r="J1225" t="s">
        <v>3001</v>
      </c>
    </row>
    <row r="1226" spans="1:10" x14ac:dyDescent="0.25">
      <c r="A1226" t="s">
        <v>1575</v>
      </c>
      <c r="B1226" t="s">
        <v>212</v>
      </c>
      <c r="C1226">
        <v>8</v>
      </c>
      <c r="D1226" t="s">
        <v>3482</v>
      </c>
      <c r="E1226">
        <v>76</v>
      </c>
      <c r="F1226">
        <v>28</v>
      </c>
      <c r="G1226">
        <v>48</v>
      </c>
      <c r="H1226" t="s">
        <v>3494</v>
      </c>
      <c r="I1226" t="s">
        <v>3490</v>
      </c>
      <c r="J1226" t="s">
        <v>3001</v>
      </c>
    </row>
    <row r="1227" spans="1:10" x14ac:dyDescent="0.25">
      <c r="A1227" t="s">
        <v>1580</v>
      </c>
      <c r="B1227" t="s">
        <v>75</v>
      </c>
      <c r="C1227">
        <v>4</v>
      </c>
      <c r="D1227" t="s">
        <v>3034</v>
      </c>
      <c r="E1227">
        <v>41</v>
      </c>
      <c r="F1227">
        <v>14</v>
      </c>
      <c r="G1227">
        <v>27</v>
      </c>
      <c r="H1227" t="s">
        <v>3491</v>
      </c>
      <c r="I1227" t="s">
        <v>3492</v>
      </c>
      <c r="J1227" t="s">
        <v>2961</v>
      </c>
    </row>
    <row r="1228" spans="1:10" x14ac:dyDescent="0.25">
      <c r="A1228" t="s">
        <v>1580</v>
      </c>
      <c r="B1228" t="s">
        <v>75</v>
      </c>
      <c r="C1228">
        <v>4</v>
      </c>
      <c r="D1228" t="s">
        <v>3036</v>
      </c>
      <c r="E1228">
        <v>60</v>
      </c>
      <c r="F1228">
        <v>12</v>
      </c>
      <c r="G1228">
        <v>48</v>
      </c>
      <c r="H1228" t="s">
        <v>3489</v>
      </c>
      <c r="I1228" t="s">
        <v>3490</v>
      </c>
      <c r="J1228" t="s">
        <v>2961</v>
      </c>
    </row>
    <row r="1229" spans="1:10" x14ac:dyDescent="0.25">
      <c r="A1229" t="s">
        <v>1580</v>
      </c>
      <c r="B1229" t="s">
        <v>75</v>
      </c>
      <c r="C1229">
        <v>4</v>
      </c>
      <c r="D1229" t="s">
        <v>3038</v>
      </c>
      <c r="E1229">
        <v>76</v>
      </c>
      <c r="F1229">
        <v>10</v>
      </c>
      <c r="G1229">
        <v>66</v>
      </c>
      <c r="H1229" t="s">
        <v>3494</v>
      </c>
      <c r="I1229" t="s">
        <v>3490</v>
      </c>
      <c r="J1229" t="s">
        <v>2961</v>
      </c>
    </row>
    <row r="1230" spans="1:10" x14ac:dyDescent="0.25">
      <c r="A1230" t="s">
        <v>1580</v>
      </c>
      <c r="B1230" t="s">
        <v>75</v>
      </c>
      <c r="C1230">
        <v>4</v>
      </c>
      <c r="D1230" t="s">
        <v>3040</v>
      </c>
      <c r="E1230">
        <v>79</v>
      </c>
      <c r="F1230">
        <v>27</v>
      </c>
      <c r="G1230">
        <v>52</v>
      </c>
      <c r="H1230" t="s">
        <v>3494</v>
      </c>
      <c r="I1230" t="s">
        <v>3490</v>
      </c>
      <c r="J1230" t="s">
        <v>2961</v>
      </c>
    </row>
    <row r="1231" spans="1:10" x14ac:dyDescent="0.25">
      <c r="A1231" t="s">
        <v>1580</v>
      </c>
      <c r="B1231" t="s">
        <v>75</v>
      </c>
      <c r="C1231">
        <v>4</v>
      </c>
      <c r="D1231" t="s">
        <v>3042</v>
      </c>
      <c r="E1231">
        <v>87</v>
      </c>
      <c r="F1231">
        <v>30</v>
      </c>
      <c r="G1231">
        <v>57</v>
      </c>
      <c r="H1231" t="s">
        <v>196</v>
      </c>
      <c r="I1231" t="s">
        <v>3490</v>
      </c>
      <c r="J1231" t="s">
        <v>2961</v>
      </c>
    </row>
    <row r="1232" spans="1:10" x14ac:dyDescent="0.25">
      <c r="A1232" t="s">
        <v>1586</v>
      </c>
      <c r="B1232" t="s">
        <v>159</v>
      </c>
      <c r="C1232">
        <v>8</v>
      </c>
      <c r="D1232" t="s">
        <v>3114</v>
      </c>
      <c r="E1232">
        <v>81</v>
      </c>
      <c r="F1232">
        <v>19</v>
      </c>
      <c r="G1232">
        <v>62</v>
      </c>
      <c r="H1232" t="s">
        <v>196</v>
      </c>
      <c r="I1232" t="s">
        <v>3490</v>
      </c>
      <c r="J1232" t="s">
        <v>2902</v>
      </c>
    </row>
    <row r="1233" spans="1:10" x14ac:dyDescent="0.25">
      <c r="A1233" t="s">
        <v>1586</v>
      </c>
      <c r="B1233" t="s">
        <v>159</v>
      </c>
      <c r="C1233">
        <v>8</v>
      </c>
      <c r="D1233" t="s">
        <v>3116</v>
      </c>
      <c r="E1233">
        <v>47</v>
      </c>
      <c r="F1233">
        <v>26</v>
      </c>
      <c r="G1233">
        <v>21</v>
      </c>
      <c r="H1233" t="s">
        <v>3491</v>
      </c>
      <c r="I1233" t="s">
        <v>3492</v>
      </c>
      <c r="J1233" t="s">
        <v>2902</v>
      </c>
    </row>
    <row r="1234" spans="1:10" x14ac:dyDescent="0.25">
      <c r="A1234" t="s">
        <v>1586</v>
      </c>
      <c r="B1234" t="s">
        <v>159</v>
      </c>
      <c r="C1234">
        <v>8</v>
      </c>
      <c r="D1234" t="s">
        <v>3118</v>
      </c>
      <c r="E1234">
        <v>66</v>
      </c>
      <c r="F1234">
        <v>12</v>
      </c>
      <c r="G1234">
        <v>54</v>
      </c>
      <c r="H1234" t="s">
        <v>3489</v>
      </c>
      <c r="I1234" t="s">
        <v>3490</v>
      </c>
      <c r="J1234" t="s">
        <v>2902</v>
      </c>
    </row>
    <row r="1235" spans="1:10" x14ac:dyDescent="0.25">
      <c r="A1235" t="s">
        <v>1586</v>
      </c>
      <c r="B1235" t="s">
        <v>159</v>
      </c>
      <c r="C1235">
        <v>8</v>
      </c>
      <c r="D1235" t="s">
        <v>3120</v>
      </c>
      <c r="E1235">
        <v>58</v>
      </c>
      <c r="F1235">
        <v>22</v>
      </c>
      <c r="G1235">
        <v>36</v>
      </c>
      <c r="H1235" t="s">
        <v>3493</v>
      </c>
      <c r="I1235" t="s">
        <v>3490</v>
      </c>
      <c r="J1235" t="s">
        <v>2902</v>
      </c>
    </row>
    <row r="1236" spans="1:10" x14ac:dyDescent="0.25">
      <c r="A1236" t="s">
        <v>1586</v>
      </c>
      <c r="B1236" t="s">
        <v>159</v>
      </c>
      <c r="C1236">
        <v>8</v>
      </c>
      <c r="D1236" t="s">
        <v>3122</v>
      </c>
      <c r="E1236">
        <v>73</v>
      </c>
      <c r="F1236">
        <v>19</v>
      </c>
      <c r="G1236">
        <v>54</v>
      </c>
      <c r="H1236" t="s">
        <v>3494</v>
      </c>
      <c r="I1236" t="s">
        <v>3490</v>
      </c>
      <c r="J1236" t="s">
        <v>2902</v>
      </c>
    </row>
    <row r="1237" spans="1:10" x14ac:dyDescent="0.25">
      <c r="A1237" t="s">
        <v>1591</v>
      </c>
      <c r="B1237" t="s">
        <v>63</v>
      </c>
      <c r="C1237">
        <v>6</v>
      </c>
      <c r="D1237" t="s">
        <v>3414</v>
      </c>
      <c r="E1237">
        <v>44</v>
      </c>
      <c r="F1237">
        <v>14</v>
      </c>
      <c r="G1237">
        <v>30</v>
      </c>
      <c r="H1237" t="s">
        <v>3491</v>
      </c>
      <c r="I1237" t="s">
        <v>3492</v>
      </c>
      <c r="J1237" t="s">
        <v>2932</v>
      </c>
    </row>
    <row r="1238" spans="1:10" x14ac:dyDescent="0.25">
      <c r="A1238" t="s">
        <v>1591</v>
      </c>
      <c r="B1238" t="s">
        <v>63</v>
      </c>
      <c r="C1238">
        <v>6</v>
      </c>
      <c r="D1238" t="s">
        <v>3416</v>
      </c>
      <c r="E1238">
        <v>61</v>
      </c>
      <c r="F1238">
        <v>13</v>
      </c>
      <c r="G1238">
        <v>48</v>
      </c>
      <c r="H1238" t="s">
        <v>3489</v>
      </c>
      <c r="I1238" t="s">
        <v>3490</v>
      </c>
      <c r="J1238" t="s">
        <v>2932</v>
      </c>
    </row>
    <row r="1239" spans="1:10" x14ac:dyDescent="0.25">
      <c r="A1239" t="s">
        <v>1591</v>
      </c>
      <c r="B1239" t="s">
        <v>63</v>
      </c>
      <c r="C1239">
        <v>6</v>
      </c>
      <c r="D1239" t="s">
        <v>3418</v>
      </c>
      <c r="E1239">
        <v>74</v>
      </c>
      <c r="F1239">
        <v>21</v>
      </c>
      <c r="G1239">
        <v>53</v>
      </c>
      <c r="H1239" t="s">
        <v>3494</v>
      </c>
      <c r="I1239" t="s">
        <v>3490</v>
      </c>
      <c r="J1239" t="s">
        <v>2932</v>
      </c>
    </row>
    <row r="1240" spans="1:10" x14ac:dyDescent="0.25">
      <c r="A1240" t="s">
        <v>1591</v>
      </c>
      <c r="B1240" t="s">
        <v>63</v>
      </c>
      <c r="C1240">
        <v>6</v>
      </c>
      <c r="D1240" t="s">
        <v>3420</v>
      </c>
      <c r="E1240">
        <v>93</v>
      </c>
      <c r="F1240">
        <v>26</v>
      </c>
      <c r="G1240">
        <v>67</v>
      </c>
      <c r="H1240" t="s">
        <v>3495</v>
      </c>
      <c r="I1240" t="s">
        <v>3490</v>
      </c>
      <c r="J1240" t="s">
        <v>2932</v>
      </c>
    </row>
    <row r="1241" spans="1:10" x14ac:dyDescent="0.25">
      <c r="A1241" t="s">
        <v>1591</v>
      </c>
      <c r="B1241" t="s">
        <v>63</v>
      </c>
      <c r="C1241">
        <v>6</v>
      </c>
      <c r="D1241" t="s">
        <v>3422</v>
      </c>
      <c r="E1241">
        <v>73</v>
      </c>
      <c r="F1241">
        <v>17</v>
      </c>
      <c r="G1241">
        <v>56</v>
      </c>
      <c r="H1241" t="s">
        <v>3494</v>
      </c>
      <c r="I1241" t="s">
        <v>3490</v>
      </c>
      <c r="J1241" t="s">
        <v>2932</v>
      </c>
    </row>
    <row r="1242" spans="1:10" x14ac:dyDescent="0.25">
      <c r="A1242" t="s">
        <v>1596</v>
      </c>
      <c r="B1242" t="s">
        <v>95</v>
      </c>
      <c r="C1242">
        <v>6</v>
      </c>
      <c r="D1242" t="s">
        <v>3234</v>
      </c>
      <c r="E1242">
        <v>76</v>
      </c>
      <c r="F1242">
        <v>24</v>
      </c>
      <c r="G1242">
        <v>52</v>
      </c>
      <c r="H1242" t="s">
        <v>3494</v>
      </c>
      <c r="I1242" t="s">
        <v>3490</v>
      </c>
      <c r="J1242" t="s">
        <v>2889</v>
      </c>
    </row>
    <row r="1243" spans="1:10" x14ac:dyDescent="0.25">
      <c r="A1243" t="s">
        <v>1596</v>
      </c>
      <c r="B1243" t="s">
        <v>95</v>
      </c>
      <c r="C1243">
        <v>6</v>
      </c>
      <c r="D1243" t="s">
        <v>3236</v>
      </c>
      <c r="E1243">
        <v>69</v>
      </c>
      <c r="F1243">
        <v>21</v>
      </c>
      <c r="G1243">
        <v>48</v>
      </c>
      <c r="H1243" t="s">
        <v>3489</v>
      </c>
      <c r="I1243" t="s">
        <v>3490</v>
      </c>
      <c r="J1243" t="s">
        <v>2889</v>
      </c>
    </row>
    <row r="1244" spans="1:10" x14ac:dyDescent="0.25">
      <c r="A1244" t="s">
        <v>1596</v>
      </c>
      <c r="B1244" t="s">
        <v>95</v>
      </c>
      <c r="C1244">
        <v>6</v>
      </c>
      <c r="D1244" t="s">
        <v>3238</v>
      </c>
      <c r="E1244">
        <v>64</v>
      </c>
      <c r="F1244">
        <v>10</v>
      </c>
      <c r="G1244">
        <v>54</v>
      </c>
      <c r="H1244" t="s">
        <v>3489</v>
      </c>
      <c r="I1244" t="s">
        <v>3490</v>
      </c>
      <c r="J1244" t="s">
        <v>2889</v>
      </c>
    </row>
    <row r="1245" spans="1:10" x14ac:dyDescent="0.25">
      <c r="A1245" t="s">
        <v>1596</v>
      </c>
      <c r="B1245" t="s">
        <v>95</v>
      </c>
      <c r="C1245">
        <v>6</v>
      </c>
      <c r="D1245" t="s">
        <v>3240</v>
      </c>
      <c r="E1245">
        <v>38</v>
      </c>
      <c r="F1245">
        <v>15</v>
      </c>
      <c r="G1245">
        <v>23</v>
      </c>
      <c r="H1245" t="s">
        <v>3491</v>
      </c>
      <c r="I1245" t="s">
        <v>3492</v>
      </c>
      <c r="J1245" t="s">
        <v>2889</v>
      </c>
    </row>
    <row r="1246" spans="1:10" x14ac:dyDescent="0.25">
      <c r="A1246" t="s">
        <v>1596</v>
      </c>
      <c r="B1246" t="s">
        <v>95</v>
      </c>
      <c r="C1246">
        <v>6</v>
      </c>
      <c r="D1246" t="s">
        <v>3242</v>
      </c>
      <c r="E1246">
        <v>46</v>
      </c>
      <c r="F1246">
        <v>10</v>
      </c>
      <c r="G1246">
        <v>36</v>
      </c>
      <c r="H1246" t="s">
        <v>3491</v>
      </c>
      <c r="I1246" t="s">
        <v>3492</v>
      </c>
      <c r="J1246" t="s">
        <v>2889</v>
      </c>
    </row>
    <row r="1247" spans="1:10" x14ac:dyDescent="0.25">
      <c r="A1247" t="s">
        <v>1601</v>
      </c>
      <c r="B1247" t="s">
        <v>212</v>
      </c>
      <c r="C1247">
        <v>8</v>
      </c>
      <c r="D1247" t="s">
        <v>3474</v>
      </c>
      <c r="E1247">
        <v>49</v>
      </c>
      <c r="F1247">
        <v>27</v>
      </c>
      <c r="G1247">
        <v>22</v>
      </c>
      <c r="H1247" t="s">
        <v>3491</v>
      </c>
      <c r="I1247" t="s">
        <v>3492</v>
      </c>
      <c r="J1247" t="s">
        <v>3001</v>
      </c>
    </row>
    <row r="1248" spans="1:10" x14ac:dyDescent="0.25">
      <c r="A1248" t="s">
        <v>1601</v>
      </c>
      <c r="B1248" t="s">
        <v>212</v>
      </c>
      <c r="C1248">
        <v>8</v>
      </c>
      <c r="D1248" t="s">
        <v>3476</v>
      </c>
      <c r="E1248">
        <v>73</v>
      </c>
      <c r="F1248">
        <v>23</v>
      </c>
      <c r="G1248">
        <v>50</v>
      </c>
      <c r="H1248" t="s">
        <v>3494</v>
      </c>
      <c r="I1248" t="s">
        <v>3490</v>
      </c>
      <c r="J1248" t="s">
        <v>3001</v>
      </c>
    </row>
    <row r="1249" spans="1:10" x14ac:dyDescent="0.25">
      <c r="A1249" t="s">
        <v>1601</v>
      </c>
      <c r="B1249" t="s">
        <v>212</v>
      </c>
      <c r="C1249">
        <v>8</v>
      </c>
      <c r="D1249" t="s">
        <v>3478</v>
      </c>
      <c r="E1249">
        <v>70</v>
      </c>
      <c r="F1249">
        <v>20</v>
      </c>
      <c r="G1249">
        <v>50</v>
      </c>
      <c r="H1249" t="s">
        <v>3494</v>
      </c>
      <c r="I1249" t="s">
        <v>3490</v>
      </c>
      <c r="J1249" t="s">
        <v>3001</v>
      </c>
    </row>
    <row r="1250" spans="1:10" x14ac:dyDescent="0.25">
      <c r="A1250" t="s">
        <v>1601</v>
      </c>
      <c r="B1250" t="s">
        <v>212</v>
      </c>
      <c r="C1250">
        <v>8</v>
      </c>
      <c r="D1250" t="s">
        <v>3480</v>
      </c>
      <c r="E1250">
        <v>43</v>
      </c>
      <c r="F1250">
        <v>12</v>
      </c>
      <c r="G1250">
        <v>31</v>
      </c>
      <c r="H1250" t="s">
        <v>3491</v>
      </c>
      <c r="I1250" t="s">
        <v>3492</v>
      </c>
      <c r="J1250" t="s">
        <v>3001</v>
      </c>
    </row>
    <row r="1251" spans="1:10" x14ac:dyDescent="0.25">
      <c r="A1251" t="s">
        <v>1601</v>
      </c>
      <c r="B1251" t="s">
        <v>212</v>
      </c>
      <c r="C1251">
        <v>8</v>
      </c>
      <c r="D1251" t="s">
        <v>3482</v>
      </c>
      <c r="E1251">
        <v>60</v>
      </c>
      <c r="F1251">
        <v>16</v>
      </c>
      <c r="G1251">
        <v>44</v>
      </c>
      <c r="H1251" t="s">
        <v>3489</v>
      </c>
      <c r="I1251" t="s">
        <v>3490</v>
      </c>
      <c r="J1251" t="s">
        <v>3001</v>
      </c>
    </row>
    <row r="1252" spans="1:10" x14ac:dyDescent="0.25">
      <c r="A1252" t="s">
        <v>1606</v>
      </c>
      <c r="B1252" t="s">
        <v>30</v>
      </c>
      <c r="C1252">
        <v>4</v>
      </c>
      <c r="D1252" t="s">
        <v>3334</v>
      </c>
      <c r="E1252">
        <v>53</v>
      </c>
      <c r="F1252">
        <v>28</v>
      </c>
      <c r="G1252">
        <v>25</v>
      </c>
      <c r="H1252" t="s">
        <v>3493</v>
      </c>
      <c r="I1252" t="s">
        <v>3490</v>
      </c>
      <c r="J1252" t="s">
        <v>2895</v>
      </c>
    </row>
    <row r="1253" spans="1:10" x14ac:dyDescent="0.25">
      <c r="A1253" t="s">
        <v>1606</v>
      </c>
      <c r="B1253" t="s">
        <v>30</v>
      </c>
      <c r="C1253">
        <v>4</v>
      </c>
      <c r="D1253" t="s">
        <v>3336</v>
      </c>
      <c r="E1253">
        <v>77</v>
      </c>
      <c r="F1253">
        <v>19</v>
      </c>
      <c r="G1253">
        <v>58</v>
      </c>
      <c r="H1253" t="s">
        <v>3494</v>
      </c>
      <c r="I1253" t="s">
        <v>3490</v>
      </c>
      <c r="J1253" t="s">
        <v>2895</v>
      </c>
    </row>
    <row r="1254" spans="1:10" x14ac:dyDescent="0.25">
      <c r="A1254" t="s">
        <v>1606</v>
      </c>
      <c r="B1254" t="s">
        <v>30</v>
      </c>
      <c r="C1254">
        <v>4</v>
      </c>
      <c r="D1254" t="s">
        <v>3338</v>
      </c>
      <c r="E1254">
        <v>47</v>
      </c>
      <c r="F1254">
        <v>22</v>
      </c>
      <c r="G1254">
        <v>25</v>
      </c>
      <c r="H1254" t="s">
        <v>3491</v>
      </c>
      <c r="I1254" t="s">
        <v>3492</v>
      </c>
      <c r="J1254" t="s">
        <v>2895</v>
      </c>
    </row>
    <row r="1255" spans="1:10" x14ac:dyDescent="0.25">
      <c r="A1255" t="s">
        <v>1606</v>
      </c>
      <c r="B1255" t="s">
        <v>30</v>
      </c>
      <c r="C1255">
        <v>4</v>
      </c>
      <c r="D1255" t="s">
        <v>3340</v>
      </c>
      <c r="E1255">
        <v>92</v>
      </c>
      <c r="F1255">
        <v>30</v>
      </c>
      <c r="G1255">
        <v>62</v>
      </c>
      <c r="H1255" t="s">
        <v>3495</v>
      </c>
      <c r="I1255" t="s">
        <v>3490</v>
      </c>
      <c r="J1255" t="s">
        <v>2895</v>
      </c>
    </row>
    <row r="1256" spans="1:10" x14ac:dyDescent="0.25">
      <c r="A1256" t="s">
        <v>1606</v>
      </c>
      <c r="B1256" t="s">
        <v>30</v>
      </c>
      <c r="C1256">
        <v>4</v>
      </c>
      <c r="D1256" t="s">
        <v>3342</v>
      </c>
      <c r="E1256">
        <v>42</v>
      </c>
      <c r="F1256">
        <v>12</v>
      </c>
      <c r="G1256">
        <v>30</v>
      </c>
      <c r="H1256" t="s">
        <v>3491</v>
      </c>
      <c r="I1256" t="s">
        <v>3492</v>
      </c>
      <c r="J1256" t="s">
        <v>2895</v>
      </c>
    </row>
    <row r="1257" spans="1:10" x14ac:dyDescent="0.25">
      <c r="A1257" t="s">
        <v>1612</v>
      </c>
      <c r="B1257" t="s">
        <v>30</v>
      </c>
      <c r="C1257">
        <v>6</v>
      </c>
      <c r="D1257" t="s">
        <v>3354</v>
      </c>
      <c r="E1257">
        <v>77</v>
      </c>
      <c r="F1257">
        <v>26</v>
      </c>
      <c r="G1257">
        <v>51</v>
      </c>
      <c r="H1257" t="s">
        <v>3494</v>
      </c>
      <c r="I1257" t="s">
        <v>3490</v>
      </c>
      <c r="J1257" t="s">
        <v>2895</v>
      </c>
    </row>
    <row r="1258" spans="1:10" x14ac:dyDescent="0.25">
      <c r="A1258" t="s">
        <v>1612</v>
      </c>
      <c r="B1258" t="s">
        <v>30</v>
      </c>
      <c r="C1258">
        <v>6</v>
      </c>
      <c r="D1258" t="s">
        <v>3356</v>
      </c>
      <c r="E1258">
        <v>65</v>
      </c>
      <c r="F1258">
        <v>28</v>
      </c>
      <c r="G1258">
        <v>37</v>
      </c>
      <c r="H1258" t="s">
        <v>3489</v>
      </c>
      <c r="I1258" t="s">
        <v>3490</v>
      </c>
      <c r="J1258" t="s">
        <v>2895</v>
      </c>
    </row>
    <row r="1259" spans="1:10" x14ac:dyDescent="0.25">
      <c r="A1259" t="s">
        <v>1612</v>
      </c>
      <c r="B1259" t="s">
        <v>30</v>
      </c>
      <c r="C1259">
        <v>6</v>
      </c>
      <c r="D1259" t="s">
        <v>3358</v>
      </c>
      <c r="E1259">
        <v>73</v>
      </c>
      <c r="F1259">
        <v>15</v>
      </c>
      <c r="G1259">
        <v>58</v>
      </c>
      <c r="H1259" t="s">
        <v>3494</v>
      </c>
      <c r="I1259" t="s">
        <v>3490</v>
      </c>
      <c r="J1259" t="s">
        <v>2895</v>
      </c>
    </row>
    <row r="1260" spans="1:10" x14ac:dyDescent="0.25">
      <c r="A1260" t="s">
        <v>1612</v>
      </c>
      <c r="B1260" t="s">
        <v>30</v>
      </c>
      <c r="C1260">
        <v>6</v>
      </c>
      <c r="D1260" t="s">
        <v>3360</v>
      </c>
      <c r="E1260">
        <v>78</v>
      </c>
      <c r="F1260">
        <v>23</v>
      </c>
      <c r="G1260">
        <v>55</v>
      </c>
      <c r="H1260" t="s">
        <v>3494</v>
      </c>
      <c r="I1260" t="s">
        <v>3490</v>
      </c>
      <c r="J1260" t="s">
        <v>2895</v>
      </c>
    </row>
    <row r="1261" spans="1:10" x14ac:dyDescent="0.25">
      <c r="A1261" t="s">
        <v>1612</v>
      </c>
      <c r="B1261" t="s">
        <v>30</v>
      </c>
      <c r="C1261">
        <v>6</v>
      </c>
      <c r="D1261" t="s">
        <v>3362</v>
      </c>
      <c r="E1261">
        <v>55</v>
      </c>
      <c r="F1261">
        <v>26</v>
      </c>
      <c r="G1261">
        <v>29</v>
      </c>
      <c r="H1261" t="s">
        <v>3493</v>
      </c>
      <c r="I1261" t="s">
        <v>3490</v>
      </c>
      <c r="J1261" t="s">
        <v>2895</v>
      </c>
    </row>
    <row r="1262" spans="1:10" x14ac:dyDescent="0.25">
      <c r="A1262" t="s">
        <v>1617</v>
      </c>
      <c r="B1262" t="s">
        <v>75</v>
      </c>
      <c r="C1262">
        <v>6</v>
      </c>
      <c r="D1262" t="s">
        <v>3054</v>
      </c>
      <c r="E1262">
        <v>90</v>
      </c>
      <c r="F1262">
        <v>24</v>
      </c>
      <c r="G1262">
        <v>66</v>
      </c>
      <c r="H1262" t="s">
        <v>3495</v>
      </c>
      <c r="I1262" t="s">
        <v>3490</v>
      </c>
      <c r="J1262" t="s">
        <v>2961</v>
      </c>
    </row>
    <row r="1263" spans="1:10" x14ac:dyDescent="0.25">
      <c r="A1263" t="s">
        <v>1617</v>
      </c>
      <c r="B1263" t="s">
        <v>75</v>
      </c>
      <c r="C1263">
        <v>6</v>
      </c>
      <c r="D1263" t="s">
        <v>3056</v>
      </c>
      <c r="E1263">
        <v>79</v>
      </c>
      <c r="F1263">
        <v>22</v>
      </c>
      <c r="G1263">
        <v>57</v>
      </c>
      <c r="H1263" t="s">
        <v>3494</v>
      </c>
      <c r="I1263" t="s">
        <v>3490</v>
      </c>
      <c r="J1263" t="s">
        <v>2961</v>
      </c>
    </row>
    <row r="1264" spans="1:10" x14ac:dyDescent="0.25">
      <c r="A1264" t="s">
        <v>1617</v>
      </c>
      <c r="B1264" t="s">
        <v>75</v>
      </c>
      <c r="C1264">
        <v>6</v>
      </c>
      <c r="D1264" t="s">
        <v>3058</v>
      </c>
      <c r="E1264">
        <v>87</v>
      </c>
      <c r="F1264">
        <v>25</v>
      </c>
      <c r="G1264">
        <v>62</v>
      </c>
      <c r="H1264" t="s">
        <v>196</v>
      </c>
      <c r="I1264" t="s">
        <v>3490</v>
      </c>
      <c r="J1264" t="s">
        <v>2961</v>
      </c>
    </row>
    <row r="1265" spans="1:10" x14ac:dyDescent="0.25">
      <c r="A1265" t="s">
        <v>1617</v>
      </c>
      <c r="B1265" t="s">
        <v>75</v>
      </c>
      <c r="C1265">
        <v>6</v>
      </c>
      <c r="D1265" t="s">
        <v>3060</v>
      </c>
      <c r="E1265">
        <v>53</v>
      </c>
      <c r="F1265">
        <v>30</v>
      </c>
      <c r="G1265">
        <v>23</v>
      </c>
      <c r="H1265" t="s">
        <v>3493</v>
      </c>
      <c r="I1265" t="s">
        <v>3490</v>
      </c>
      <c r="J1265" t="s">
        <v>2961</v>
      </c>
    </row>
    <row r="1266" spans="1:10" x14ac:dyDescent="0.25">
      <c r="A1266" t="s">
        <v>1617</v>
      </c>
      <c r="B1266" t="s">
        <v>75</v>
      </c>
      <c r="C1266">
        <v>6</v>
      </c>
      <c r="D1266" t="s">
        <v>3062</v>
      </c>
      <c r="E1266">
        <v>40</v>
      </c>
      <c r="F1266">
        <v>18</v>
      </c>
      <c r="G1266">
        <v>22</v>
      </c>
      <c r="H1266" t="s">
        <v>3491</v>
      </c>
      <c r="I1266" t="s">
        <v>3492</v>
      </c>
      <c r="J1266" t="s">
        <v>2961</v>
      </c>
    </row>
    <row r="1267" spans="1:10" x14ac:dyDescent="0.25">
      <c r="A1267" t="s">
        <v>1624</v>
      </c>
      <c r="B1267" t="s">
        <v>159</v>
      </c>
      <c r="C1267">
        <v>8</v>
      </c>
      <c r="D1267" t="s">
        <v>3114</v>
      </c>
      <c r="E1267">
        <v>70</v>
      </c>
      <c r="F1267">
        <v>28</v>
      </c>
      <c r="G1267">
        <v>42</v>
      </c>
      <c r="H1267" t="s">
        <v>3494</v>
      </c>
      <c r="I1267" t="s">
        <v>3490</v>
      </c>
      <c r="J1267" t="s">
        <v>2902</v>
      </c>
    </row>
    <row r="1268" spans="1:10" x14ac:dyDescent="0.25">
      <c r="A1268" t="s">
        <v>1624</v>
      </c>
      <c r="B1268" t="s">
        <v>159</v>
      </c>
      <c r="C1268">
        <v>8</v>
      </c>
      <c r="D1268" t="s">
        <v>3116</v>
      </c>
      <c r="E1268">
        <v>82</v>
      </c>
      <c r="F1268">
        <v>17</v>
      </c>
      <c r="G1268">
        <v>65</v>
      </c>
      <c r="H1268" t="s">
        <v>196</v>
      </c>
      <c r="I1268" t="s">
        <v>3490</v>
      </c>
      <c r="J1268" t="s">
        <v>2902</v>
      </c>
    </row>
    <row r="1269" spans="1:10" x14ac:dyDescent="0.25">
      <c r="A1269" t="s">
        <v>1624</v>
      </c>
      <c r="B1269" t="s">
        <v>159</v>
      </c>
      <c r="C1269">
        <v>8</v>
      </c>
      <c r="D1269" t="s">
        <v>3118</v>
      </c>
      <c r="E1269">
        <v>49</v>
      </c>
      <c r="F1269">
        <v>13</v>
      </c>
      <c r="G1269">
        <v>36</v>
      </c>
      <c r="H1269" t="s">
        <v>3491</v>
      </c>
      <c r="I1269" t="s">
        <v>3492</v>
      </c>
      <c r="J1269" t="s">
        <v>2902</v>
      </c>
    </row>
    <row r="1270" spans="1:10" x14ac:dyDescent="0.25">
      <c r="A1270" t="s">
        <v>1624</v>
      </c>
      <c r="B1270" t="s">
        <v>159</v>
      </c>
      <c r="C1270">
        <v>8</v>
      </c>
      <c r="D1270" t="s">
        <v>3120</v>
      </c>
      <c r="E1270">
        <v>82</v>
      </c>
      <c r="F1270">
        <v>12</v>
      </c>
      <c r="G1270">
        <v>70</v>
      </c>
      <c r="H1270" t="s">
        <v>196</v>
      </c>
      <c r="I1270" t="s">
        <v>3490</v>
      </c>
      <c r="J1270" t="s">
        <v>2902</v>
      </c>
    </row>
    <row r="1271" spans="1:10" x14ac:dyDescent="0.25">
      <c r="A1271" t="s">
        <v>1624</v>
      </c>
      <c r="B1271" t="s">
        <v>159</v>
      </c>
      <c r="C1271">
        <v>8</v>
      </c>
      <c r="D1271" t="s">
        <v>3122</v>
      </c>
      <c r="E1271">
        <v>75</v>
      </c>
      <c r="F1271">
        <v>28</v>
      </c>
      <c r="G1271">
        <v>47</v>
      </c>
      <c r="H1271" t="s">
        <v>3494</v>
      </c>
      <c r="I1271" t="s">
        <v>3490</v>
      </c>
      <c r="J1271" t="s">
        <v>2902</v>
      </c>
    </row>
    <row r="1272" spans="1:10" x14ac:dyDescent="0.25">
      <c r="A1272" t="s">
        <v>1630</v>
      </c>
      <c r="B1272" t="s">
        <v>30</v>
      </c>
      <c r="C1272">
        <v>4</v>
      </c>
      <c r="D1272" t="s">
        <v>3334</v>
      </c>
      <c r="E1272">
        <v>55</v>
      </c>
      <c r="F1272">
        <v>13</v>
      </c>
      <c r="G1272">
        <v>42</v>
      </c>
      <c r="H1272" t="s">
        <v>3493</v>
      </c>
      <c r="I1272" t="s">
        <v>3490</v>
      </c>
      <c r="J1272" t="s">
        <v>2895</v>
      </c>
    </row>
    <row r="1273" spans="1:10" x14ac:dyDescent="0.25">
      <c r="A1273" t="s">
        <v>1630</v>
      </c>
      <c r="B1273" t="s">
        <v>30</v>
      </c>
      <c r="C1273">
        <v>4</v>
      </c>
      <c r="D1273" t="s">
        <v>3336</v>
      </c>
      <c r="E1273">
        <v>45</v>
      </c>
      <c r="F1273">
        <v>23</v>
      </c>
      <c r="G1273">
        <v>22</v>
      </c>
      <c r="H1273" t="s">
        <v>3491</v>
      </c>
      <c r="I1273" t="s">
        <v>3492</v>
      </c>
      <c r="J1273" t="s">
        <v>2895</v>
      </c>
    </row>
    <row r="1274" spans="1:10" x14ac:dyDescent="0.25">
      <c r="A1274" t="s">
        <v>1630</v>
      </c>
      <c r="B1274" t="s">
        <v>30</v>
      </c>
      <c r="C1274">
        <v>4</v>
      </c>
      <c r="D1274" t="s">
        <v>3338</v>
      </c>
      <c r="E1274">
        <v>80</v>
      </c>
      <c r="F1274">
        <v>25</v>
      </c>
      <c r="G1274">
        <v>55</v>
      </c>
      <c r="H1274" t="s">
        <v>196</v>
      </c>
      <c r="I1274" t="s">
        <v>3490</v>
      </c>
      <c r="J1274" t="s">
        <v>2895</v>
      </c>
    </row>
    <row r="1275" spans="1:10" x14ac:dyDescent="0.25">
      <c r="A1275" t="s">
        <v>1630</v>
      </c>
      <c r="B1275" t="s">
        <v>30</v>
      </c>
      <c r="C1275">
        <v>4</v>
      </c>
      <c r="D1275" t="s">
        <v>3340</v>
      </c>
      <c r="E1275">
        <v>65</v>
      </c>
      <c r="F1275">
        <v>30</v>
      </c>
      <c r="G1275">
        <v>35</v>
      </c>
      <c r="H1275" t="s">
        <v>3489</v>
      </c>
      <c r="I1275" t="s">
        <v>3490</v>
      </c>
      <c r="J1275" t="s">
        <v>2895</v>
      </c>
    </row>
    <row r="1276" spans="1:10" x14ac:dyDescent="0.25">
      <c r="A1276" t="s">
        <v>1630</v>
      </c>
      <c r="B1276" t="s">
        <v>30</v>
      </c>
      <c r="C1276">
        <v>4</v>
      </c>
      <c r="D1276" t="s">
        <v>3342</v>
      </c>
      <c r="E1276">
        <v>66</v>
      </c>
      <c r="F1276">
        <v>15</v>
      </c>
      <c r="G1276">
        <v>51</v>
      </c>
      <c r="H1276" t="s">
        <v>3489</v>
      </c>
      <c r="I1276" t="s">
        <v>3490</v>
      </c>
      <c r="J1276" t="s">
        <v>2895</v>
      </c>
    </row>
    <row r="1277" spans="1:10" x14ac:dyDescent="0.25">
      <c r="A1277" t="s">
        <v>1635</v>
      </c>
      <c r="B1277" t="s">
        <v>30</v>
      </c>
      <c r="C1277">
        <v>4</v>
      </c>
      <c r="D1277" t="s">
        <v>3334</v>
      </c>
      <c r="E1277">
        <v>82</v>
      </c>
      <c r="F1277">
        <v>19</v>
      </c>
      <c r="G1277">
        <v>63</v>
      </c>
      <c r="H1277" t="s">
        <v>196</v>
      </c>
      <c r="I1277" t="s">
        <v>3490</v>
      </c>
      <c r="J1277" t="s">
        <v>2895</v>
      </c>
    </row>
    <row r="1278" spans="1:10" x14ac:dyDescent="0.25">
      <c r="A1278" t="s">
        <v>1635</v>
      </c>
      <c r="B1278" t="s">
        <v>30</v>
      </c>
      <c r="C1278">
        <v>4</v>
      </c>
      <c r="D1278" t="s">
        <v>3336</v>
      </c>
      <c r="E1278">
        <v>82</v>
      </c>
      <c r="F1278">
        <v>27</v>
      </c>
      <c r="G1278">
        <v>55</v>
      </c>
      <c r="H1278" t="s">
        <v>196</v>
      </c>
      <c r="I1278" t="s">
        <v>3490</v>
      </c>
      <c r="J1278" t="s">
        <v>2895</v>
      </c>
    </row>
    <row r="1279" spans="1:10" x14ac:dyDescent="0.25">
      <c r="A1279" t="s">
        <v>1635</v>
      </c>
      <c r="B1279" t="s">
        <v>30</v>
      </c>
      <c r="C1279">
        <v>4</v>
      </c>
      <c r="D1279" t="s">
        <v>3338</v>
      </c>
      <c r="E1279">
        <v>58</v>
      </c>
      <c r="F1279">
        <v>17</v>
      </c>
      <c r="G1279">
        <v>41</v>
      </c>
      <c r="H1279" t="s">
        <v>3493</v>
      </c>
      <c r="I1279" t="s">
        <v>3490</v>
      </c>
      <c r="J1279" t="s">
        <v>2895</v>
      </c>
    </row>
    <row r="1280" spans="1:10" x14ac:dyDescent="0.25">
      <c r="A1280" t="s">
        <v>1635</v>
      </c>
      <c r="B1280" t="s">
        <v>30</v>
      </c>
      <c r="C1280">
        <v>4</v>
      </c>
      <c r="D1280" t="s">
        <v>3340</v>
      </c>
      <c r="E1280">
        <v>64</v>
      </c>
      <c r="F1280">
        <v>22</v>
      </c>
      <c r="G1280">
        <v>42</v>
      </c>
      <c r="H1280" t="s">
        <v>3489</v>
      </c>
      <c r="I1280" t="s">
        <v>3490</v>
      </c>
      <c r="J1280" t="s">
        <v>2895</v>
      </c>
    </row>
    <row r="1281" spans="1:10" x14ac:dyDescent="0.25">
      <c r="A1281" t="s">
        <v>1635</v>
      </c>
      <c r="B1281" t="s">
        <v>30</v>
      </c>
      <c r="C1281">
        <v>4</v>
      </c>
      <c r="D1281" t="s">
        <v>3342</v>
      </c>
      <c r="E1281">
        <v>82</v>
      </c>
      <c r="F1281">
        <v>13</v>
      </c>
      <c r="G1281">
        <v>69</v>
      </c>
      <c r="H1281" t="s">
        <v>196</v>
      </c>
      <c r="I1281" t="s">
        <v>3490</v>
      </c>
      <c r="J1281" t="s">
        <v>2895</v>
      </c>
    </row>
    <row r="1282" spans="1:10" x14ac:dyDescent="0.25">
      <c r="A1282" t="s">
        <v>1640</v>
      </c>
      <c r="B1282" t="s">
        <v>30</v>
      </c>
      <c r="C1282">
        <v>8</v>
      </c>
      <c r="D1282" t="s">
        <v>3354</v>
      </c>
      <c r="E1282">
        <v>81</v>
      </c>
      <c r="F1282">
        <v>24</v>
      </c>
      <c r="G1282">
        <v>57</v>
      </c>
      <c r="H1282" t="s">
        <v>196</v>
      </c>
      <c r="I1282" t="s">
        <v>3490</v>
      </c>
      <c r="J1282" t="s">
        <v>2895</v>
      </c>
    </row>
    <row r="1283" spans="1:10" x14ac:dyDescent="0.25">
      <c r="A1283" t="s">
        <v>1640</v>
      </c>
      <c r="B1283" t="s">
        <v>30</v>
      </c>
      <c r="C1283">
        <v>8</v>
      </c>
      <c r="D1283" t="s">
        <v>3356</v>
      </c>
      <c r="E1283">
        <v>75</v>
      </c>
      <c r="F1283">
        <v>30</v>
      </c>
      <c r="G1283">
        <v>45</v>
      </c>
      <c r="H1283" t="s">
        <v>3494</v>
      </c>
      <c r="I1283" t="s">
        <v>3490</v>
      </c>
      <c r="J1283" t="s">
        <v>2895</v>
      </c>
    </row>
    <row r="1284" spans="1:10" x14ac:dyDescent="0.25">
      <c r="A1284" t="s">
        <v>1640</v>
      </c>
      <c r="B1284" t="s">
        <v>30</v>
      </c>
      <c r="C1284">
        <v>8</v>
      </c>
      <c r="D1284" t="s">
        <v>3358</v>
      </c>
      <c r="E1284">
        <v>53</v>
      </c>
      <c r="F1284">
        <v>15</v>
      </c>
      <c r="G1284">
        <v>38</v>
      </c>
      <c r="H1284" t="s">
        <v>3493</v>
      </c>
      <c r="I1284" t="s">
        <v>3490</v>
      </c>
      <c r="J1284" t="s">
        <v>2895</v>
      </c>
    </row>
    <row r="1285" spans="1:10" x14ac:dyDescent="0.25">
      <c r="A1285" t="s">
        <v>1640</v>
      </c>
      <c r="B1285" t="s">
        <v>30</v>
      </c>
      <c r="C1285">
        <v>8</v>
      </c>
      <c r="D1285" t="s">
        <v>3360</v>
      </c>
      <c r="E1285">
        <v>52</v>
      </c>
      <c r="F1285">
        <v>30</v>
      </c>
      <c r="G1285">
        <v>22</v>
      </c>
      <c r="H1285" t="s">
        <v>3493</v>
      </c>
      <c r="I1285" t="s">
        <v>3490</v>
      </c>
      <c r="J1285" t="s">
        <v>2895</v>
      </c>
    </row>
    <row r="1286" spans="1:10" x14ac:dyDescent="0.25">
      <c r="A1286" t="s">
        <v>1640</v>
      </c>
      <c r="B1286" t="s">
        <v>30</v>
      </c>
      <c r="C1286">
        <v>8</v>
      </c>
      <c r="D1286" t="s">
        <v>3362</v>
      </c>
      <c r="E1286">
        <v>75</v>
      </c>
      <c r="F1286">
        <v>29</v>
      </c>
      <c r="G1286">
        <v>46</v>
      </c>
      <c r="H1286" t="s">
        <v>3494</v>
      </c>
      <c r="I1286" t="s">
        <v>3490</v>
      </c>
      <c r="J1286" t="s">
        <v>2895</v>
      </c>
    </row>
    <row r="1287" spans="1:10" x14ac:dyDescent="0.25">
      <c r="A1287" t="s">
        <v>1646</v>
      </c>
      <c r="B1287" t="s">
        <v>95</v>
      </c>
      <c r="C1287">
        <v>8</v>
      </c>
      <c r="D1287" t="s">
        <v>3234</v>
      </c>
      <c r="E1287">
        <v>68</v>
      </c>
      <c r="F1287">
        <v>30</v>
      </c>
      <c r="G1287">
        <v>38</v>
      </c>
      <c r="H1287" t="s">
        <v>3489</v>
      </c>
      <c r="I1287" t="s">
        <v>3490</v>
      </c>
      <c r="J1287" t="s">
        <v>2889</v>
      </c>
    </row>
    <row r="1288" spans="1:10" x14ac:dyDescent="0.25">
      <c r="A1288" t="s">
        <v>1646</v>
      </c>
      <c r="B1288" t="s">
        <v>95</v>
      </c>
      <c r="C1288">
        <v>8</v>
      </c>
      <c r="D1288" t="s">
        <v>3236</v>
      </c>
      <c r="E1288">
        <v>73</v>
      </c>
      <c r="F1288">
        <v>29</v>
      </c>
      <c r="G1288">
        <v>44</v>
      </c>
      <c r="H1288" t="s">
        <v>3494</v>
      </c>
      <c r="I1288" t="s">
        <v>3490</v>
      </c>
      <c r="J1288" t="s">
        <v>2889</v>
      </c>
    </row>
    <row r="1289" spans="1:10" x14ac:dyDescent="0.25">
      <c r="A1289" t="s">
        <v>1646</v>
      </c>
      <c r="B1289" t="s">
        <v>95</v>
      </c>
      <c r="C1289">
        <v>8</v>
      </c>
      <c r="D1289" t="s">
        <v>3238</v>
      </c>
      <c r="E1289">
        <v>76</v>
      </c>
      <c r="F1289">
        <v>22</v>
      </c>
      <c r="G1289">
        <v>54</v>
      </c>
      <c r="H1289" t="s">
        <v>3494</v>
      </c>
      <c r="I1289" t="s">
        <v>3490</v>
      </c>
      <c r="J1289" t="s">
        <v>2889</v>
      </c>
    </row>
    <row r="1290" spans="1:10" x14ac:dyDescent="0.25">
      <c r="A1290" t="s">
        <v>1646</v>
      </c>
      <c r="B1290" t="s">
        <v>95</v>
      </c>
      <c r="C1290">
        <v>8</v>
      </c>
      <c r="D1290" t="s">
        <v>3240</v>
      </c>
      <c r="E1290">
        <v>83</v>
      </c>
      <c r="F1290">
        <v>17</v>
      </c>
      <c r="G1290">
        <v>66</v>
      </c>
      <c r="H1290" t="s">
        <v>196</v>
      </c>
      <c r="I1290" t="s">
        <v>3490</v>
      </c>
      <c r="J1290" t="s">
        <v>2889</v>
      </c>
    </row>
    <row r="1291" spans="1:10" x14ac:dyDescent="0.25">
      <c r="A1291" t="s">
        <v>1646</v>
      </c>
      <c r="B1291" t="s">
        <v>95</v>
      </c>
      <c r="C1291">
        <v>8</v>
      </c>
      <c r="D1291" t="s">
        <v>3242</v>
      </c>
      <c r="E1291">
        <v>77</v>
      </c>
      <c r="F1291">
        <v>18</v>
      </c>
      <c r="G1291">
        <v>59</v>
      </c>
      <c r="H1291" t="s">
        <v>3494</v>
      </c>
      <c r="I1291" t="s">
        <v>3490</v>
      </c>
      <c r="J1291" t="s">
        <v>2889</v>
      </c>
    </row>
    <row r="1292" spans="1:10" x14ac:dyDescent="0.25">
      <c r="A1292" t="s">
        <v>1651</v>
      </c>
      <c r="B1292" t="s">
        <v>122</v>
      </c>
      <c r="C1292">
        <v>4</v>
      </c>
      <c r="D1292" t="s">
        <v>3274</v>
      </c>
      <c r="E1292">
        <v>44</v>
      </c>
      <c r="F1292">
        <v>23</v>
      </c>
      <c r="G1292">
        <v>21</v>
      </c>
      <c r="H1292" t="s">
        <v>3491</v>
      </c>
      <c r="I1292" t="s">
        <v>3492</v>
      </c>
      <c r="J1292" t="s">
        <v>2919</v>
      </c>
    </row>
    <row r="1293" spans="1:10" x14ac:dyDescent="0.25">
      <c r="A1293" t="s">
        <v>1651</v>
      </c>
      <c r="B1293" t="s">
        <v>122</v>
      </c>
      <c r="C1293">
        <v>4</v>
      </c>
      <c r="D1293" t="s">
        <v>3276</v>
      </c>
      <c r="E1293">
        <v>66</v>
      </c>
      <c r="F1293">
        <v>18</v>
      </c>
      <c r="G1293">
        <v>48</v>
      </c>
      <c r="H1293" t="s">
        <v>3489</v>
      </c>
      <c r="I1293" t="s">
        <v>3490</v>
      </c>
      <c r="J1293" t="s">
        <v>2919</v>
      </c>
    </row>
    <row r="1294" spans="1:10" x14ac:dyDescent="0.25">
      <c r="A1294" t="s">
        <v>1651</v>
      </c>
      <c r="B1294" t="s">
        <v>122</v>
      </c>
      <c r="C1294">
        <v>4</v>
      </c>
      <c r="D1294" t="s">
        <v>3278</v>
      </c>
      <c r="E1294">
        <v>65</v>
      </c>
      <c r="F1294">
        <v>26</v>
      </c>
      <c r="G1294">
        <v>39</v>
      </c>
      <c r="H1294" t="s">
        <v>3489</v>
      </c>
      <c r="I1294" t="s">
        <v>3490</v>
      </c>
      <c r="J1294" t="s">
        <v>2919</v>
      </c>
    </row>
    <row r="1295" spans="1:10" x14ac:dyDescent="0.25">
      <c r="A1295" t="s">
        <v>1651</v>
      </c>
      <c r="B1295" t="s">
        <v>122</v>
      </c>
      <c r="C1295">
        <v>4</v>
      </c>
      <c r="D1295" t="s">
        <v>3280</v>
      </c>
      <c r="E1295">
        <v>38</v>
      </c>
      <c r="F1295">
        <v>14</v>
      </c>
      <c r="G1295">
        <v>24</v>
      </c>
      <c r="H1295" t="s">
        <v>3491</v>
      </c>
      <c r="I1295" t="s">
        <v>3492</v>
      </c>
      <c r="J1295" t="s">
        <v>2919</v>
      </c>
    </row>
    <row r="1296" spans="1:10" x14ac:dyDescent="0.25">
      <c r="A1296" t="s">
        <v>1651</v>
      </c>
      <c r="B1296" t="s">
        <v>122</v>
      </c>
      <c r="C1296">
        <v>4</v>
      </c>
      <c r="D1296" t="s">
        <v>3282</v>
      </c>
      <c r="E1296">
        <v>44</v>
      </c>
      <c r="F1296">
        <v>24</v>
      </c>
      <c r="G1296">
        <v>20</v>
      </c>
      <c r="H1296" t="s">
        <v>3491</v>
      </c>
      <c r="I1296" t="s">
        <v>3492</v>
      </c>
      <c r="J1296" t="s">
        <v>2919</v>
      </c>
    </row>
    <row r="1297" spans="1:10" x14ac:dyDescent="0.25">
      <c r="A1297" t="s">
        <v>1656</v>
      </c>
      <c r="B1297" t="s">
        <v>122</v>
      </c>
      <c r="C1297">
        <v>4</v>
      </c>
      <c r="D1297" t="s">
        <v>3274</v>
      </c>
      <c r="E1297">
        <v>69</v>
      </c>
      <c r="F1297">
        <v>14</v>
      </c>
      <c r="G1297">
        <v>55</v>
      </c>
      <c r="H1297" t="s">
        <v>3489</v>
      </c>
      <c r="I1297" t="s">
        <v>3490</v>
      </c>
      <c r="J1297" t="s">
        <v>2919</v>
      </c>
    </row>
    <row r="1298" spans="1:10" x14ac:dyDescent="0.25">
      <c r="A1298" t="s">
        <v>1656</v>
      </c>
      <c r="B1298" t="s">
        <v>122</v>
      </c>
      <c r="C1298">
        <v>4</v>
      </c>
      <c r="D1298" t="s">
        <v>3276</v>
      </c>
      <c r="E1298">
        <v>46</v>
      </c>
      <c r="F1298">
        <v>20</v>
      </c>
      <c r="G1298">
        <v>26</v>
      </c>
      <c r="H1298" t="s">
        <v>3491</v>
      </c>
      <c r="I1298" t="s">
        <v>3492</v>
      </c>
      <c r="J1298" t="s">
        <v>2919</v>
      </c>
    </row>
    <row r="1299" spans="1:10" x14ac:dyDescent="0.25">
      <c r="A1299" t="s">
        <v>1656</v>
      </c>
      <c r="B1299" t="s">
        <v>122</v>
      </c>
      <c r="C1299">
        <v>4</v>
      </c>
      <c r="D1299" t="s">
        <v>3278</v>
      </c>
      <c r="E1299">
        <v>51</v>
      </c>
      <c r="F1299">
        <v>22</v>
      </c>
      <c r="G1299">
        <v>29</v>
      </c>
      <c r="H1299" t="s">
        <v>3493</v>
      </c>
      <c r="I1299" t="s">
        <v>3490</v>
      </c>
      <c r="J1299" t="s">
        <v>2919</v>
      </c>
    </row>
    <row r="1300" spans="1:10" x14ac:dyDescent="0.25">
      <c r="A1300" t="s">
        <v>1656</v>
      </c>
      <c r="B1300" t="s">
        <v>122</v>
      </c>
      <c r="C1300">
        <v>4</v>
      </c>
      <c r="D1300" t="s">
        <v>3280</v>
      </c>
      <c r="E1300">
        <v>57</v>
      </c>
      <c r="F1300">
        <v>15</v>
      </c>
      <c r="G1300">
        <v>42</v>
      </c>
      <c r="H1300" t="s">
        <v>3493</v>
      </c>
      <c r="I1300" t="s">
        <v>3490</v>
      </c>
      <c r="J1300" t="s">
        <v>2919</v>
      </c>
    </row>
    <row r="1301" spans="1:10" x14ac:dyDescent="0.25">
      <c r="A1301" t="s">
        <v>1656</v>
      </c>
      <c r="B1301" t="s">
        <v>122</v>
      </c>
      <c r="C1301">
        <v>4</v>
      </c>
      <c r="D1301" t="s">
        <v>3282</v>
      </c>
      <c r="E1301">
        <v>96</v>
      </c>
      <c r="F1301">
        <v>28</v>
      </c>
      <c r="G1301">
        <v>68</v>
      </c>
      <c r="H1301" t="s">
        <v>3495</v>
      </c>
      <c r="I1301" t="s">
        <v>3490</v>
      </c>
      <c r="J1301" t="s">
        <v>2919</v>
      </c>
    </row>
    <row r="1302" spans="1:10" x14ac:dyDescent="0.25">
      <c r="A1302" t="s">
        <v>1661</v>
      </c>
      <c r="B1302" t="s">
        <v>212</v>
      </c>
      <c r="C1302">
        <v>8</v>
      </c>
      <c r="D1302" t="s">
        <v>3474</v>
      </c>
      <c r="E1302">
        <v>77</v>
      </c>
      <c r="F1302">
        <v>17</v>
      </c>
      <c r="G1302">
        <v>60</v>
      </c>
      <c r="H1302" t="s">
        <v>3494</v>
      </c>
      <c r="I1302" t="s">
        <v>3490</v>
      </c>
      <c r="J1302" t="s">
        <v>3001</v>
      </c>
    </row>
    <row r="1303" spans="1:10" x14ac:dyDescent="0.25">
      <c r="A1303" t="s">
        <v>1661</v>
      </c>
      <c r="B1303" t="s">
        <v>212</v>
      </c>
      <c r="C1303">
        <v>8</v>
      </c>
      <c r="D1303" t="s">
        <v>3476</v>
      </c>
      <c r="E1303">
        <v>60</v>
      </c>
      <c r="F1303">
        <v>23</v>
      </c>
      <c r="G1303">
        <v>37</v>
      </c>
      <c r="H1303" t="s">
        <v>3489</v>
      </c>
      <c r="I1303" t="s">
        <v>3490</v>
      </c>
      <c r="J1303" t="s">
        <v>3001</v>
      </c>
    </row>
    <row r="1304" spans="1:10" x14ac:dyDescent="0.25">
      <c r="A1304" t="s">
        <v>1661</v>
      </c>
      <c r="B1304" t="s">
        <v>212</v>
      </c>
      <c r="C1304">
        <v>8</v>
      </c>
      <c r="D1304" t="s">
        <v>3478</v>
      </c>
      <c r="E1304">
        <v>81</v>
      </c>
      <c r="F1304">
        <v>27</v>
      </c>
      <c r="G1304">
        <v>54</v>
      </c>
      <c r="H1304" t="s">
        <v>196</v>
      </c>
      <c r="I1304" t="s">
        <v>3490</v>
      </c>
      <c r="J1304" t="s">
        <v>3001</v>
      </c>
    </row>
    <row r="1305" spans="1:10" x14ac:dyDescent="0.25">
      <c r="A1305" t="s">
        <v>1661</v>
      </c>
      <c r="B1305" t="s">
        <v>212</v>
      </c>
      <c r="C1305">
        <v>8</v>
      </c>
      <c r="D1305" t="s">
        <v>3480</v>
      </c>
      <c r="E1305">
        <v>34</v>
      </c>
      <c r="F1305">
        <v>14</v>
      </c>
      <c r="G1305">
        <v>20</v>
      </c>
      <c r="H1305" t="s">
        <v>3491</v>
      </c>
      <c r="I1305" t="s">
        <v>3492</v>
      </c>
      <c r="J1305" t="s">
        <v>3001</v>
      </c>
    </row>
    <row r="1306" spans="1:10" x14ac:dyDescent="0.25">
      <c r="A1306" t="s">
        <v>1661</v>
      </c>
      <c r="B1306" t="s">
        <v>212</v>
      </c>
      <c r="C1306">
        <v>8</v>
      </c>
      <c r="D1306" t="s">
        <v>3482</v>
      </c>
      <c r="E1306">
        <v>82</v>
      </c>
      <c r="F1306">
        <v>26</v>
      </c>
      <c r="G1306">
        <v>56</v>
      </c>
      <c r="H1306" t="s">
        <v>196</v>
      </c>
      <c r="I1306" t="s">
        <v>3490</v>
      </c>
      <c r="J1306" t="s">
        <v>3001</v>
      </c>
    </row>
    <row r="1307" spans="1:10" x14ac:dyDescent="0.25">
      <c r="A1307" t="s">
        <v>1666</v>
      </c>
      <c r="B1307" t="s">
        <v>105</v>
      </c>
      <c r="C1307">
        <v>4</v>
      </c>
      <c r="D1307" t="s">
        <v>3154</v>
      </c>
      <c r="E1307">
        <v>54</v>
      </c>
      <c r="F1307">
        <v>17</v>
      </c>
      <c r="G1307">
        <v>37</v>
      </c>
      <c r="H1307" t="s">
        <v>3493</v>
      </c>
      <c r="I1307" t="s">
        <v>3490</v>
      </c>
      <c r="J1307" t="s">
        <v>2908</v>
      </c>
    </row>
    <row r="1308" spans="1:10" x14ac:dyDescent="0.25">
      <c r="A1308" t="s">
        <v>1666</v>
      </c>
      <c r="B1308" t="s">
        <v>105</v>
      </c>
      <c r="C1308">
        <v>4</v>
      </c>
      <c r="D1308" t="s">
        <v>3156</v>
      </c>
      <c r="E1308">
        <v>72</v>
      </c>
      <c r="F1308">
        <v>27</v>
      </c>
      <c r="G1308">
        <v>45</v>
      </c>
      <c r="H1308" t="s">
        <v>3494</v>
      </c>
      <c r="I1308" t="s">
        <v>3490</v>
      </c>
      <c r="J1308" t="s">
        <v>2908</v>
      </c>
    </row>
    <row r="1309" spans="1:10" x14ac:dyDescent="0.25">
      <c r="A1309" t="s">
        <v>1666</v>
      </c>
      <c r="B1309" t="s">
        <v>105</v>
      </c>
      <c r="C1309">
        <v>4</v>
      </c>
      <c r="D1309" t="s">
        <v>3158</v>
      </c>
      <c r="E1309">
        <v>91</v>
      </c>
      <c r="F1309">
        <v>27</v>
      </c>
      <c r="G1309">
        <v>64</v>
      </c>
      <c r="H1309" t="s">
        <v>3495</v>
      </c>
      <c r="I1309" t="s">
        <v>3490</v>
      </c>
      <c r="J1309" t="s">
        <v>2908</v>
      </c>
    </row>
    <row r="1310" spans="1:10" x14ac:dyDescent="0.25">
      <c r="A1310" t="s">
        <v>1666</v>
      </c>
      <c r="B1310" t="s">
        <v>105</v>
      </c>
      <c r="C1310">
        <v>4</v>
      </c>
      <c r="D1310" t="s">
        <v>3160</v>
      </c>
      <c r="E1310">
        <v>60</v>
      </c>
      <c r="F1310">
        <v>26</v>
      </c>
      <c r="G1310">
        <v>34</v>
      </c>
      <c r="H1310" t="s">
        <v>3489</v>
      </c>
      <c r="I1310" t="s">
        <v>3490</v>
      </c>
      <c r="J1310" t="s">
        <v>2908</v>
      </c>
    </row>
    <row r="1311" spans="1:10" x14ac:dyDescent="0.25">
      <c r="A1311" t="s">
        <v>1666</v>
      </c>
      <c r="B1311" t="s">
        <v>105</v>
      </c>
      <c r="C1311">
        <v>4</v>
      </c>
      <c r="D1311" t="s">
        <v>3162</v>
      </c>
      <c r="E1311">
        <v>51</v>
      </c>
      <c r="F1311">
        <v>29</v>
      </c>
      <c r="G1311">
        <v>22</v>
      </c>
      <c r="H1311" t="s">
        <v>3493</v>
      </c>
      <c r="I1311" t="s">
        <v>3490</v>
      </c>
      <c r="J1311" t="s">
        <v>2908</v>
      </c>
    </row>
    <row r="1312" spans="1:10" x14ac:dyDescent="0.25">
      <c r="A1312" t="s">
        <v>1672</v>
      </c>
      <c r="B1312" t="s">
        <v>95</v>
      </c>
      <c r="C1312">
        <v>4</v>
      </c>
      <c r="D1312" t="s">
        <v>3214</v>
      </c>
      <c r="E1312">
        <v>51</v>
      </c>
      <c r="F1312">
        <v>23</v>
      </c>
      <c r="G1312">
        <v>28</v>
      </c>
      <c r="H1312" t="s">
        <v>3493</v>
      </c>
      <c r="I1312" t="s">
        <v>3490</v>
      </c>
      <c r="J1312" t="s">
        <v>2889</v>
      </c>
    </row>
    <row r="1313" spans="1:10" x14ac:dyDescent="0.25">
      <c r="A1313" t="s">
        <v>1672</v>
      </c>
      <c r="B1313" t="s">
        <v>95</v>
      </c>
      <c r="C1313">
        <v>4</v>
      </c>
      <c r="D1313" t="s">
        <v>3216</v>
      </c>
      <c r="E1313">
        <v>63</v>
      </c>
      <c r="F1313">
        <v>18</v>
      </c>
      <c r="G1313">
        <v>45</v>
      </c>
      <c r="H1313" t="s">
        <v>3489</v>
      </c>
      <c r="I1313" t="s">
        <v>3490</v>
      </c>
      <c r="J1313" t="s">
        <v>2889</v>
      </c>
    </row>
    <row r="1314" spans="1:10" x14ac:dyDescent="0.25">
      <c r="A1314" t="s">
        <v>1672</v>
      </c>
      <c r="B1314" t="s">
        <v>95</v>
      </c>
      <c r="C1314">
        <v>4</v>
      </c>
      <c r="D1314" t="s">
        <v>3218</v>
      </c>
      <c r="E1314">
        <v>54</v>
      </c>
      <c r="F1314">
        <v>25</v>
      </c>
      <c r="G1314">
        <v>29</v>
      </c>
      <c r="H1314" t="s">
        <v>3493</v>
      </c>
      <c r="I1314" t="s">
        <v>3490</v>
      </c>
      <c r="J1314" t="s">
        <v>2889</v>
      </c>
    </row>
    <row r="1315" spans="1:10" x14ac:dyDescent="0.25">
      <c r="A1315" t="s">
        <v>1672</v>
      </c>
      <c r="B1315" t="s">
        <v>95</v>
      </c>
      <c r="C1315">
        <v>4</v>
      </c>
      <c r="D1315" t="s">
        <v>3220</v>
      </c>
      <c r="E1315">
        <v>74</v>
      </c>
      <c r="F1315">
        <v>26</v>
      </c>
      <c r="G1315">
        <v>48</v>
      </c>
      <c r="H1315" t="s">
        <v>3494</v>
      </c>
      <c r="I1315" t="s">
        <v>3490</v>
      </c>
      <c r="J1315" t="s">
        <v>2889</v>
      </c>
    </row>
    <row r="1316" spans="1:10" x14ac:dyDescent="0.25">
      <c r="A1316" t="s">
        <v>1672</v>
      </c>
      <c r="B1316" t="s">
        <v>95</v>
      </c>
      <c r="C1316">
        <v>4</v>
      </c>
      <c r="D1316" t="s">
        <v>3222</v>
      </c>
      <c r="E1316">
        <v>85</v>
      </c>
      <c r="F1316">
        <v>29</v>
      </c>
      <c r="G1316">
        <v>56</v>
      </c>
      <c r="H1316" t="s">
        <v>196</v>
      </c>
      <c r="I1316" t="s">
        <v>3490</v>
      </c>
      <c r="J1316" t="s">
        <v>2889</v>
      </c>
    </row>
    <row r="1317" spans="1:10" x14ac:dyDescent="0.25">
      <c r="A1317" t="s">
        <v>1678</v>
      </c>
      <c r="B1317" t="s">
        <v>30</v>
      </c>
      <c r="C1317">
        <v>4</v>
      </c>
      <c r="D1317" t="s">
        <v>3334</v>
      </c>
      <c r="E1317">
        <v>59</v>
      </c>
      <c r="F1317">
        <v>12</v>
      </c>
      <c r="G1317">
        <v>47</v>
      </c>
      <c r="H1317" t="s">
        <v>3493</v>
      </c>
      <c r="I1317" t="s">
        <v>3490</v>
      </c>
      <c r="J1317" t="s">
        <v>2895</v>
      </c>
    </row>
    <row r="1318" spans="1:10" x14ac:dyDescent="0.25">
      <c r="A1318" t="s">
        <v>1678</v>
      </c>
      <c r="B1318" t="s">
        <v>30</v>
      </c>
      <c r="C1318">
        <v>4</v>
      </c>
      <c r="D1318" t="s">
        <v>3336</v>
      </c>
      <c r="E1318">
        <v>69</v>
      </c>
      <c r="F1318">
        <v>10</v>
      </c>
      <c r="G1318">
        <v>59</v>
      </c>
      <c r="H1318" t="s">
        <v>3489</v>
      </c>
      <c r="I1318" t="s">
        <v>3490</v>
      </c>
      <c r="J1318" t="s">
        <v>2895</v>
      </c>
    </row>
    <row r="1319" spans="1:10" x14ac:dyDescent="0.25">
      <c r="A1319" t="s">
        <v>1678</v>
      </c>
      <c r="B1319" t="s">
        <v>30</v>
      </c>
      <c r="C1319">
        <v>4</v>
      </c>
      <c r="D1319" t="s">
        <v>3338</v>
      </c>
      <c r="E1319">
        <v>37</v>
      </c>
      <c r="F1319">
        <v>12</v>
      </c>
      <c r="G1319">
        <v>25</v>
      </c>
      <c r="H1319" t="s">
        <v>3491</v>
      </c>
      <c r="I1319" t="s">
        <v>3492</v>
      </c>
      <c r="J1319" t="s">
        <v>2895</v>
      </c>
    </row>
    <row r="1320" spans="1:10" x14ac:dyDescent="0.25">
      <c r="A1320" t="s">
        <v>1678</v>
      </c>
      <c r="B1320" t="s">
        <v>30</v>
      </c>
      <c r="C1320">
        <v>4</v>
      </c>
      <c r="D1320" t="s">
        <v>3340</v>
      </c>
      <c r="E1320">
        <v>43</v>
      </c>
      <c r="F1320">
        <v>19</v>
      </c>
      <c r="G1320">
        <v>24</v>
      </c>
      <c r="H1320" t="s">
        <v>3491</v>
      </c>
      <c r="I1320" t="s">
        <v>3492</v>
      </c>
      <c r="J1320" t="s">
        <v>2895</v>
      </c>
    </row>
    <row r="1321" spans="1:10" x14ac:dyDescent="0.25">
      <c r="A1321" t="s">
        <v>1678</v>
      </c>
      <c r="B1321" t="s">
        <v>30</v>
      </c>
      <c r="C1321">
        <v>4</v>
      </c>
      <c r="D1321" t="s">
        <v>3342</v>
      </c>
      <c r="E1321">
        <v>43</v>
      </c>
      <c r="F1321">
        <v>16</v>
      </c>
      <c r="G1321">
        <v>27</v>
      </c>
      <c r="H1321" t="s">
        <v>3491</v>
      </c>
      <c r="I1321" t="s">
        <v>3492</v>
      </c>
      <c r="J1321" t="s">
        <v>2895</v>
      </c>
    </row>
    <row r="1322" spans="1:10" x14ac:dyDescent="0.25">
      <c r="A1322" t="s">
        <v>1684</v>
      </c>
      <c r="B1322" t="s">
        <v>105</v>
      </c>
      <c r="C1322">
        <v>8</v>
      </c>
      <c r="D1322" t="s">
        <v>3174</v>
      </c>
      <c r="E1322">
        <v>96</v>
      </c>
      <c r="F1322">
        <v>28</v>
      </c>
      <c r="G1322">
        <v>68</v>
      </c>
      <c r="H1322" t="s">
        <v>3495</v>
      </c>
      <c r="I1322" t="s">
        <v>3490</v>
      </c>
      <c r="J1322" t="s">
        <v>2908</v>
      </c>
    </row>
    <row r="1323" spans="1:10" x14ac:dyDescent="0.25">
      <c r="A1323" t="s">
        <v>1684</v>
      </c>
      <c r="B1323" t="s">
        <v>105</v>
      </c>
      <c r="C1323">
        <v>8</v>
      </c>
      <c r="D1323" t="s">
        <v>3176</v>
      </c>
      <c r="E1323">
        <v>59</v>
      </c>
      <c r="F1323">
        <v>17</v>
      </c>
      <c r="G1323">
        <v>42</v>
      </c>
      <c r="H1323" t="s">
        <v>3493</v>
      </c>
      <c r="I1323" t="s">
        <v>3490</v>
      </c>
      <c r="J1323" t="s">
        <v>2908</v>
      </c>
    </row>
    <row r="1324" spans="1:10" x14ac:dyDescent="0.25">
      <c r="A1324" t="s">
        <v>1684</v>
      </c>
      <c r="B1324" t="s">
        <v>105</v>
      </c>
      <c r="C1324">
        <v>8</v>
      </c>
      <c r="D1324" t="s">
        <v>3178</v>
      </c>
      <c r="E1324">
        <v>89</v>
      </c>
      <c r="F1324">
        <v>29</v>
      </c>
      <c r="G1324">
        <v>60</v>
      </c>
      <c r="H1324" t="s">
        <v>196</v>
      </c>
      <c r="I1324" t="s">
        <v>3490</v>
      </c>
      <c r="J1324" t="s">
        <v>2908</v>
      </c>
    </row>
    <row r="1325" spans="1:10" x14ac:dyDescent="0.25">
      <c r="A1325" t="s">
        <v>1684</v>
      </c>
      <c r="B1325" t="s">
        <v>105</v>
      </c>
      <c r="C1325">
        <v>8</v>
      </c>
      <c r="D1325" t="s">
        <v>3180</v>
      </c>
      <c r="E1325">
        <v>48</v>
      </c>
      <c r="F1325">
        <v>15</v>
      </c>
      <c r="G1325">
        <v>33</v>
      </c>
      <c r="H1325" t="s">
        <v>3491</v>
      </c>
      <c r="I1325" t="s">
        <v>3492</v>
      </c>
      <c r="J1325" t="s">
        <v>2908</v>
      </c>
    </row>
    <row r="1326" spans="1:10" x14ac:dyDescent="0.25">
      <c r="A1326" t="s">
        <v>1684</v>
      </c>
      <c r="B1326" t="s">
        <v>105</v>
      </c>
      <c r="C1326">
        <v>8</v>
      </c>
      <c r="D1326" t="s">
        <v>3182</v>
      </c>
      <c r="E1326">
        <v>49</v>
      </c>
      <c r="F1326">
        <v>23</v>
      </c>
      <c r="G1326">
        <v>26</v>
      </c>
      <c r="H1326" t="s">
        <v>3491</v>
      </c>
      <c r="I1326" t="s">
        <v>3492</v>
      </c>
      <c r="J1326" t="s">
        <v>2908</v>
      </c>
    </row>
    <row r="1327" spans="1:10" x14ac:dyDescent="0.25">
      <c r="A1327" t="s">
        <v>1689</v>
      </c>
      <c r="B1327" t="s">
        <v>212</v>
      </c>
      <c r="C1327">
        <v>6</v>
      </c>
      <c r="D1327" t="s">
        <v>3474</v>
      </c>
      <c r="E1327">
        <v>50</v>
      </c>
      <c r="F1327">
        <v>17</v>
      </c>
      <c r="G1327">
        <v>33</v>
      </c>
      <c r="H1327" t="s">
        <v>3493</v>
      </c>
      <c r="I1327" t="s">
        <v>3490</v>
      </c>
      <c r="J1327" t="s">
        <v>3001</v>
      </c>
    </row>
    <row r="1328" spans="1:10" x14ac:dyDescent="0.25">
      <c r="A1328" t="s">
        <v>1689</v>
      </c>
      <c r="B1328" t="s">
        <v>212</v>
      </c>
      <c r="C1328">
        <v>6</v>
      </c>
      <c r="D1328" t="s">
        <v>3476</v>
      </c>
      <c r="E1328">
        <v>91</v>
      </c>
      <c r="F1328">
        <v>25</v>
      </c>
      <c r="G1328">
        <v>66</v>
      </c>
      <c r="H1328" t="s">
        <v>3495</v>
      </c>
      <c r="I1328" t="s">
        <v>3490</v>
      </c>
      <c r="J1328" t="s">
        <v>3001</v>
      </c>
    </row>
    <row r="1329" spans="1:10" x14ac:dyDescent="0.25">
      <c r="A1329" t="s">
        <v>1689</v>
      </c>
      <c r="B1329" t="s">
        <v>212</v>
      </c>
      <c r="C1329">
        <v>6</v>
      </c>
      <c r="D1329" t="s">
        <v>3478</v>
      </c>
      <c r="E1329">
        <v>43</v>
      </c>
      <c r="F1329">
        <v>23</v>
      </c>
      <c r="G1329">
        <v>20</v>
      </c>
      <c r="H1329" t="s">
        <v>3491</v>
      </c>
      <c r="I1329" t="s">
        <v>3492</v>
      </c>
      <c r="J1329" t="s">
        <v>3001</v>
      </c>
    </row>
    <row r="1330" spans="1:10" x14ac:dyDescent="0.25">
      <c r="A1330" t="s">
        <v>1689</v>
      </c>
      <c r="B1330" t="s">
        <v>212</v>
      </c>
      <c r="C1330">
        <v>6</v>
      </c>
      <c r="D1330" t="s">
        <v>3480</v>
      </c>
      <c r="E1330">
        <v>51</v>
      </c>
      <c r="F1330">
        <v>20</v>
      </c>
      <c r="G1330">
        <v>31</v>
      </c>
      <c r="H1330" t="s">
        <v>3493</v>
      </c>
      <c r="I1330" t="s">
        <v>3490</v>
      </c>
      <c r="J1330" t="s">
        <v>3001</v>
      </c>
    </row>
    <row r="1331" spans="1:10" x14ac:dyDescent="0.25">
      <c r="A1331" t="s">
        <v>1689</v>
      </c>
      <c r="B1331" t="s">
        <v>212</v>
      </c>
      <c r="C1331">
        <v>6</v>
      </c>
      <c r="D1331" t="s">
        <v>3482</v>
      </c>
      <c r="E1331">
        <v>39</v>
      </c>
      <c r="F1331">
        <v>17</v>
      </c>
      <c r="G1331">
        <v>22</v>
      </c>
      <c r="H1331" t="s">
        <v>3491</v>
      </c>
      <c r="I1331" t="s">
        <v>3492</v>
      </c>
      <c r="J1331" t="s">
        <v>3001</v>
      </c>
    </row>
    <row r="1332" spans="1:10" x14ac:dyDescent="0.25">
      <c r="A1332" t="s">
        <v>1694</v>
      </c>
      <c r="B1332" t="s">
        <v>95</v>
      </c>
      <c r="C1332">
        <v>8</v>
      </c>
      <c r="D1332" t="s">
        <v>3234</v>
      </c>
      <c r="E1332">
        <v>58</v>
      </c>
      <c r="F1332">
        <v>18</v>
      </c>
      <c r="G1332">
        <v>40</v>
      </c>
      <c r="H1332" t="s">
        <v>3493</v>
      </c>
      <c r="I1332" t="s">
        <v>3490</v>
      </c>
      <c r="J1332" t="s">
        <v>2889</v>
      </c>
    </row>
    <row r="1333" spans="1:10" x14ac:dyDescent="0.25">
      <c r="A1333" t="s">
        <v>1694</v>
      </c>
      <c r="B1333" t="s">
        <v>95</v>
      </c>
      <c r="C1333">
        <v>8</v>
      </c>
      <c r="D1333" t="s">
        <v>3236</v>
      </c>
      <c r="E1333">
        <v>79</v>
      </c>
      <c r="F1333">
        <v>27</v>
      </c>
      <c r="G1333">
        <v>52</v>
      </c>
      <c r="H1333" t="s">
        <v>3494</v>
      </c>
      <c r="I1333" t="s">
        <v>3490</v>
      </c>
      <c r="J1333" t="s">
        <v>2889</v>
      </c>
    </row>
    <row r="1334" spans="1:10" x14ac:dyDescent="0.25">
      <c r="A1334" t="s">
        <v>1694</v>
      </c>
      <c r="B1334" t="s">
        <v>95</v>
      </c>
      <c r="C1334">
        <v>8</v>
      </c>
      <c r="D1334" t="s">
        <v>3238</v>
      </c>
      <c r="E1334">
        <v>58</v>
      </c>
      <c r="F1334">
        <v>13</v>
      </c>
      <c r="G1334">
        <v>45</v>
      </c>
      <c r="H1334" t="s">
        <v>3493</v>
      </c>
      <c r="I1334" t="s">
        <v>3490</v>
      </c>
      <c r="J1334" t="s">
        <v>2889</v>
      </c>
    </row>
    <row r="1335" spans="1:10" x14ac:dyDescent="0.25">
      <c r="A1335" t="s">
        <v>1694</v>
      </c>
      <c r="B1335" t="s">
        <v>95</v>
      </c>
      <c r="C1335">
        <v>8</v>
      </c>
      <c r="D1335" t="s">
        <v>3240</v>
      </c>
      <c r="E1335">
        <v>89</v>
      </c>
      <c r="F1335">
        <v>20</v>
      </c>
      <c r="G1335">
        <v>69</v>
      </c>
      <c r="H1335" t="s">
        <v>196</v>
      </c>
      <c r="I1335" t="s">
        <v>3490</v>
      </c>
      <c r="J1335" t="s">
        <v>2889</v>
      </c>
    </row>
    <row r="1336" spans="1:10" x14ac:dyDescent="0.25">
      <c r="A1336" t="s">
        <v>1694</v>
      </c>
      <c r="B1336" t="s">
        <v>95</v>
      </c>
      <c r="C1336">
        <v>8</v>
      </c>
      <c r="D1336" t="s">
        <v>3242</v>
      </c>
      <c r="E1336">
        <v>40</v>
      </c>
      <c r="F1336">
        <v>10</v>
      </c>
      <c r="G1336">
        <v>30</v>
      </c>
      <c r="H1336" t="s">
        <v>3491</v>
      </c>
      <c r="I1336" t="s">
        <v>3492</v>
      </c>
      <c r="J1336" t="s">
        <v>2889</v>
      </c>
    </row>
    <row r="1337" spans="1:10" x14ac:dyDescent="0.25">
      <c r="A1337" t="s">
        <v>1700</v>
      </c>
      <c r="B1337" t="s">
        <v>95</v>
      </c>
      <c r="C1337">
        <v>8</v>
      </c>
      <c r="D1337" t="s">
        <v>3234</v>
      </c>
      <c r="E1337">
        <v>58</v>
      </c>
      <c r="F1337">
        <v>21</v>
      </c>
      <c r="G1337">
        <v>37</v>
      </c>
      <c r="H1337" t="s">
        <v>3493</v>
      </c>
      <c r="I1337" t="s">
        <v>3490</v>
      </c>
      <c r="J1337" t="s">
        <v>2889</v>
      </c>
    </row>
    <row r="1338" spans="1:10" x14ac:dyDescent="0.25">
      <c r="A1338" t="s">
        <v>1700</v>
      </c>
      <c r="B1338" t="s">
        <v>95</v>
      </c>
      <c r="C1338">
        <v>8</v>
      </c>
      <c r="D1338" t="s">
        <v>3236</v>
      </c>
      <c r="E1338">
        <v>70</v>
      </c>
      <c r="F1338">
        <v>19</v>
      </c>
      <c r="G1338">
        <v>51</v>
      </c>
      <c r="H1338" t="s">
        <v>3494</v>
      </c>
      <c r="I1338" t="s">
        <v>3490</v>
      </c>
      <c r="J1338" t="s">
        <v>2889</v>
      </c>
    </row>
    <row r="1339" spans="1:10" x14ac:dyDescent="0.25">
      <c r="A1339" t="s">
        <v>1700</v>
      </c>
      <c r="B1339" t="s">
        <v>95</v>
      </c>
      <c r="C1339">
        <v>8</v>
      </c>
      <c r="D1339" t="s">
        <v>3238</v>
      </c>
      <c r="E1339">
        <v>50</v>
      </c>
      <c r="F1339">
        <v>14</v>
      </c>
      <c r="G1339">
        <v>36</v>
      </c>
      <c r="H1339" t="s">
        <v>3493</v>
      </c>
      <c r="I1339" t="s">
        <v>3490</v>
      </c>
      <c r="J1339" t="s">
        <v>2889</v>
      </c>
    </row>
    <row r="1340" spans="1:10" x14ac:dyDescent="0.25">
      <c r="A1340" t="s">
        <v>1700</v>
      </c>
      <c r="B1340" t="s">
        <v>95</v>
      </c>
      <c r="C1340">
        <v>8</v>
      </c>
      <c r="D1340" t="s">
        <v>3240</v>
      </c>
      <c r="E1340">
        <v>72</v>
      </c>
      <c r="F1340">
        <v>13</v>
      </c>
      <c r="G1340">
        <v>59</v>
      </c>
      <c r="H1340" t="s">
        <v>3494</v>
      </c>
      <c r="I1340" t="s">
        <v>3490</v>
      </c>
      <c r="J1340" t="s">
        <v>2889</v>
      </c>
    </row>
    <row r="1341" spans="1:10" x14ac:dyDescent="0.25">
      <c r="A1341" t="s">
        <v>1700</v>
      </c>
      <c r="B1341" t="s">
        <v>95</v>
      </c>
      <c r="C1341">
        <v>8</v>
      </c>
      <c r="D1341" t="s">
        <v>3242</v>
      </c>
      <c r="E1341">
        <v>60</v>
      </c>
      <c r="F1341">
        <v>13</v>
      </c>
      <c r="G1341">
        <v>47</v>
      </c>
      <c r="H1341" t="s">
        <v>3489</v>
      </c>
      <c r="I1341" t="s">
        <v>3490</v>
      </c>
      <c r="J1341" t="s">
        <v>2889</v>
      </c>
    </row>
    <row r="1342" spans="1:10" x14ac:dyDescent="0.25">
      <c r="A1342" t="s">
        <v>1705</v>
      </c>
      <c r="B1342" t="s">
        <v>95</v>
      </c>
      <c r="C1342">
        <v>8</v>
      </c>
      <c r="D1342" t="s">
        <v>3234</v>
      </c>
      <c r="E1342">
        <v>81</v>
      </c>
      <c r="F1342">
        <v>20</v>
      </c>
      <c r="G1342">
        <v>61</v>
      </c>
      <c r="H1342" t="s">
        <v>196</v>
      </c>
      <c r="I1342" t="s">
        <v>3490</v>
      </c>
      <c r="J1342" t="s">
        <v>2889</v>
      </c>
    </row>
    <row r="1343" spans="1:10" x14ac:dyDescent="0.25">
      <c r="A1343" t="s">
        <v>1705</v>
      </c>
      <c r="B1343" t="s">
        <v>95</v>
      </c>
      <c r="C1343">
        <v>8</v>
      </c>
      <c r="D1343" t="s">
        <v>3236</v>
      </c>
      <c r="E1343">
        <v>43</v>
      </c>
      <c r="F1343">
        <v>11</v>
      </c>
      <c r="G1343">
        <v>32</v>
      </c>
      <c r="H1343" t="s">
        <v>3491</v>
      </c>
      <c r="I1343" t="s">
        <v>3492</v>
      </c>
      <c r="J1343" t="s">
        <v>2889</v>
      </c>
    </row>
    <row r="1344" spans="1:10" x14ac:dyDescent="0.25">
      <c r="A1344" t="s">
        <v>1705</v>
      </c>
      <c r="B1344" t="s">
        <v>95</v>
      </c>
      <c r="C1344">
        <v>8</v>
      </c>
      <c r="D1344" t="s">
        <v>3238</v>
      </c>
      <c r="E1344">
        <v>56</v>
      </c>
      <c r="F1344">
        <v>19</v>
      </c>
      <c r="G1344">
        <v>37</v>
      </c>
      <c r="H1344" t="s">
        <v>3493</v>
      </c>
      <c r="I1344" t="s">
        <v>3490</v>
      </c>
      <c r="J1344" t="s">
        <v>2889</v>
      </c>
    </row>
    <row r="1345" spans="1:10" x14ac:dyDescent="0.25">
      <c r="A1345" t="s">
        <v>1705</v>
      </c>
      <c r="B1345" t="s">
        <v>95</v>
      </c>
      <c r="C1345">
        <v>8</v>
      </c>
      <c r="D1345" t="s">
        <v>3240</v>
      </c>
      <c r="E1345">
        <v>80</v>
      </c>
      <c r="F1345">
        <v>10</v>
      </c>
      <c r="G1345">
        <v>70</v>
      </c>
      <c r="H1345" t="s">
        <v>196</v>
      </c>
      <c r="I1345" t="s">
        <v>3490</v>
      </c>
      <c r="J1345" t="s">
        <v>2889</v>
      </c>
    </row>
    <row r="1346" spans="1:10" x14ac:dyDescent="0.25">
      <c r="A1346" t="s">
        <v>1705</v>
      </c>
      <c r="B1346" t="s">
        <v>95</v>
      </c>
      <c r="C1346">
        <v>8</v>
      </c>
      <c r="D1346" t="s">
        <v>3242</v>
      </c>
      <c r="E1346">
        <v>74</v>
      </c>
      <c r="F1346">
        <v>28</v>
      </c>
      <c r="G1346">
        <v>46</v>
      </c>
      <c r="H1346" t="s">
        <v>3494</v>
      </c>
      <c r="I1346" t="s">
        <v>3490</v>
      </c>
      <c r="J1346" t="s">
        <v>2889</v>
      </c>
    </row>
    <row r="1347" spans="1:10" x14ac:dyDescent="0.25">
      <c r="A1347" t="s">
        <v>1710</v>
      </c>
      <c r="B1347" t="s">
        <v>122</v>
      </c>
      <c r="C1347">
        <v>8</v>
      </c>
      <c r="D1347" t="s">
        <v>3294</v>
      </c>
      <c r="E1347">
        <v>46</v>
      </c>
      <c r="F1347">
        <v>22</v>
      </c>
      <c r="G1347">
        <v>24</v>
      </c>
      <c r="H1347" t="s">
        <v>3491</v>
      </c>
      <c r="I1347" t="s">
        <v>3492</v>
      </c>
      <c r="J1347" t="s">
        <v>2919</v>
      </c>
    </row>
    <row r="1348" spans="1:10" x14ac:dyDescent="0.25">
      <c r="A1348" t="s">
        <v>1710</v>
      </c>
      <c r="B1348" t="s">
        <v>122</v>
      </c>
      <c r="C1348">
        <v>8</v>
      </c>
      <c r="D1348" t="s">
        <v>3296</v>
      </c>
      <c r="E1348">
        <v>93</v>
      </c>
      <c r="F1348">
        <v>25</v>
      </c>
      <c r="G1348">
        <v>68</v>
      </c>
      <c r="H1348" t="s">
        <v>3495</v>
      </c>
      <c r="I1348" t="s">
        <v>3490</v>
      </c>
      <c r="J1348" t="s">
        <v>2919</v>
      </c>
    </row>
    <row r="1349" spans="1:10" x14ac:dyDescent="0.25">
      <c r="A1349" t="s">
        <v>1710</v>
      </c>
      <c r="B1349" t="s">
        <v>122</v>
      </c>
      <c r="C1349">
        <v>8</v>
      </c>
      <c r="D1349" t="s">
        <v>3298</v>
      </c>
      <c r="E1349">
        <v>92</v>
      </c>
      <c r="F1349">
        <v>25</v>
      </c>
      <c r="G1349">
        <v>67</v>
      </c>
      <c r="H1349" t="s">
        <v>3495</v>
      </c>
      <c r="I1349" t="s">
        <v>3490</v>
      </c>
      <c r="J1349" t="s">
        <v>2919</v>
      </c>
    </row>
    <row r="1350" spans="1:10" x14ac:dyDescent="0.25">
      <c r="A1350" t="s">
        <v>1710</v>
      </c>
      <c r="B1350" t="s">
        <v>122</v>
      </c>
      <c r="C1350">
        <v>8</v>
      </c>
      <c r="D1350" t="s">
        <v>3300</v>
      </c>
      <c r="E1350">
        <v>81</v>
      </c>
      <c r="F1350">
        <v>12</v>
      </c>
      <c r="G1350">
        <v>69</v>
      </c>
      <c r="H1350" t="s">
        <v>196</v>
      </c>
      <c r="I1350" t="s">
        <v>3490</v>
      </c>
      <c r="J1350" t="s">
        <v>2919</v>
      </c>
    </row>
    <row r="1351" spans="1:10" x14ac:dyDescent="0.25">
      <c r="A1351" t="s">
        <v>1710</v>
      </c>
      <c r="B1351" t="s">
        <v>122</v>
      </c>
      <c r="C1351">
        <v>8</v>
      </c>
      <c r="D1351" t="s">
        <v>3302</v>
      </c>
      <c r="E1351">
        <v>54</v>
      </c>
      <c r="F1351">
        <v>26</v>
      </c>
      <c r="G1351">
        <v>28</v>
      </c>
      <c r="H1351" t="s">
        <v>3493</v>
      </c>
      <c r="I1351" t="s">
        <v>3490</v>
      </c>
      <c r="J1351" t="s">
        <v>2919</v>
      </c>
    </row>
    <row r="1352" spans="1:10" x14ac:dyDescent="0.25">
      <c r="A1352" t="s">
        <v>1715</v>
      </c>
      <c r="B1352" t="s">
        <v>105</v>
      </c>
      <c r="C1352">
        <v>4</v>
      </c>
      <c r="D1352" t="s">
        <v>3154</v>
      </c>
      <c r="E1352">
        <v>76</v>
      </c>
      <c r="F1352">
        <v>18</v>
      </c>
      <c r="G1352">
        <v>58</v>
      </c>
      <c r="H1352" t="s">
        <v>3494</v>
      </c>
      <c r="I1352" t="s">
        <v>3490</v>
      </c>
      <c r="J1352" t="s">
        <v>2908</v>
      </c>
    </row>
    <row r="1353" spans="1:10" x14ac:dyDescent="0.25">
      <c r="A1353" t="s">
        <v>1715</v>
      </c>
      <c r="B1353" t="s">
        <v>105</v>
      </c>
      <c r="C1353">
        <v>4</v>
      </c>
      <c r="D1353" t="s">
        <v>3156</v>
      </c>
      <c r="E1353">
        <v>83</v>
      </c>
      <c r="F1353">
        <v>27</v>
      </c>
      <c r="G1353">
        <v>56</v>
      </c>
      <c r="H1353" t="s">
        <v>196</v>
      </c>
      <c r="I1353" t="s">
        <v>3490</v>
      </c>
      <c r="J1353" t="s">
        <v>2908</v>
      </c>
    </row>
    <row r="1354" spans="1:10" x14ac:dyDescent="0.25">
      <c r="A1354" t="s">
        <v>1715</v>
      </c>
      <c r="B1354" t="s">
        <v>105</v>
      </c>
      <c r="C1354">
        <v>4</v>
      </c>
      <c r="D1354" t="s">
        <v>3158</v>
      </c>
      <c r="E1354">
        <v>87</v>
      </c>
      <c r="F1354">
        <v>27</v>
      </c>
      <c r="G1354">
        <v>60</v>
      </c>
      <c r="H1354" t="s">
        <v>196</v>
      </c>
      <c r="I1354" t="s">
        <v>3490</v>
      </c>
      <c r="J1354" t="s">
        <v>2908</v>
      </c>
    </row>
    <row r="1355" spans="1:10" x14ac:dyDescent="0.25">
      <c r="A1355" t="s">
        <v>1715</v>
      </c>
      <c r="B1355" t="s">
        <v>105</v>
      </c>
      <c r="C1355">
        <v>4</v>
      </c>
      <c r="D1355" t="s">
        <v>3160</v>
      </c>
      <c r="E1355">
        <v>65</v>
      </c>
      <c r="F1355">
        <v>11</v>
      </c>
      <c r="G1355">
        <v>54</v>
      </c>
      <c r="H1355" t="s">
        <v>3489</v>
      </c>
      <c r="I1355" t="s">
        <v>3490</v>
      </c>
      <c r="J1355" t="s">
        <v>2908</v>
      </c>
    </row>
    <row r="1356" spans="1:10" x14ac:dyDescent="0.25">
      <c r="A1356" t="s">
        <v>1715</v>
      </c>
      <c r="B1356" t="s">
        <v>105</v>
      </c>
      <c r="C1356">
        <v>4</v>
      </c>
      <c r="D1356" t="s">
        <v>3162</v>
      </c>
      <c r="E1356">
        <v>93</v>
      </c>
      <c r="F1356">
        <v>27</v>
      </c>
      <c r="G1356">
        <v>66</v>
      </c>
      <c r="H1356" t="s">
        <v>3495</v>
      </c>
      <c r="I1356" t="s">
        <v>3490</v>
      </c>
      <c r="J1356" t="s">
        <v>2908</v>
      </c>
    </row>
    <row r="1357" spans="1:10" x14ac:dyDescent="0.25">
      <c r="A1357" t="s">
        <v>1719</v>
      </c>
      <c r="B1357" t="s">
        <v>159</v>
      </c>
      <c r="C1357">
        <v>8</v>
      </c>
      <c r="D1357" t="s">
        <v>3114</v>
      </c>
      <c r="E1357">
        <v>55</v>
      </c>
      <c r="F1357">
        <v>10</v>
      </c>
      <c r="G1357">
        <v>45</v>
      </c>
      <c r="H1357" t="s">
        <v>3493</v>
      </c>
      <c r="I1357" t="s">
        <v>3490</v>
      </c>
      <c r="J1357" t="s">
        <v>2902</v>
      </c>
    </row>
    <row r="1358" spans="1:10" x14ac:dyDescent="0.25">
      <c r="A1358" t="s">
        <v>1719</v>
      </c>
      <c r="B1358" t="s">
        <v>159</v>
      </c>
      <c r="C1358">
        <v>8</v>
      </c>
      <c r="D1358" t="s">
        <v>3116</v>
      </c>
      <c r="E1358">
        <v>79</v>
      </c>
      <c r="F1358">
        <v>24</v>
      </c>
      <c r="G1358">
        <v>55</v>
      </c>
      <c r="H1358" t="s">
        <v>3494</v>
      </c>
      <c r="I1358" t="s">
        <v>3490</v>
      </c>
      <c r="J1358" t="s">
        <v>2902</v>
      </c>
    </row>
    <row r="1359" spans="1:10" x14ac:dyDescent="0.25">
      <c r="A1359" t="s">
        <v>1719</v>
      </c>
      <c r="B1359" t="s">
        <v>159</v>
      </c>
      <c r="C1359">
        <v>8</v>
      </c>
      <c r="D1359" t="s">
        <v>3118</v>
      </c>
      <c r="E1359">
        <v>40</v>
      </c>
      <c r="F1359">
        <v>14</v>
      </c>
      <c r="G1359">
        <v>26</v>
      </c>
      <c r="H1359" t="s">
        <v>3491</v>
      </c>
      <c r="I1359" t="s">
        <v>3492</v>
      </c>
      <c r="J1359" t="s">
        <v>2902</v>
      </c>
    </row>
    <row r="1360" spans="1:10" x14ac:dyDescent="0.25">
      <c r="A1360" t="s">
        <v>1719</v>
      </c>
      <c r="B1360" t="s">
        <v>159</v>
      </c>
      <c r="C1360">
        <v>8</v>
      </c>
      <c r="D1360" t="s">
        <v>3120</v>
      </c>
      <c r="E1360">
        <v>43</v>
      </c>
      <c r="F1360">
        <v>18</v>
      </c>
      <c r="G1360">
        <v>25</v>
      </c>
      <c r="H1360" t="s">
        <v>3491</v>
      </c>
      <c r="I1360" t="s">
        <v>3492</v>
      </c>
      <c r="J1360" t="s">
        <v>2902</v>
      </c>
    </row>
    <row r="1361" spans="1:10" x14ac:dyDescent="0.25">
      <c r="A1361" t="s">
        <v>1719</v>
      </c>
      <c r="B1361" t="s">
        <v>159</v>
      </c>
      <c r="C1361">
        <v>8</v>
      </c>
      <c r="D1361" t="s">
        <v>3122</v>
      </c>
      <c r="E1361">
        <v>61</v>
      </c>
      <c r="F1361">
        <v>24</v>
      </c>
      <c r="G1361">
        <v>37</v>
      </c>
      <c r="H1361" t="s">
        <v>3489</v>
      </c>
      <c r="I1361" t="s">
        <v>3490</v>
      </c>
      <c r="J1361" t="s">
        <v>2902</v>
      </c>
    </row>
    <row r="1362" spans="1:10" x14ac:dyDescent="0.25">
      <c r="A1362" t="s">
        <v>1724</v>
      </c>
      <c r="B1362" t="s">
        <v>122</v>
      </c>
      <c r="C1362">
        <v>4</v>
      </c>
      <c r="D1362" t="s">
        <v>3274</v>
      </c>
      <c r="E1362">
        <v>76</v>
      </c>
      <c r="F1362">
        <v>23</v>
      </c>
      <c r="G1362">
        <v>53</v>
      </c>
      <c r="H1362" t="s">
        <v>3494</v>
      </c>
      <c r="I1362" t="s">
        <v>3490</v>
      </c>
      <c r="J1362" t="s">
        <v>2919</v>
      </c>
    </row>
    <row r="1363" spans="1:10" x14ac:dyDescent="0.25">
      <c r="A1363" t="s">
        <v>1724</v>
      </c>
      <c r="B1363" t="s">
        <v>122</v>
      </c>
      <c r="C1363">
        <v>4</v>
      </c>
      <c r="D1363" t="s">
        <v>3276</v>
      </c>
      <c r="E1363">
        <v>83</v>
      </c>
      <c r="F1363">
        <v>13</v>
      </c>
      <c r="G1363">
        <v>70</v>
      </c>
      <c r="H1363" t="s">
        <v>196</v>
      </c>
      <c r="I1363" t="s">
        <v>3490</v>
      </c>
      <c r="J1363" t="s">
        <v>2919</v>
      </c>
    </row>
    <row r="1364" spans="1:10" x14ac:dyDescent="0.25">
      <c r="A1364" t="s">
        <v>1724</v>
      </c>
      <c r="B1364" t="s">
        <v>122</v>
      </c>
      <c r="C1364">
        <v>4</v>
      </c>
      <c r="D1364" t="s">
        <v>3278</v>
      </c>
      <c r="E1364">
        <v>57</v>
      </c>
      <c r="F1364">
        <v>17</v>
      </c>
      <c r="G1364">
        <v>40</v>
      </c>
      <c r="H1364" t="s">
        <v>3493</v>
      </c>
      <c r="I1364" t="s">
        <v>3490</v>
      </c>
      <c r="J1364" t="s">
        <v>2919</v>
      </c>
    </row>
    <row r="1365" spans="1:10" x14ac:dyDescent="0.25">
      <c r="A1365" t="s">
        <v>1724</v>
      </c>
      <c r="B1365" t="s">
        <v>122</v>
      </c>
      <c r="C1365">
        <v>4</v>
      </c>
      <c r="D1365" t="s">
        <v>3280</v>
      </c>
      <c r="E1365">
        <v>60</v>
      </c>
      <c r="F1365">
        <v>29</v>
      </c>
      <c r="G1365">
        <v>31</v>
      </c>
      <c r="H1365" t="s">
        <v>3489</v>
      </c>
      <c r="I1365" t="s">
        <v>3490</v>
      </c>
      <c r="J1365" t="s">
        <v>2919</v>
      </c>
    </row>
    <row r="1366" spans="1:10" x14ac:dyDescent="0.25">
      <c r="A1366" t="s">
        <v>1724</v>
      </c>
      <c r="B1366" t="s">
        <v>122</v>
      </c>
      <c r="C1366">
        <v>4</v>
      </c>
      <c r="D1366" t="s">
        <v>3282</v>
      </c>
      <c r="E1366">
        <v>82</v>
      </c>
      <c r="F1366">
        <v>22</v>
      </c>
      <c r="G1366">
        <v>60</v>
      </c>
      <c r="H1366" t="s">
        <v>196</v>
      </c>
      <c r="I1366" t="s">
        <v>3490</v>
      </c>
      <c r="J1366" t="s">
        <v>2919</v>
      </c>
    </row>
    <row r="1367" spans="1:10" x14ac:dyDescent="0.25">
      <c r="A1367" t="s">
        <v>1731</v>
      </c>
      <c r="B1367" t="s">
        <v>159</v>
      </c>
      <c r="C1367">
        <v>8</v>
      </c>
      <c r="D1367" t="s">
        <v>3114</v>
      </c>
      <c r="E1367">
        <v>58</v>
      </c>
      <c r="F1367">
        <v>22</v>
      </c>
      <c r="G1367">
        <v>36</v>
      </c>
      <c r="H1367" t="s">
        <v>3493</v>
      </c>
      <c r="I1367" t="s">
        <v>3490</v>
      </c>
      <c r="J1367" t="s">
        <v>2902</v>
      </c>
    </row>
    <row r="1368" spans="1:10" x14ac:dyDescent="0.25">
      <c r="A1368" t="s">
        <v>1731</v>
      </c>
      <c r="B1368" t="s">
        <v>159</v>
      </c>
      <c r="C1368">
        <v>8</v>
      </c>
      <c r="D1368" t="s">
        <v>3116</v>
      </c>
      <c r="E1368">
        <v>74</v>
      </c>
      <c r="F1368">
        <v>27</v>
      </c>
      <c r="G1368">
        <v>47</v>
      </c>
      <c r="H1368" t="s">
        <v>3494</v>
      </c>
      <c r="I1368" t="s">
        <v>3490</v>
      </c>
      <c r="J1368" t="s">
        <v>2902</v>
      </c>
    </row>
    <row r="1369" spans="1:10" x14ac:dyDescent="0.25">
      <c r="A1369" t="s">
        <v>1731</v>
      </c>
      <c r="B1369" t="s">
        <v>159</v>
      </c>
      <c r="C1369">
        <v>8</v>
      </c>
      <c r="D1369" t="s">
        <v>3118</v>
      </c>
      <c r="E1369">
        <v>91</v>
      </c>
      <c r="F1369">
        <v>29</v>
      </c>
      <c r="G1369">
        <v>62</v>
      </c>
      <c r="H1369" t="s">
        <v>3495</v>
      </c>
      <c r="I1369" t="s">
        <v>3490</v>
      </c>
      <c r="J1369" t="s">
        <v>2902</v>
      </c>
    </row>
    <row r="1370" spans="1:10" x14ac:dyDescent="0.25">
      <c r="A1370" t="s">
        <v>1731</v>
      </c>
      <c r="B1370" t="s">
        <v>159</v>
      </c>
      <c r="C1370">
        <v>8</v>
      </c>
      <c r="D1370" t="s">
        <v>3120</v>
      </c>
      <c r="E1370">
        <v>86</v>
      </c>
      <c r="F1370">
        <v>27</v>
      </c>
      <c r="G1370">
        <v>59</v>
      </c>
      <c r="H1370" t="s">
        <v>196</v>
      </c>
      <c r="I1370" t="s">
        <v>3490</v>
      </c>
      <c r="J1370" t="s">
        <v>2902</v>
      </c>
    </row>
    <row r="1371" spans="1:10" x14ac:dyDescent="0.25">
      <c r="A1371" t="s">
        <v>1731</v>
      </c>
      <c r="B1371" t="s">
        <v>159</v>
      </c>
      <c r="C1371">
        <v>8</v>
      </c>
      <c r="D1371" t="s">
        <v>3122</v>
      </c>
      <c r="E1371">
        <v>81</v>
      </c>
      <c r="F1371">
        <v>17</v>
      </c>
      <c r="G1371">
        <v>64</v>
      </c>
      <c r="H1371" t="s">
        <v>196</v>
      </c>
      <c r="I1371" t="s">
        <v>3490</v>
      </c>
      <c r="J1371" t="s">
        <v>2902</v>
      </c>
    </row>
    <row r="1372" spans="1:10" x14ac:dyDescent="0.25">
      <c r="A1372" t="s">
        <v>1736</v>
      </c>
      <c r="B1372" t="s">
        <v>30</v>
      </c>
      <c r="C1372">
        <v>6</v>
      </c>
      <c r="D1372" t="s">
        <v>3354</v>
      </c>
      <c r="E1372">
        <v>73</v>
      </c>
      <c r="F1372">
        <v>28</v>
      </c>
      <c r="G1372">
        <v>45</v>
      </c>
      <c r="H1372" t="s">
        <v>3494</v>
      </c>
      <c r="I1372" t="s">
        <v>3490</v>
      </c>
      <c r="J1372" t="s">
        <v>2895</v>
      </c>
    </row>
    <row r="1373" spans="1:10" x14ac:dyDescent="0.25">
      <c r="A1373" t="s">
        <v>1736</v>
      </c>
      <c r="B1373" t="s">
        <v>30</v>
      </c>
      <c r="C1373">
        <v>6</v>
      </c>
      <c r="D1373" t="s">
        <v>3356</v>
      </c>
      <c r="E1373">
        <v>84</v>
      </c>
      <c r="F1373">
        <v>29</v>
      </c>
      <c r="G1373">
        <v>55</v>
      </c>
      <c r="H1373" t="s">
        <v>196</v>
      </c>
      <c r="I1373" t="s">
        <v>3490</v>
      </c>
      <c r="J1373" t="s">
        <v>2895</v>
      </c>
    </row>
    <row r="1374" spans="1:10" x14ac:dyDescent="0.25">
      <c r="A1374" t="s">
        <v>1736</v>
      </c>
      <c r="B1374" t="s">
        <v>30</v>
      </c>
      <c r="C1374">
        <v>6</v>
      </c>
      <c r="D1374" t="s">
        <v>3358</v>
      </c>
      <c r="E1374">
        <v>63</v>
      </c>
      <c r="F1374">
        <v>24</v>
      </c>
      <c r="G1374">
        <v>39</v>
      </c>
      <c r="H1374" t="s">
        <v>3489</v>
      </c>
      <c r="I1374" t="s">
        <v>3490</v>
      </c>
      <c r="J1374" t="s">
        <v>2895</v>
      </c>
    </row>
    <row r="1375" spans="1:10" x14ac:dyDescent="0.25">
      <c r="A1375" t="s">
        <v>1736</v>
      </c>
      <c r="B1375" t="s">
        <v>30</v>
      </c>
      <c r="C1375">
        <v>6</v>
      </c>
      <c r="D1375" t="s">
        <v>3360</v>
      </c>
      <c r="E1375">
        <v>70</v>
      </c>
      <c r="F1375">
        <v>26</v>
      </c>
      <c r="G1375">
        <v>44</v>
      </c>
      <c r="H1375" t="s">
        <v>3494</v>
      </c>
      <c r="I1375" t="s">
        <v>3490</v>
      </c>
      <c r="J1375" t="s">
        <v>2895</v>
      </c>
    </row>
    <row r="1376" spans="1:10" x14ac:dyDescent="0.25">
      <c r="A1376" t="s">
        <v>1736</v>
      </c>
      <c r="B1376" t="s">
        <v>30</v>
      </c>
      <c r="C1376">
        <v>6</v>
      </c>
      <c r="D1376" t="s">
        <v>3362</v>
      </c>
      <c r="E1376">
        <v>67</v>
      </c>
      <c r="F1376">
        <v>28</v>
      </c>
      <c r="G1376">
        <v>39</v>
      </c>
      <c r="H1376" t="s">
        <v>3489</v>
      </c>
      <c r="I1376" t="s">
        <v>3490</v>
      </c>
      <c r="J1376" t="s">
        <v>2895</v>
      </c>
    </row>
    <row r="1377" spans="1:10" x14ac:dyDescent="0.25">
      <c r="A1377" t="s">
        <v>1740</v>
      </c>
      <c r="B1377" t="s">
        <v>75</v>
      </c>
      <c r="C1377">
        <v>6</v>
      </c>
      <c r="D1377" t="s">
        <v>3054</v>
      </c>
      <c r="E1377">
        <v>52</v>
      </c>
      <c r="F1377">
        <v>12</v>
      </c>
      <c r="G1377">
        <v>40</v>
      </c>
      <c r="H1377" t="s">
        <v>3493</v>
      </c>
      <c r="I1377" t="s">
        <v>3490</v>
      </c>
      <c r="J1377" t="s">
        <v>2961</v>
      </c>
    </row>
    <row r="1378" spans="1:10" x14ac:dyDescent="0.25">
      <c r="A1378" t="s">
        <v>1740</v>
      </c>
      <c r="B1378" t="s">
        <v>75</v>
      </c>
      <c r="C1378">
        <v>6</v>
      </c>
      <c r="D1378" t="s">
        <v>3056</v>
      </c>
      <c r="E1378">
        <v>77</v>
      </c>
      <c r="F1378">
        <v>20</v>
      </c>
      <c r="G1378">
        <v>57</v>
      </c>
      <c r="H1378" t="s">
        <v>3494</v>
      </c>
      <c r="I1378" t="s">
        <v>3490</v>
      </c>
      <c r="J1378" t="s">
        <v>2961</v>
      </c>
    </row>
    <row r="1379" spans="1:10" x14ac:dyDescent="0.25">
      <c r="A1379" t="s">
        <v>1740</v>
      </c>
      <c r="B1379" t="s">
        <v>75</v>
      </c>
      <c r="C1379">
        <v>6</v>
      </c>
      <c r="D1379" t="s">
        <v>3058</v>
      </c>
      <c r="E1379">
        <v>58</v>
      </c>
      <c r="F1379">
        <v>18</v>
      </c>
      <c r="G1379">
        <v>40</v>
      </c>
      <c r="H1379" t="s">
        <v>3493</v>
      </c>
      <c r="I1379" t="s">
        <v>3490</v>
      </c>
      <c r="J1379" t="s">
        <v>2961</v>
      </c>
    </row>
    <row r="1380" spans="1:10" x14ac:dyDescent="0.25">
      <c r="A1380" t="s">
        <v>1740</v>
      </c>
      <c r="B1380" t="s">
        <v>75</v>
      </c>
      <c r="C1380">
        <v>6</v>
      </c>
      <c r="D1380" t="s">
        <v>3060</v>
      </c>
      <c r="E1380">
        <v>38</v>
      </c>
      <c r="F1380">
        <v>11</v>
      </c>
      <c r="G1380">
        <v>27</v>
      </c>
      <c r="H1380" t="s">
        <v>3491</v>
      </c>
      <c r="I1380" t="s">
        <v>3492</v>
      </c>
      <c r="J1380" t="s">
        <v>2961</v>
      </c>
    </row>
    <row r="1381" spans="1:10" x14ac:dyDescent="0.25">
      <c r="A1381" t="s">
        <v>1740</v>
      </c>
      <c r="B1381" t="s">
        <v>75</v>
      </c>
      <c r="C1381">
        <v>6</v>
      </c>
      <c r="D1381" t="s">
        <v>3062</v>
      </c>
      <c r="E1381">
        <v>72</v>
      </c>
      <c r="F1381">
        <v>13</v>
      </c>
      <c r="G1381">
        <v>59</v>
      </c>
      <c r="H1381" t="s">
        <v>3494</v>
      </c>
      <c r="I1381" t="s">
        <v>3490</v>
      </c>
      <c r="J1381" t="s">
        <v>2961</v>
      </c>
    </row>
    <row r="1382" spans="1:10" x14ac:dyDescent="0.25">
      <c r="A1382" t="s">
        <v>1746</v>
      </c>
      <c r="B1382" t="s">
        <v>105</v>
      </c>
      <c r="C1382">
        <v>4</v>
      </c>
      <c r="D1382" t="s">
        <v>3154</v>
      </c>
      <c r="E1382">
        <v>80</v>
      </c>
      <c r="F1382">
        <v>14</v>
      </c>
      <c r="G1382">
        <v>66</v>
      </c>
      <c r="H1382" t="s">
        <v>196</v>
      </c>
      <c r="I1382" t="s">
        <v>3490</v>
      </c>
      <c r="J1382" t="s">
        <v>2908</v>
      </c>
    </row>
    <row r="1383" spans="1:10" x14ac:dyDescent="0.25">
      <c r="A1383" t="s">
        <v>1746</v>
      </c>
      <c r="B1383" t="s">
        <v>105</v>
      </c>
      <c r="C1383">
        <v>4</v>
      </c>
      <c r="D1383" t="s">
        <v>3156</v>
      </c>
      <c r="E1383">
        <v>92</v>
      </c>
      <c r="F1383">
        <v>29</v>
      </c>
      <c r="G1383">
        <v>63</v>
      </c>
      <c r="H1383" t="s">
        <v>3495</v>
      </c>
      <c r="I1383" t="s">
        <v>3490</v>
      </c>
      <c r="J1383" t="s">
        <v>2908</v>
      </c>
    </row>
    <row r="1384" spans="1:10" x14ac:dyDescent="0.25">
      <c r="A1384" t="s">
        <v>1746</v>
      </c>
      <c r="B1384" t="s">
        <v>105</v>
      </c>
      <c r="C1384">
        <v>4</v>
      </c>
      <c r="D1384" t="s">
        <v>3158</v>
      </c>
      <c r="E1384">
        <v>38</v>
      </c>
      <c r="F1384">
        <v>15</v>
      </c>
      <c r="G1384">
        <v>23</v>
      </c>
      <c r="H1384" t="s">
        <v>3491</v>
      </c>
      <c r="I1384" t="s">
        <v>3492</v>
      </c>
      <c r="J1384" t="s">
        <v>2908</v>
      </c>
    </row>
    <row r="1385" spans="1:10" x14ac:dyDescent="0.25">
      <c r="A1385" t="s">
        <v>1746</v>
      </c>
      <c r="B1385" t="s">
        <v>105</v>
      </c>
      <c r="C1385">
        <v>4</v>
      </c>
      <c r="D1385" t="s">
        <v>3160</v>
      </c>
      <c r="E1385">
        <v>68</v>
      </c>
      <c r="F1385">
        <v>25</v>
      </c>
      <c r="G1385">
        <v>43</v>
      </c>
      <c r="H1385" t="s">
        <v>3489</v>
      </c>
      <c r="I1385" t="s">
        <v>3490</v>
      </c>
      <c r="J1385" t="s">
        <v>2908</v>
      </c>
    </row>
    <row r="1386" spans="1:10" x14ac:dyDescent="0.25">
      <c r="A1386" t="s">
        <v>1746</v>
      </c>
      <c r="B1386" t="s">
        <v>105</v>
      </c>
      <c r="C1386">
        <v>4</v>
      </c>
      <c r="D1386" t="s">
        <v>3162</v>
      </c>
      <c r="E1386">
        <v>81</v>
      </c>
      <c r="F1386">
        <v>17</v>
      </c>
      <c r="G1386">
        <v>64</v>
      </c>
      <c r="H1386" t="s">
        <v>196</v>
      </c>
      <c r="I1386" t="s">
        <v>3490</v>
      </c>
      <c r="J1386" t="s">
        <v>2908</v>
      </c>
    </row>
    <row r="1387" spans="1:10" x14ac:dyDescent="0.25">
      <c r="A1387" t="s">
        <v>1752</v>
      </c>
      <c r="B1387" t="s">
        <v>159</v>
      </c>
      <c r="C1387">
        <v>8</v>
      </c>
      <c r="D1387" t="s">
        <v>3114</v>
      </c>
      <c r="E1387">
        <v>86</v>
      </c>
      <c r="F1387">
        <v>22</v>
      </c>
      <c r="G1387">
        <v>64</v>
      </c>
      <c r="H1387" t="s">
        <v>196</v>
      </c>
      <c r="I1387" t="s">
        <v>3490</v>
      </c>
      <c r="J1387" t="s">
        <v>2902</v>
      </c>
    </row>
    <row r="1388" spans="1:10" x14ac:dyDescent="0.25">
      <c r="A1388" t="s">
        <v>1752</v>
      </c>
      <c r="B1388" t="s">
        <v>159</v>
      </c>
      <c r="C1388">
        <v>8</v>
      </c>
      <c r="D1388" t="s">
        <v>3116</v>
      </c>
      <c r="E1388">
        <v>53</v>
      </c>
      <c r="F1388">
        <v>11</v>
      </c>
      <c r="G1388">
        <v>42</v>
      </c>
      <c r="H1388" t="s">
        <v>3493</v>
      </c>
      <c r="I1388" t="s">
        <v>3490</v>
      </c>
      <c r="J1388" t="s">
        <v>2902</v>
      </c>
    </row>
    <row r="1389" spans="1:10" x14ac:dyDescent="0.25">
      <c r="A1389" t="s">
        <v>1752</v>
      </c>
      <c r="B1389" t="s">
        <v>159</v>
      </c>
      <c r="C1389">
        <v>8</v>
      </c>
      <c r="D1389" t="s">
        <v>3118</v>
      </c>
      <c r="E1389">
        <v>37</v>
      </c>
      <c r="F1389">
        <v>13</v>
      </c>
      <c r="G1389">
        <v>24</v>
      </c>
      <c r="H1389" t="s">
        <v>3491</v>
      </c>
      <c r="I1389" t="s">
        <v>3492</v>
      </c>
      <c r="J1389" t="s">
        <v>2902</v>
      </c>
    </row>
    <row r="1390" spans="1:10" x14ac:dyDescent="0.25">
      <c r="A1390" t="s">
        <v>1752</v>
      </c>
      <c r="B1390" t="s">
        <v>159</v>
      </c>
      <c r="C1390">
        <v>8</v>
      </c>
      <c r="D1390" t="s">
        <v>3120</v>
      </c>
      <c r="E1390">
        <v>50</v>
      </c>
      <c r="F1390">
        <v>25</v>
      </c>
      <c r="G1390">
        <v>25</v>
      </c>
      <c r="H1390" t="s">
        <v>3493</v>
      </c>
      <c r="I1390" t="s">
        <v>3490</v>
      </c>
      <c r="J1390" t="s">
        <v>2902</v>
      </c>
    </row>
    <row r="1391" spans="1:10" x14ac:dyDescent="0.25">
      <c r="A1391" t="s">
        <v>1752</v>
      </c>
      <c r="B1391" t="s">
        <v>159</v>
      </c>
      <c r="C1391">
        <v>8</v>
      </c>
      <c r="D1391" t="s">
        <v>3122</v>
      </c>
      <c r="E1391">
        <v>86</v>
      </c>
      <c r="F1391">
        <v>23</v>
      </c>
      <c r="G1391">
        <v>63</v>
      </c>
      <c r="H1391" t="s">
        <v>196</v>
      </c>
      <c r="I1391" t="s">
        <v>3490</v>
      </c>
      <c r="J1391" t="s">
        <v>2902</v>
      </c>
    </row>
    <row r="1392" spans="1:10" x14ac:dyDescent="0.25">
      <c r="A1392" t="s">
        <v>1757</v>
      </c>
      <c r="B1392" t="s">
        <v>105</v>
      </c>
      <c r="C1392">
        <v>6</v>
      </c>
      <c r="D1392" t="s">
        <v>3174</v>
      </c>
      <c r="E1392">
        <v>45</v>
      </c>
      <c r="F1392">
        <v>11</v>
      </c>
      <c r="G1392">
        <v>34</v>
      </c>
      <c r="H1392" t="s">
        <v>3491</v>
      </c>
      <c r="I1392" t="s">
        <v>3492</v>
      </c>
      <c r="J1392" t="s">
        <v>2908</v>
      </c>
    </row>
    <row r="1393" spans="1:10" x14ac:dyDescent="0.25">
      <c r="A1393" t="s">
        <v>1757</v>
      </c>
      <c r="B1393" t="s">
        <v>105</v>
      </c>
      <c r="C1393">
        <v>6</v>
      </c>
      <c r="D1393" t="s">
        <v>3176</v>
      </c>
      <c r="E1393">
        <v>83</v>
      </c>
      <c r="F1393">
        <v>29</v>
      </c>
      <c r="G1393">
        <v>54</v>
      </c>
      <c r="H1393" t="s">
        <v>196</v>
      </c>
      <c r="I1393" t="s">
        <v>3490</v>
      </c>
      <c r="J1393" t="s">
        <v>2908</v>
      </c>
    </row>
    <row r="1394" spans="1:10" x14ac:dyDescent="0.25">
      <c r="A1394" t="s">
        <v>1757</v>
      </c>
      <c r="B1394" t="s">
        <v>105</v>
      </c>
      <c r="C1394">
        <v>6</v>
      </c>
      <c r="D1394" t="s">
        <v>3178</v>
      </c>
      <c r="E1394">
        <v>72</v>
      </c>
      <c r="F1394">
        <v>27</v>
      </c>
      <c r="G1394">
        <v>45</v>
      </c>
      <c r="H1394" t="s">
        <v>3494</v>
      </c>
      <c r="I1394" t="s">
        <v>3490</v>
      </c>
      <c r="J1394" t="s">
        <v>2908</v>
      </c>
    </row>
    <row r="1395" spans="1:10" x14ac:dyDescent="0.25">
      <c r="A1395" t="s">
        <v>1757</v>
      </c>
      <c r="B1395" t="s">
        <v>105</v>
      </c>
      <c r="C1395">
        <v>6</v>
      </c>
      <c r="D1395" t="s">
        <v>3180</v>
      </c>
      <c r="E1395">
        <v>62</v>
      </c>
      <c r="F1395">
        <v>16</v>
      </c>
      <c r="G1395">
        <v>46</v>
      </c>
      <c r="H1395" t="s">
        <v>3489</v>
      </c>
      <c r="I1395" t="s">
        <v>3490</v>
      </c>
      <c r="J1395" t="s">
        <v>2908</v>
      </c>
    </row>
    <row r="1396" spans="1:10" x14ac:dyDescent="0.25">
      <c r="A1396" t="s">
        <v>1757</v>
      </c>
      <c r="B1396" t="s">
        <v>105</v>
      </c>
      <c r="C1396">
        <v>6</v>
      </c>
      <c r="D1396" t="s">
        <v>3182</v>
      </c>
      <c r="E1396">
        <v>55</v>
      </c>
      <c r="F1396">
        <v>20</v>
      </c>
      <c r="G1396">
        <v>35</v>
      </c>
      <c r="H1396" t="s">
        <v>3493</v>
      </c>
      <c r="I1396" t="s">
        <v>3490</v>
      </c>
      <c r="J1396" t="s">
        <v>2908</v>
      </c>
    </row>
    <row r="1397" spans="1:10" x14ac:dyDescent="0.25">
      <c r="A1397" t="s">
        <v>1762</v>
      </c>
      <c r="B1397" t="s">
        <v>212</v>
      </c>
      <c r="C1397">
        <v>8</v>
      </c>
      <c r="D1397" t="s">
        <v>3474</v>
      </c>
      <c r="E1397">
        <v>88</v>
      </c>
      <c r="F1397">
        <v>23</v>
      </c>
      <c r="G1397">
        <v>65</v>
      </c>
      <c r="H1397" t="s">
        <v>196</v>
      </c>
      <c r="I1397" t="s">
        <v>3490</v>
      </c>
      <c r="J1397" t="s">
        <v>3001</v>
      </c>
    </row>
    <row r="1398" spans="1:10" x14ac:dyDescent="0.25">
      <c r="A1398" t="s">
        <v>1762</v>
      </c>
      <c r="B1398" t="s">
        <v>212</v>
      </c>
      <c r="C1398">
        <v>8</v>
      </c>
      <c r="D1398" t="s">
        <v>3476</v>
      </c>
      <c r="E1398">
        <v>58</v>
      </c>
      <c r="F1398">
        <v>30</v>
      </c>
      <c r="G1398">
        <v>28</v>
      </c>
      <c r="H1398" t="s">
        <v>3493</v>
      </c>
      <c r="I1398" t="s">
        <v>3490</v>
      </c>
      <c r="J1398" t="s">
        <v>3001</v>
      </c>
    </row>
    <row r="1399" spans="1:10" x14ac:dyDescent="0.25">
      <c r="A1399" t="s">
        <v>1762</v>
      </c>
      <c r="B1399" t="s">
        <v>212</v>
      </c>
      <c r="C1399">
        <v>8</v>
      </c>
      <c r="D1399" t="s">
        <v>3478</v>
      </c>
      <c r="E1399">
        <v>65</v>
      </c>
      <c r="F1399">
        <v>13</v>
      </c>
      <c r="G1399">
        <v>52</v>
      </c>
      <c r="H1399" t="s">
        <v>3489</v>
      </c>
      <c r="I1399" t="s">
        <v>3490</v>
      </c>
      <c r="J1399" t="s">
        <v>3001</v>
      </c>
    </row>
    <row r="1400" spans="1:10" x14ac:dyDescent="0.25">
      <c r="A1400" t="s">
        <v>1762</v>
      </c>
      <c r="B1400" t="s">
        <v>212</v>
      </c>
      <c r="C1400">
        <v>8</v>
      </c>
      <c r="D1400" t="s">
        <v>3480</v>
      </c>
      <c r="E1400">
        <v>64</v>
      </c>
      <c r="F1400">
        <v>28</v>
      </c>
      <c r="G1400">
        <v>36</v>
      </c>
      <c r="H1400" t="s">
        <v>3489</v>
      </c>
      <c r="I1400" t="s">
        <v>3490</v>
      </c>
      <c r="J1400" t="s">
        <v>3001</v>
      </c>
    </row>
    <row r="1401" spans="1:10" x14ac:dyDescent="0.25">
      <c r="A1401" t="s">
        <v>1762</v>
      </c>
      <c r="B1401" t="s">
        <v>212</v>
      </c>
      <c r="C1401">
        <v>8</v>
      </c>
      <c r="D1401" t="s">
        <v>3482</v>
      </c>
      <c r="E1401">
        <v>63</v>
      </c>
      <c r="F1401">
        <v>20</v>
      </c>
      <c r="G1401">
        <v>43</v>
      </c>
      <c r="H1401" t="s">
        <v>3489</v>
      </c>
      <c r="I1401" t="s">
        <v>3490</v>
      </c>
      <c r="J1401" t="s">
        <v>3001</v>
      </c>
    </row>
    <row r="1402" spans="1:10" x14ac:dyDescent="0.25">
      <c r="A1402" t="s">
        <v>1769</v>
      </c>
      <c r="B1402" t="s">
        <v>159</v>
      </c>
      <c r="C1402">
        <v>4</v>
      </c>
      <c r="D1402" t="s">
        <v>3094</v>
      </c>
      <c r="E1402">
        <v>52</v>
      </c>
      <c r="F1402">
        <v>29</v>
      </c>
      <c r="G1402">
        <v>23</v>
      </c>
      <c r="H1402" t="s">
        <v>3493</v>
      </c>
      <c r="I1402" t="s">
        <v>3490</v>
      </c>
      <c r="J1402" t="s">
        <v>2902</v>
      </c>
    </row>
    <row r="1403" spans="1:10" x14ac:dyDescent="0.25">
      <c r="A1403" t="s">
        <v>1769</v>
      </c>
      <c r="B1403" t="s">
        <v>159</v>
      </c>
      <c r="C1403">
        <v>4</v>
      </c>
      <c r="D1403" t="s">
        <v>3096</v>
      </c>
      <c r="E1403">
        <v>73</v>
      </c>
      <c r="F1403">
        <v>22</v>
      </c>
      <c r="G1403">
        <v>51</v>
      </c>
      <c r="H1403" t="s">
        <v>3494</v>
      </c>
      <c r="I1403" t="s">
        <v>3490</v>
      </c>
      <c r="J1403" t="s">
        <v>2902</v>
      </c>
    </row>
    <row r="1404" spans="1:10" x14ac:dyDescent="0.25">
      <c r="A1404" t="s">
        <v>1769</v>
      </c>
      <c r="B1404" t="s">
        <v>159</v>
      </c>
      <c r="C1404">
        <v>4</v>
      </c>
      <c r="D1404" t="s">
        <v>3098</v>
      </c>
      <c r="E1404">
        <v>33</v>
      </c>
      <c r="F1404">
        <v>10</v>
      </c>
      <c r="G1404">
        <v>23</v>
      </c>
      <c r="H1404" t="s">
        <v>3491</v>
      </c>
      <c r="I1404" t="s">
        <v>3492</v>
      </c>
      <c r="J1404" t="s">
        <v>2902</v>
      </c>
    </row>
    <row r="1405" spans="1:10" x14ac:dyDescent="0.25">
      <c r="A1405" t="s">
        <v>1769</v>
      </c>
      <c r="B1405" t="s">
        <v>159</v>
      </c>
      <c r="C1405">
        <v>4</v>
      </c>
      <c r="D1405" t="s">
        <v>3100</v>
      </c>
      <c r="E1405">
        <v>68</v>
      </c>
      <c r="F1405">
        <v>10</v>
      </c>
      <c r="G1405">
        <v>58</v>
      </c>
      <c r="H1405" t="s">
        <v>3489</v>
      </c>
      <c r="I1405" t="s">
        <v>3490</v>
      </c>
      <c r="J1405" t="s">
        <v>2902</v>
      </c>
    </row>
    <row r="1406" spans="1:10" x14ac:dyDescent="0.25">
      <c r="A1406" t="s">
        <v>1769</v>
      </c>
      <c r="B1406" t="s">
        <v>159</v>
      </c>
      <c r="C1406">
        <v>4</v>
      </c>
      <c r="D1406" t="s">
        <v>3102</v>
      </c>
      <c r="E1406">
        <v>91</v>
      </c>
      <c r="F1406">
        <v>30</v>
      </c>
      <c r="G1406">
        <v>61</v>
      </c>
      <c r="H1406" t="s">
        <v>3495</v>
      </c>
      <c r="I1406" t="s">
        <v>3490</v>
      </c>
      <c r="J1406" t="s">
        <v>2902</v>
      </c>
    </row>
    <row r="1407" spans="1:10" x14ac:dyDescent="0.25">
      <c r="A1407" t="s">
        <v>1774</v>
      </c>
      <c r="B1407" t="s">
        <v>212</v>
      </c>
      <c r="C1407">
        <v>6</v>
      </c>
      <c r="D1407" t="s">
        <v>3474</v>
      </c>
      <c r="E1407">
        <v>67</v>
      </c>
      <c r="F1407">
        <v>28</v>
      </c>
      <c r="G1407">
        <v>39</v>
      </c>
      <c r="H1407" t="s">
        <v>3489</v>
      </c>
      <c r="I1407" t="s">
        <v>3490</v>
      </c>
      <c r="J1407" t="s">
        <v>3001</v>
      </c>
    </row>
    <row r="1408" spans="1:10" x14ac:dyDescent="0.25">
      <c r="A1408" t="s">
        <v>1774</v>
      </c>
      <c r="B1408" t="s">
        <v>212</v>
      </c>
      <c r="C1408">
        <v>6</v>
      </c>
      <c r="D1408" t="s">
        <v>3476</v>
      </c>
      <c r="E1408">
        <v>53</v>
      </c>
      <c r="F1408">
        <v>14</v>
      </c>
      <c r="G1408">
        <v>39</v>
      </c>
      <c r="H1408" t="s">
        <v>3493</v>
      </c>
      <c r="I1408" t="s">
        <v>3490</v>
      </c>
      <c r="J1408" t="s">
        <v>3001</v>
      </c>
    </row>
    <row r="1409" spans="1:10" x14ac:dyDescent="0.25">
      <c r="A1409" t="s">
        <v>1774</v>
      </c>
      <c r="B1409" t="s">
        <v>212</v>
      </c>
      <c r="C1409">
        <v>6</v>
      </c>
      <c r="D1409" t="s">
        <v>3478</v>
      </c>
      <c r="E1409">
        <v>83</v>
      </c>
      <c r="F1409">
        <v>26</v>
      </c>
      <c r="G1409">
        <v>57</v>
      </c>
      <c r="H1409" t="s">
        <v>196</v>
      </c>
      <c r="I1409" t="s">
        <v>3490</v>
      </c>
      <c r="J1409" t="s">
        <v>3001</v>
      </c>
    </row>
    <row r="1410" spans="1:10" x14ac:dyDescent="0.25">
      <c r="A1410" t="s">
        <v>1774</v>
      </c>
      <c r="B1410" t="s">
        <v>212</v>
      </c>
      <c r="C1410">
        <v>6</v>
      </c>
      <c r="D1410" t="s">
        <v>3480</v>
      </c>
      <c r="E1410">
        <v>49</v>
      </c>
      <c r="F1410">
        <v>18</v>
      </c>
      <c r="G1410">
        <v>31</v>
      </c>
      <c r="H1410" t="s">
        <v>3491</v>
      </c>
      <c r="I1410" t="s">
        <v>3492</v>
      </c>
      <c r="J1410" t="s">
        <v>3001</v>
      </c>
    </row>
    <row r="1411" spans="1:10" x14ac:dyDescent="0.25">
      <c r="A1411" t="s">
        <v>1774</v>
      </c>
      <c r="B1411" t="s">
        <v>212</v>
      </c>
      <c r="C1411">
        <v>6</v>
      </c>
      <c r="D1411" t="s">
        <v>3482</v>
      </c>
      <c r="E1411">
        <v>49</v>
      </c>
      <c r="F1411">
        <v>11</v>
      </c>
      <c r="G1411">
        <v>38</v>
      </c>
      <c r="H1411" t="s">
        <v>3491</v>
      </c>
      <c r="I1411" t="s">
        <v>3492</v>
      </c>
      <c r="J1411" t="s">
        <v>3001</v>
      </c>
    </row>
    <row r="1412" spans="1:10" x14ac:dyDescent="0.25">
      <c r="A1412" t="s">
        <v>1779</v>
      </c>
      <c r="B1412" t="s">
        <v>159</v>
      </c>
      <c r="C1412">
        <v>8</v>
      </c>
      <c r="D1412" t="s">
        <v>3114</v>
      </c>
      <c r="E1412">
        <v>66</v>
      </c>
      <c r="F1412">
        <v>22</v>
      </c>
      <c r="G1412">
        <v>44</v>
      </c>
      <c r="H1412" t="s">
        <v>3489</v>
      </c>
      <c r="I1412" t="s">
        <v>3490</v>
      </c>
      <c r="J1412" t="s">
        <v>2902</v>
      </c>
    </row>
    <row r="1413" spans="1:10" x14ac:dyDescent="0.25">
      <c r="A1413" t="s">
        <v>1779</v>
      </c>
      <c r="B1413" t="s">
        <v>159</v>
      </c>
      <c r="C1413">
        <v>8</v>
      </c>
      <c r="D1413" t="s">
        <v>3116</v>
      </c>
      <c r="E1413">
        <v>88</v>
      </c>
      <c r="F1413">
        <v>18</v>
      </c>
      <c r="G1413">
        <v>70</v>
      </c>
      <c r="H1413" t="s">
        <v>196</v>
      </c>
      <c r="I1413" t="s">
        <v>3490</v>
      </c>
      <c r="J1413" t="s">
        <v>2902</v>
      </c>
    </row>
    <row r="1414" spans="1:10" x14ac:dyDescent="0.25">
      <c r="A1414" t="s">
        <v>1779</v>
      </c>
      <c r="B1414" t="s">
        <v>159</v>
      </c>
      <c r="C1414">
        <v>8</v>
      </c>
      <c r="D1414" t="s">
        <v>3118</v>
      </c>
      <c r="E1414">
        <v>86</v>
      </c>
      <c r="F1414">
        <v>27</v>
      </c>
      <c r="G1414">
        <v>59</v>
      </c>
      <c r="H1414" t="s">
        <v>196</v>
      </c>
      <c r="I1414" t="s">
        <v>3490</v>
      </c>
      <c r="J1414" t="s">
        <v>2902</v>
      </c>
    </row>
    <row r="1415" spans="1:10" x14ac:dyDescent="0.25">
      <c r="A1415" t="s">
        <v>1779</v>
      </c>
      <c r="B1415" t="s">
        <v>159</v>
      </c>
      <c r="C1415">
        <v>8</v>
      </c>
      <c r="D1415" t="s">
        <v>3120</v>
      </c>
      <c r="E1415">
        <v>70</v>
      </c>
      <c r="F1415">
        <v>23</v>
      </c>
      <c r="G1415">
        <v>47</v>
      </c>
      <c r="H1415" t="s">
        <v>3494</v>
      </c>
      <c r="I1415" t="s">
        <v>3490</v>
      </c>
      <c r="J1415" t="s">
        <v>2902</v>
      </c>
    </row>
    <row r="1416" spans="1:10" x14ac:dyDescent="0.25">
      <c r="A1416" t="s">
        <v>1779</v>
      </c>
      <c r="B1416" t="s">
        <v>159</v>
      </c>
      <c r="C1416">
        <v>8</v>
      </c>
      <c r="D1416" t="s">
        <v>3122</v>
      </c>
      <c r="E1416">
        <v>71</v>
      </c>
      <c r="F1416">
        <v>25</v>
      </c>
      <c r="G1416">
        <v>46</v>
      </c>
      <c r="H1416" t="s">
        <v>3494</v>
      </c>
      <c r="I1416" t="s">
        <v>3490</v>
      </c>
      <c r="J1416" t="s">
        <v>2902</v>
      </c>
    </row>
    <row r="1417" spans="1:10" x14ac:dyDescent="0.25">
      <c r="A1417" t="s">
        <v>1784</v>
      </c>
      <c r="B1417" t="s">
        <v>95</v>
      </c>
      <c r="C1417">
        <v>8</v>
      </c>
      <c r="D1417" t="s">
        <v>3234</v>
      </c>
      <c r="E1417">
        <v>51</v>
      </c>
      <c r="F1417">
        <v>11</v>
      </c>
      <c r="G1417">
        <v>40</v>
      </c>
      <c r="H1417" t="s">
        <v>3493</v>
      </c>
      <c r="I1417" t="s">
        <v>3490</v>
      </c>
      <c r="J1417" t="s">
        <v>2889</v>
      </c>
    </row>
    <row r="1418" spans="1:10" x14ac:dyDescent="0.25">
      <c r="A1418" t="s">
        <v>1784</v>
      </c>
      <c r="B1418" t="s">
        <v>95</v>
      </c>
      <c r="C1418">
        <v>8</v>
      </c>
      <c r="D1418" t="s">
        <v>3236</v>
      </c>
      <c r="E1418">
        <v>59</v>
      </c>
      <c r="F1418">
        <v>23</v>
      </c>
      <c r="G1418">
        <v>36</v>
      </c>
      <c r="H1418" t="s">
        <v>3493</v>
      </c>
      <c r="I1418" t="s">
        <v>3490</v>
      </c>
      <c r="J1418" t="s">
        <v>2889</v>
      </c>
    </row>
    <row r="1419" spans="1:10" x14ac:dyDescent="0.25">
      <c r="A1419" t="s">
        <v>1784</v>
      </c>
      <c r="B1419" t="s">
        <v>95</v>
      </c>
      <c r="C1419">
        <v>8</v>
      </c>
      <c r="D1419" t="s">
        <v>3238</v>
      </c>
      <c r="E1419">
        <v>35</v>
      </c>
      <c r="F1419">
        <v>15</v>
      </c>
      <c r="G1419">
        <v>20</v>
      </c>
      <c r="H1419" t="s">
        <v>3491</v>
      </c>
      <c r="I1419" t="s">
        <v>3492</v>
      </c>
      <c r="J1419" t="s">
        <v>2889</v>
      </c>
    </row>
    <row r="1420" spans="1:10" x14ac:dyDescent="0.25">
      <c r="A1420" t="s">
        <v>1784</v>
      </c>
      <c r="B1420" t="s">
        <v>95</v>
      </c>
      <c r="C1420">
        <v>8</v>
      </c>
      <c r="D1420" t="s">
        <v>3240</v>
      </c>
      <c r="E1420">
        <v>59</v>
      </c>
      <c r="F1420">
        <v>19</v>
      </c>
      <c r="G1420">
        <v>40</v>
      </c>
      <c r="H1420" t="s">
        <v>3493</v>
      </c>
      <c r="I1420" t="s">
        <v>3490</v>
      </c>
      <c r="J1420" t="s">
        <v>2889</v>
      </c>
    </row>
    <row r="1421" spans="1:10" x14ac:dyDescent="0.25">
      <c r="A1421" t="s">
        <v>1784</v>
      </c>
      <c r="B1421" t="s">
        <v>95</v>
      </c>
      <c r="C1421">
        <v>8</v>
      </c>
      <c r="D1421" t="s">
        <v>3242</v>
      </c>
      <c r="E1421">
        <v>66</v>
      </c>
      <c r="F1421">
        <v>23</v>
      </c>
      <c r="G1421">
        <v>43</v>
      </c>
      <c r="H1421" t="s">
        <v>3489</v>
      </c>
      <c r="I1421" t="s">
        <v>3490</v>
      </c>
      <c r="J1421" t="s">
        <v>2889</v>
      </c>
    </row>
    <row r="1422" spans="1:10" x14ac:dyDescent="0.25">
      <c r="A1422" t="s">
        <v>1791</v>
      </c>
      <c r="B1422" t="s">
        <v>105</v>
      </c>
      <c r="C1422">
        <v>4</v>
      </c>
      <c r="D1422" t="s">
        <v>3154</v>
      </c>
      <c r="E1422">
        <v>93</v>
      </c>
      <c r="F1422">
        <v>25</v>
      </c>
      <c r="G1422">
        <v>68</v>
      </c>
      <c r="H1422" t="s">
        <v>3495</v>
      </c>
      <c r="I1422" t="s">
        <v>3490</v>
      </c>
      <c r="J1422" t="s">
        <v>2908</v>
      </c>
    </row>
    <row r="1423" spans="1:10" x14ac:dyDescent="0.25">
      <c r="A1423" t="s">
        <v>1791</v>
      </c>
      <c r="B1423" t="s">
        <v>105</v>
      </c>
      <c r="C1423">
        <v>4</v>
      </c>
      <c r="D1423" t="s">
        <v>3156</v>
      </c>
      <c r="E1423">
        <v>65</v>
      </c>
      <c r="F1423">
        <v>24</v>
      </c>
      <c r="G1423">
        <v>41</v>
      </c>
      <c r="H1423" t="s">
        <v>3489</v>
      </c>
      <c r="I1423" t="s">
        <v>3490</v>
      </c>
      <c r="J1423" t="s">
        <v>2908</v>
      </c>
    </row>
    <row r="1424" spans="1:10" x14ac:dyDescent="0.25">
      <c r="A1424" t="s">
        <v>1791</v>
      </c>
      <c r="B1424" t="s">
        <v>105</v>
      </c>
      <c r="C1424">
        <v>4</v>
      </c>
      <c r="D1424" t="s">
        <v>3158</v>
      </c>
      <c r="E1424">
        <v>48</v>
      </c>
      <c r="F1424">
        <v>27</v>
      </c>
      <c r="G1424">
        <v>21</v>
      </c>
      <c r="H1424" t="s">
        <v>3491</v>
      </c>
      <c r="I1424" t="s">
        <v>3492</v>
      </c>
      <c r="J1424" t="s">
        <v>2908</v>
      </c>
    </row>
    <row r="1425" spans="1:10" x14ac:dyDescent="0.25">
      <c r="A1425" t="s">
        <v>1791</v>
      </c>
      <c r="B1425" t="s">
        <v>105</v>
      </c>
      <c r="C1425">
        <v>4</v>
      </c>
      <c r="D1425" t="s">
        <v>3160</v>
      </c>
      <c r="E1425">
        <v>76</v>
      </c>
      <c r="F1425">
        <v>28</v>
      </c>
      <c r="G1425">
        <v>48</v>
      </c>
      <c r="H1425" t="s">
        <v>3494</v>
      </c>
      <c r="I1425" t="s">
        <v>3490</v>
      </c>
      <c r="J1425" t="s">
        <v>2908</v>
      </c>
    </row>
    <row r="1426" spans="1:10" x14ac:dyDescent="0.25">
      <c r="A1426" t="s">
        <v>1791</v>
      </c>
      <c r="B1426" t="s">
        <v>105</v>
      </c>
      <c r="C1426">
        <v>4</v>
      </c>
      <c r="D1426" t="s">
        <v>3162</v>
      </c>
      <c r="E1426">
        <v>88</v>
      </c>
      <c r="F1426">
        <v>19</v>
      </c>
      <c r="G1426">
        <v>69</v>
      </c>
      <c r="H1426" t="s">
        <v>196</v>
      </c>
      <c r="I1426" t="s">
        <v>3490</v>
      </c>
      <c r="J1426" t="s">
        <v>2908</v>
      </c>
    </row>
    <row r="1427" spans="1:10" x14ac:dyDescent="0.25">
      <c r="A1427" t="s">
        <v>1796</v>
      </c>
      <c r="B1427" t="s">
        <v>105</v>
      </c>
      <c r="C1427">
        <v>4</v>
      </c>
      <c r="D1427" t="s">
        <v>3154</v>
      </c>
      <c r="E1427">
        <v>54</v>
      </c>
      <c r="F1427">
        <v>20</v>
      </c>
      <c r="G1427">
        <v>34</v>
      </c>
      <c r="H1427" t="s">
        <v>3493</v>
      </c>
      <c r="I1427" t="s">
        <v>3490</v>
      </c>
      <c r="J1427" t="s">
        <v>2908</v>
      </c>
    </row>
    <row r="1428" spans="1:10" x14ac:dyDescent="0.25">
      <c r="A1428" t="s">
        <v>1796</v>
      </c>
      <c r="B1428" t="s">
        <v>105</v>
      </c>
      <c r="C1428">
        <v>4</v>
      </c>
      <c r="D1428" t="s">
        <v>3156</v>
      </c>
      <c r="E1428">
        <v>86</v>
      </c>
      <c r="F1428">
        <v>16</v>
      </c>
      <c r="G1428">
        <v>70</v>
      </c>
      <c r="H1428" t="s">
        <v>196</v>
      </c>
      <c r="I1428" t="s">
        <v>3490</v>
      </c>
      <c r="J1428" t="s">
        <v>2908</v>
      </c>
    </row>
    <row r="1429" spans="1:10" x14ac:dyDescent="0.25">
      <c r="A1429" t="s">
        <v>1796</v>
      </c>
      <c r="B1429" t="s">
        <v>105</v>
      </c>
      <c r="C1429">
        <v>4</v>
      </c>
      <c r="D1429" t="s">
        <v>3158</v>
      </c>
      <c r="E1429">
        <v>84</v>
      </c>
      <c r="F1429">
        <v>26</v>
      </c>
      <c r="G1429">
        <v>58</v>
      </c>
      <c r="H1429" t="s">
        <v>196</v>
      </c>
      <c r="I1429" t="s">
        <v>3490</v>
      </c>
      <c r="J1429" t="s">
        <v>2908</v>
      </c>
    </row>
    <row r="1430" spans="1:10" x14ac:dyDescent="0.25">
      <c r="A1430" t="s">
        <v>1796</v>
      </c>
      <c r="B1430" t="s">
        <v>105</v>
      </c>
      <c r="C1430">
        <v>4</v>
      </c>
      <c r="D1430" t="s">
        <v>3160</v>
      </c>
      <c r="E1430">
        <v>57</v>
      </c>
      <c r="F1430">
        <v>10</v>
      </c>
      <c r="G1430">
        <v>47</v>
      </c>
      <c r="H1430" t="s">
        <v>3493</v>
      </c>
      <c r="I1430" t="s">
        <v>3490</v>
      </c>
      <c r="J1430" t="s">
        <v>2908</v>
      </c>
    </row>
    <row r="1431" spans="1:10" x14ac:dyDescent="0.25">
      <c r="A1431" t="s">
        <v>1796</v>
      </c>
      <c r="B1431" t="s">
        <v>105</v>
      </c>
      <c r="C1431">
        <v>4</v>
      </c>
      <c r="D1431" t="s">
        <v>3162</v>
      </c>
      <c r="E1431">
        <v>49</v>
      </c>
      <c r="F1431">
        <v>14</v>
      </c>
      <c r="G1431">
        <v>35</v>
      </c>
      <c r="H1431" t="s">
        <v>3491</v>
      </c>
      <c r="I1431" t="s">
        <v>3492</v>
      </c>
      <c r="J1431" t="s">
        <v>2908</v>
      </c>
    </row>
    <row r="1432" spans="1:10" x14ac:dyDescent="0.25">
      <c r="A1432" t="s">
        <v>1800</v>
      </c>
      <c r="B1432" t="s">
        <v>159</v>
      </c>
      <c r="C1432">
        <v>8</v>
      </c>
      <c r="D1432" t="s">
        <v>3114</v>
      </c>
      <c r="E1432">
        <v>57</v>
      </c>
      <c r="F1432">
        <v>21</v>
      </c>
      <c r="G1432">
        <v>36</v>
      </c>
      <c r="H1432" t="s">
        <v>3493</v>
      </c>
      <c r="I1432" t="s">
        <v>3490</v>
      </c>
      <c r="J1432" t="s">
        <v>2902</v>
      </c>
    </row>
    <row r="1433" spans="1:10" x14ac:dyDescent="0.25">
      <c r="A1433" t="s">
        <v>1800</v>
      </c>
      <c r="B1433" t="s">
        <v>159</v>
      </c>
      <c r="C1433">
        <v>8</v>
      </c>
      <c r="D1433" t="s">
        <v>3116</v>
      </c>
      <c r="E1433">
        <v>66</v>
      </c>
      <c r="F1433">
        <v>22</v>
      </c>
      <c r="G1433">
        <v>44</v>
      </c>
      <c r="H1433" t="s">
        <v>3489</v>
      </c>
      <c r="I1433" t="s">
        <v>3490</v>
      </c>
      <c r="J1433" t="s">
        <v>2902</v>
      </c>
    </row>
    <row r="1434" spans="1:10" x14ac:dyDescent="0.25">
      <c r="A1434" t="s">
        <v>1800</v>
      </c>
      <c r="B1434" t="s">
        <v>159</v>
      </c>
      <c r="C1434">
        <v>8</v>
      </c>
      <c r="D1434" t="s">
        <v>3118</v>
      </c>
      <c r="E1434">
        <v>74</v>
      </c>
      <c r="F1434">
        <v>14</v>
      </c>
      <c r="G1434">
        <v>60</v>
      </c>
      <c r="H1434" t="s">
        <v>3494</v>
      </c>
      <c r="I1434" t="s">
        <v>3490</v>
      </c>
      <c r="J1434" t="s">
        <v>2902</v>
      </c>
    </row>
    <row r="1435" spans="1:10" x14ac:dyDescent="0.25">
      <c r="A1435" t="s">
        <v>1800</v>
      </c>
      <c r="B1435" t="s">
        <v>159</v>
      </c>
      <c r="C1435">
        <v>8</v>
      </c>
      <c r="D1435" t="s">
        <v>3120</v>
      </c>
      <c r="E1435">
        <v>84</v>
      </c>
      <c r="F1435">
        <v>15</v>
      </c>
      <c r="G1435">
        <v>69</v>
      </c>
      <c r="H1435" t="s">
        <v>196</v>
      </c>
      <c r="I1435" t="s">
        <v>3490</v>
      </c>
      <c r="J1435" t="s">
        <v>2902</v>
      </c>
    </row>
    <row r="1436" spans="1:10" x14ac:dyDescent="0.25">
      <c r="A1436" t="s">
        <v>1800</v>
      </c>
      <c r="B1436" t="s">
        <v>159</v>
      </c>
      <c r="C1436">
        <v>8</v>
      </c>
      <c r="D1436" t="s">
        <v>3122</v>
      </c>
      <c r="E1436">
        <v>64</v>
      </c>
      <c r="F1436">
        <v>23</v>
      </c>
      <c r="G1436">
        <v>41</v>
      </c>
      <c r="H1436" t="s">
        <v>3489</v>
      </c>
      <c r="I1436" t="s">
        <v>3490</v>
      </c>
      <c r="J1436" t="s">
        <v>2902</v>
      </c>
    </row>
    <row r="1437" spans="1:10" x14ac:dyDescent="0.25">
      <c r="A1437" t="s">
        <v>1805</v>
      </c>
      <c r="B1437" t="s">
        <v>122</v>
      </c>
      <c r="C1437">
        <v>8</v>
      </c>
      <c r="D1437" t="s">
        <v>3294</v>
      </c>
      <c r="E1437">
        <v>42</v>
      </c>
      <c r="F1437">
        <v>19</v>
      </c>
      <c r="G1437">
        <v>23</v>
      </c>
      <c r="H1437" t="s">
        <v>3491</v>
      </c>
      <c r="I1437" t="s">
        <v>3492</v>
      </c>
      <c r="J1437" t="s">
        <v>2919</v>
      </c>
    </row>
    <row r="1438" spans="1:10" x14ac:dyDescent="0.25">
      <c r="A1438" t="s">
        <v>1805</v>
      </c>
      <c r="B1438" t="s">
        <v>122</v>
      </c>
      <c r="C1438">
        <v>8</v>
      </c>
      <c r="D1438" t="s">
        <v>3296</v>
      </c>
      <c r="E1438">
        <v>58</v>
      </c>
      <c r="F1438">
        <v>13</v>
      </c>
      <c r="G1438">
        <v>45</v>
      </c>
      <c r="H1438" t="s">
        <v>3493</v>
      </c>
      <c r="I1438" t="s">
        <v>3490</v>
      </c>
      <c r="J1438" t="s">
        <v>2919</v>
      </c>
    </row>
    <row r="1439" spans="1:10" x14ac:dyDescent="0.25">
      <c r="A1439" t="s">
        <v>1805</v>
      </c>
      <c r="B1439" t="s">
        <v>122</v>
      </c>
      <c r="C1439">
        <v>8</v>
      </c>
      <c r="D1439" t="s">
        <v>3298</v>
      </c>
      <c r="E1439">
        <v>71</v>
      </c>
      <c r="F1439">
        <v>30</v>
      </c>
      <c r="G1439">
        <v>41</v>
      </c>
      <c r="H1439" t="s">
        <v>3494</v>
      </c>
      <c r="I1439" t="s">
        <v>3490</v>
      </c>
      <c r="J1439" t="s">
        <v>2919</v>
      </c>
    </row>
    <row r="1440" spans="1:10" x14ac:dyDescent="0.25">
      <c r="A1440" t="s">
        <v>1805</v>
      </c>
      <c r="B1440" t="s">
        <v>122</v>
      </c>
      <c r="C1440">
        <v>8</v>
      </c>
      <c r="D1440" t="s">
        <v>3300</v>
      </c>
      <c r="E1440">
        <v>87</v>
      </c>
      <c r="F1440">
        <v>29</v>
      </c>
      <c r="G1440">
        <v>58</v>
      </c>
      <c r="H1440" t="s">
        <v>196</v>
      </c>
      <c r="I1440" t="s">
        <v>3490</v>
      </c>
      <c r="J1440" t="s">
        <v>2919</v>
      </c>
    </row>
    <row r="1441" spans="1:10" x14ac:dyDescent="0.25">
      <c r="A1441" t="s">
        <v>1805</v>
      </c>
      <c r="B1441" t="s">
        <v>122</v>
      </c>
      <c r="C1441">
        <v>8</v>
      </c>
      <c r="D1441" t="s">
        <v>3302</v>
      </c>
      <c r="E1441">
        <v>55</v>
      </c>
      <c r="F1441">
        <v>21</v>
      </c>
      <c r="G1441">
        <v>34</v>
      </c>
      <c r="H1441" t="s">
        <v>3493</v>
      </c>
      <c r="I1441" t="s">
        <v>3490</v>
      </c>
      <c r="J1441" t="s">
        <v>2919</v>
      </c>
    </row>
    <row r="1442" spans="1:10" x14ac:dyDescent="0.25">
      <c r="A1442" t="s">
        <v>1810</v>
      </c>
      <c r="B1442" t="s">
        <v>159</v>
      </c>
      <c r="C1442">
        <v>6</v>
      </c>
      <c r="D1442" t="s">
        <v>3114</v>
      </c>
      <c r="E1442">
        <v>31</v>
      </c>
      <c r="F1442">
        <v>11</v>
      </c>
      <c r="G1442">
        <v>20</v>
      </c>
      <c r="H1442" t="s">
        <v>3491</v>
      </c>
      <c r="I1442" t="s">
        <v>3492</v>
      </c>
      <c r="J1442" t="s">
        <v>2902</v>
      </c>
    </row>
    <row r="1443" spans="1:10" x14ac:dyDescent="0.25">
      <c r="A1443" t="s">
        <v>1810</v>
      </c>
      <c r="B1443" t="s">
        <v>159</v>
      </c>
      <c r="C1443">
        <v>6</v>
      </c>
      <c r="D1443" t="s">
        <v>3116</v>
      </c>
      <c r="E1443">
        <v>53</v>
      </c>
      <c r="F1443">
        <v>23</v>
      </c>
      <c r="G1443">
        <v>30</v>
      </c>
      <c r="H1443" t="s">
        <v>3493</v>
      </c>
      <c r="I1443" t="s">
        <v>3490</v>
      </c>
      <c r="J1443" t="s">
        <v>2902</v>
      </c>
    </row>
    <row r="1444" spans="1:10" x14ac:dyDescent="0.25">
      <c r="A1444" t="s">
        <v>1810</v>
      </c>
      <c r="B1444" t="s">
        <v>159</v>
      </c>
      <c r="C1444">
        <v>6</v>
      </c>
      <c r="D1444" t="s">
        <v>3118</v>
      </c>
      <c r="E1444">
        <v>42</v>
      </c>
      <c r="F1444">
        <v>15</v>
      </c>
      <c r="G1444">
        <v>27</v>
      </c>
      <c r="H1444" t="s">
        <v>3491</v>
      </c>
      <c r="I1444" t="s">
        <v>3492</v>
      </c>
      <c r="J1444" t="s">
        <v>2902</v>
      </c>
    </row>
    <row r="1445" spans="1:10" x14ac:dyDescent="0.25">
      <c r="A1445" t="s">
        <v>1810</v>
      </c>
      <c r="B1445" t="s">
        <v>159</v>
      </c>
      <c r="C1445">
        <v>6</v>
      </c>
      <c r="D1445" t="s">
        <v>3120</v>
      </c>
      <c r="E1445">
        <v>44</v>
      </c>
      <c r="F1445">
        <v>15</v>
      </c>
      <c r="G1445">
        <v>29</v>
      </c>
      <c r="H1445" t="s">
        <v>3491</v>
      </c>
      <c r="I1445" t="s">
        <v>3492</v>
      </c>
      <c r="J1445" t="s">
        <v>2902</v>
      </c>
    </row>
    <row r="1446" spans="1:10" x14ac:dyDescent="0.25">
      <c r="A1446" t="s">
        <v>1810</v>
      </c>
      <c r="B1446" t="s">
        <v>159</v>
      </c>
      <c r="C1446">
        <v>6</v>
      </c>
      <c r="D1446" t="s">
        <v>3122</v>
      </c>
      <c r="E1446">
        <v>50</v>
      </c>
      <c r="F1446">
        <v>19</v>
      </c>
      <c r="G1446">
        <v>31</v>
      </c>
      <c r="H1446" t="s">
        <v>3493</v>
      </c>
      <c r="I1446" t="s">
        <v>3490</v>
      </c>
      <c r="J1446" t="s">
        <v>2902</v>
      </c>
    </row>
    <row r="1447" spans="1:10" x14ac:dyDescent="0.25">
      <c r="A1447" t="s">
        <v>1815</v>
      </c>
      <c r="B1447" t="s">
        <v>212</v>
      </c>
      <c r="C1447">
        <v>8</v>
      </c>
      <c r="D1447" t="s">
        <v>3474</v>
      </c>
      <c r="E1447">
        <v>71</v>
      </c>
      <c r="F1447">
        <v>24</v>
      </c>
      <c r="G1447">
        <v>47</v>
      </c>
      <c r="H1447" t="s">
        <v>3494</v>
      </c>
      <c r="I1447" t="s">
        <v>3490</v>
      </c>
      <c r="J1447" t="s">
        <v>3001</v>
      </c>
    </row>
    <row r="1448" spans="1:10" x14ac:dyDescent="0.25">
      <c r="A1448" t="s">
        <v>1815</v>
      </c>
      <c r="B1448" t="s">
        <v>212</v>
      </c>
      <c r="C1448">
        <v>8</v>
      </c>
      <c r="D1448" t="s">
        <v>3476</v>
      </c>
      <c r="E1448">
        <v>89</v>
      </c>
      <c r="F1448">
        <v>25</v>
      </c>
      <c r="G1448">
        <v>64</v>
      </c>
      <c r="H1448" t="s">
        <v>196</v>
      </c>
      <c r="I1448" t="s">
        <v>3490</v>
      </c>
      <c r="J1448" t="s">
        <v>3001</v>
      </c>
    </row>
    <row r="1449" spans="1:10" x14ac:dyDescent="0.25">
      <c r="A1449" t="s">
        <v>1815</v>
      </c>
      <c r="B1449" t="s">
        <v>212</v>
      </c>
      <c r="C1449">
        <v>8</v>
      </c>
      <c r="D1449" t="s">
        <v>3478</v>
      </c>
      <c r="E1449">
        <v>64</v>
      </c>
      <c r="F1449">
        <v>25</v>
      </c>
      <c r="G1449">
        <v>39</v>
      </c>
      <c r="H1449" t="s">
        <v>3489</v>
      </c>
      <c r="I1449" t="s">
        <v>3490</v>
      </c>
      <c r="J1449" t="s">
        <v>3001</v>
      </c>
    </row>
    <row r="1450" spans="1:10" x14ac:dyDescent="0.25">
      <c r="A1450" t="s">
        <v>1815</v>
      </c>
      <c r="B1450" t="s">
        <v>212</v>
      </c>
      <c r="C1450">
        <v>8</v>
      </c>
      <c r="D1450" t="s">
        <v>3480</v>
      </c>
      <c r="E1450">
        <v>50</v>
      </c>
      <c r="F1450">
        <v>22</v>
      </c>
      <c r="G1450">
        <v>28</v>
      </c>
      <c r="H1450" t="s">
        <v>3493</v>
      </c>
      <c r="I1450" t="s">
        <v>3490</v>
      </c>
      <c r="J1450" t="s">
        <v>3001</v>
      </c>
    </row>
    <row r="1451" spans="1:10" x14ac:dyDescent="0.25">
      <c r="A1451" t="s">
        <v>1815</v>
      </c>
      <c r="B1451" t="s">
        <v>212</v>
      </c>
      <c r="C1451">
        <v>8</v>
      </c>
      <c r="D1451" t="s">
        <v>3482</v>
      </c>
      <c r="E1451">
        <v>79</v>
      </c>
      <c r="F1451">
        <v>20</v>
      </c>
      <c r="G1451">
        <v>59</v>
      </c>
      <c r="H1451" t="s">
        <v>3494</v>
      </c>
      <c r="I1451" t="s">
        <v>3490</v>
      </c>
      <c r="J1451" t="s">
        <v>3001</v>
      </c>
    </row>
    <row r="1452" spans="1:10" x14ac:dyDescent="0.25">
      <c r="A1452" t="s">
        <v>1820</v>
      </c>
      <c r="B1452" t="s">
        <v>75</v>
      </c>
      <c r="C1452">
        <v>4</v>
      </c>
      <c r="D1452" t="s">
        <v>3034</v>
      </c>
      <c r="E1452">
        <v>56</v>
      </c>
      <c r="F1452">
        <v>12</v>
      </c>
      <c r="G1452">
        <v>44</v>
      </c>
      <c r="H1452" t="s">
        <v>3493</v>
      </c>
      <c r="I1452" t="s">
        <v>3490</v>
      </c>
      <c r="J1452" t="s">
        <v>2961</v>
      </c>
    </row>
    <row r="1453" spans="1:10" x14ac:dyDescent="0.25">
      <c r="A1453" t="s">
        <v>1820</v>
      </c>
      <c r="B1453" t="s">
        <v>75</v>
      </c>
      <c r="C1453">
        <v>4</v>
      </c>
      <c r="D1453" t="s">
        <v>3036</v>
      </c>
      <c r="E1453">
        <v>36</v>
      </c>
      <c r="F1453">
        <v>10</v>
      </c>
      <c r="G1453">
        <v>26</v>
      </c>
      <c r="H1453" t="s">
        <v>3491</v>
      </c>
      <c r="I1453" t="s">
        <v>3492</v>
      </c>
      <c r="J1453" t="s">
        <v>2961</v>
      </c>
    </row>
    <row r="1454" spans="1:10" x14ac:dyDescent="0.25">
      <c r="A1454" t="s">
        <v>1820</v>
      </c>
      <c r="B1454" t="s">
        <v>75</v>
      </c>
      <c r="C1454">
        <v>4</v>
      </c>
      <c r="D1454" t="s">
        <v>3038</v>
      </c>
      <c r="E1454">
        <v>43</v>
      </c>
      <c r="F1454">
        <v>12</v>
      </c>
      <c r="G1454">
        <v>31</v>
      </c>
      <c r="H1454" t="s">
        <v>3491</v>
      </c>
      <c r="I1454" t="s">
        <v>3492</v>
      </c>
      <c r="J1454" t="s">
        <v>2961</v>
      </c>
    </row>
    <row r="1455" spans="1:10" x14ac:dyDescent="0.25">
      <c r="A1455" t="s">
        <v>1820</v>
      </c>
      <c r="B1455" t="s">
        <v>75</v>
      </c>
      <c r="C1455">
        <v>4</v>
      </c>
      <c r="D1455" t="s">
        <v>3040</v>
      </c>
      <c r="E1455">
        <v>83</v>
      </c>
      <c r="F1455">
        <v>18</v>
      </c>
      <c r="G1455">
        <v>65</v>
      </c>
      <c r="H1455" t="s">
        <v>196</v>
      </c>
      <c r="I1455" t="s">
        <v>3490</v>
      </c>
      <c r="J1455" t="s">
        <v>2961</v>
      </c>
    </row>
    <row r="1456" spans="1:10" x14ac:dyDescent="0.25">
      <c r="A1456" t="s">
        <v>1820</v>
      </c>
      <c r="B1456" t="s">
        <v>75</v>
      </c>
      <c r="C1456">
        <v>4</v>
      </c>
      <c r="D1456" t="s">
        <v>3042</v>
      </c>
      <c r="E1456">
        <v>38</v>
      </c>
      <c r="F1456">
        <v>13</v>
      </c>
      <c r="G1456">
        <v>25</v>
      </c>
      <c r="H1456" t="s">
        <v>3491</v>
      </c>
      <c r="I1456" t="s">
        <v>3492</v>
      </c>
      <c r="J1456" t="s">
        <v>2961</v>
      </c>
    </row>
    <row r="1457" spans="1:10" x14ac:dyDescent="0.25">
      <c r="A1457" t="s">
        <v>1826</v>
      </c>
      <c r="B1457" t="s">
        <v>212</v>
      </c>
      <c r="C1457">
        <v>4</v>
      </c>
      <c r="D1457" t="s">
        <v>3454</v>
      </c>
      <c r="E1457">
        <v>73</v>
      </c>
      <c r="F1457">
        <v>21</v>
      </c>
      <c r="G1457">
        <v>52</v>
      </c>
      <c r="H1457" t="s">
        <v>3494</v>
      </c>
      <c r="I1457" t="s">
        <v>3490</v>
      </c>
      <c r="J1457" t="s">
        <v>3001</v>
      </c>
    </row>
    <row r="1458" spans="1:10" x14ac:dyDescent="0.25">
      <c r="A1458" t="s">
        <v>1826</v>
      </c>
      <c r="B1458" t="s">
        <v>212</v>
      </c>
      <c r="C1458">
        <v>4</v>
      </c>
      <c r="D1458" t="s">
        <v>3456</v>
      </c>
      <c r="E1458">
        <v>72</v>
      </c>
      <c r="F1458">
        <v>18</v>
      </c>
      <c r="G1458">
        <v>54</v>
      </c>
      <c r="H1458" t="s">
        <v>3494</v>
      </c>
      <c r="I1458" t="s">
        <v>3490</v>
      </c>
      <c r="J1458" t="s">
        <v>3001</v>
      </c>
    </row>
    <row r="1459" spans="1:10" x14ac:dyDescent="0.25">
      <c r="A1459" t="s">
        <v>1826</v>
      </c>
      <c r="B1459" t="s">
        <v>212</v>
      </c>
      <c r="C1459">
        <v>4</v>
      </c>
      <c r="D1459" t="s">
        <v>3458</v>
      </c>
      <c r="E1459">
        <v>86</v>
      </c>
      <c r="F1459">
        <v>26</v>
      </c>
      <c r="G1459">
        <v>60</v>
      </c>
      <c r="H1459" t="s">
        <v>196</v>
      </c>
      <c r="I1459" t="s">
        <v>3490</v>
      </c>
      <c r="J1459" t="s">
        <v>3001</v>
      </c>
    </row>
    <row r="1460" spans="1:10" x14ac:dyDescent="0.25">
      <c r="A1460" t="s">
        <v>1826</v>
      </c>
      <c r="B1460" t="s">
        <v>212</v>
      </c>
      <c r="C1460">
        <v>4</v>
      </c>
      <c r="D1460" t="s">
        <v>3460</v>
      </c>
      <c r="E1460">
        <v>45</v>
      </c>
      <c r="F1460">
        <v>22</v>
      </c>
      <c r="G1460">
        <v>23</v>
      </c>
      <c r="H1460" t="s">
        <v>3491</v>
      </c>
      <c r="I1460" t="s">
        <v>3492</v>
      </c>
      <c r="J1460" t="s">
        <v>3001</v>
      </c>
    </row>
    <row r="1461" spans="1:10" x14ac:dyDescent="0.25">
      <c r="A1461" t="s">
        <v>1826</v>
      </c>
      <c r="B1461" t="s">
        <v>212</v>
      </c>
      <c r="C1461">
        <v>4</v>
      </c>
      <c r="D1461" t="s">
        <v>3462</v>
      </c>
      <c r="E1461">
        <v>78</v>
      </c>
      <c r="F1461">
        <v>10</v>
      </c>
      <c r="G1461">
        <v>68</v>
      </c>
      <c r="H1461" t="s">
        <v>3494</v>
      </c>
      <c r="I1461" t="s">
        <v>3490</v>
      </c>
      <c r="J1461" t="s">
        <v>3001</v>
      </c>
    </row>
    <row r="1462" spans="1:10" x14ac:dyDescent="0.25">
      <c r="A1462" t="s">
        <v>1831</v>
      </c>
      <c r="B1462" t="s">
        <v>105</v>
      </c>
      <c r="C1462">
        <v>4</v>
      </c>
      <c r="D1462" t="s">
        <v>3154</v>
      </c>
      <c r="E1462">
        <v>47</v>
      </c>
      <c r="F1462">
        <v>27</v>
      </c>
      <c r="G1462">
        <v>20</v>
      </c>
      <c r="H1462" t="s">
        <v>3491</v>
      </c>
      <c r="I1462" t="s">
        <v>3492</v>
      </c>
      <c r="J1462" t="s">
        <v>2908</v>
      </c>
    </row>
    <row r="1463" spans="1:10" x14ac:dyDescent="0.25">
      <c r="A1463" t="s">
        <v>1831</v>
      </c>
      <c r="B1463" t="s">
        <v>105</v>
      </c>
      <c r="C1463">
        <v>4</v>
      </c>
      <c r="D1463" t="s">
        <v>3156</v>
      </c>
      <c r="E1463">
        <v>63</v>
      </c>
      <c r="F1463">
        <v>13</v>
      </c>
      <c r="G1463">
        <v>50</v>
      </c>
      <c r="H1463" t="s">
        <v>3489</v>
      </c>
      <c r="I1463" t="s">
        <v>3490</v>
      </c>
      <c r="J1463" t="s">
        <v>2908</v>
      </c>
    </row>
    <row r="1464" spans="1:10" x14ac:dyDescent="0.25">
      <c r="A1464" t="s">
        <v>1831</v>
      </c>
      <c r="B1464" t="s">
        <v>105</v>
      </c>
      <c r="C1464">
        <v>4</v>
      </c>
      <c r="D1464" t="s">
        <v>3158</v>
      </c>
      <c r="E1464">
        <v>81</v>
      </c>
      <c r="F1464">
        <v>28</v>
      </c>
      <c r="G1464">
        <v>53</v>
      </c>
      <c r="H1464" t="s">
        <v>196</v>
      </c>
      <c r="I1464" t="s">
        <v>3490</v>
      </c>
      <c r="J1464" t="s">
        <v>2908</v>
      </c>
    </row>
    <row r="1465" spans="1:10" x14ac:dyDescent="0.25">
      <c r="A1465" t="s">
        <v>1831</v>
      </c>
      <c r="B1465" t="s">
        <v>105</v>
      </c>
      <c r="C1465">
        <v>4</v>
      </c>
      <c r="D1465" t="s">
        <v>3160</v>
      </c>
      <c r="E1465">
        <v>72</v>
      </c>
      <c r="F1465">
        <v>22</v>
      </c>
      <c r="G1465">
        <v>50</v>
      </c>
      <c r="H1465" t="s">
        <v>3494</v>
      </c>
      <c r="I1465" t="s">
        <v>3490</v>
      </c>
      <c r="J1465" t="s">
        <v>2908</v>
      </c>
    </row>
    <row r="1466" spans="1:10" x14ac:dyDescent="0.25">
      <c r="A1466" t="s">
        <v>1831</v>
      </c>
      <c r="B1466" t="s">
        <v>105</v>
      </c>
      <c r="C1466">
        <v>4</v>
      </c>
      <c r="D1466" t="s">
        <v>3162</v>
      </c>
      <c r="E1466">
        <v>80</v>
      </c>
      <c r="F1466">
        <v>25</v>
      </c>
      <c r="G1466">
        <v>55</v>
      </c>
      <c r="H1466" t="s">
        <v>196</v>
      </c>
      <c r="I1466" t="s">
        <v>3490</v>
      </c>
      <c r="J1466" t="s">
        <v>2908</v>
      </c>
    </row>
    <row r="1467" spans="1:10" x14ac:dyDescent="0.25">
      <c r="A1467" t="s">
        <v>1836</v>
      </c>
      <c r="B1467" t="s">
        <v>105</v>
      </c>
      <c r="C1467">
        <v>8</v>
      </c>
      <c r="D1467" t="s">
        <v>3174</v>
      </c>
      <c r="E1467">
        <v>46</v>
      </c>
      <c r="F1467">
        <v>14</v>
      </c>
      <c r="G1467">
        <v>32</v>
      </c>
      <c r="H1467" t="s">
        <v>3491</v>
      </c>
      <c r="I1467" t="s">
        <v>3492</v>
      </c>
      <c r="J1467" t="s">
        <v>2908</v>
      </c>
    </row>
    <row r="1468" spans="1:10" x14ac:dyDescent="0.25">
      <c r="A1468" t="s">
        <v>1836</v>
      </c>
      <c r="B1468" t="s">
        <v>105</v>
      </c>
      <c r="C1468">
        <v>8</v>
      </c>
      <c r="D1468" t="s">
        <v>3176</v>
      </c>
      <c r="E1468">
        <v>43</v>
      </c>
      <c r="F1468">
        <v>12</v>
      </c>
      <c r="G1468">
        <v>31</v>
      </c>
      <c r="H1468" t="s">
        <v>3491</v>
      </c>
      <c r="I1468" t="s">
        <v>3492</v>
      </c>
      <c r="J1468" t="s">
        <v>2908</v>
      </c>
    </row>
    <row r="1469" spans="1:10" x14ac:dyDescent="0.25">
      <c r="A1469" t="s">
        <v>1836</v>
      </c>
      <c r="B1469" t="s">
        <v>105</v>
      </c>
      <c r="C1469">
        <v>8</v>
      </c>
      <c r="D1469" t="s">
        <v>3178</v>
      </c>
      <c r="E1469">
        <v>86</v>
      </c>
      <c r="F1469">
        <v>28</v>
      </c>
      <c r="G1469">
        <v>58</v>
      </c>
      <c r="H1469" t="s">
        <v>196</v>
      </c>
      <c r="I1469" t="s">
        <v>3490</v>
      </c>
      <c r="J1469" t="s">
        <v>2908</v>
      </c>
    </row>
    <row r="1470" spans="1:10" x14ac:dyDescent="0.25">
      <c r="A1470" t="s">
        <v>1836</v>
      </c>
      <c r="B1470" t="s">
        <v>105</v>
      </c>
      <c r="C1470">
        <v>8</v>
      </c>
      <c r="D1470" t="s">
        <v>3180</v>
      </c>
      <c r="E1470">
        <v>69</v>
      </c>
      <c r="F1470">
        <v>21</v>
      </c>
      <c r="G1470">
        <v>48</v>
      </c>
      <c r="H1470" t="s">
        <v>3489</v>
      </c>
      <c r="I1470" t="s">
        <v>3490</v>
      </c>
      <c r="J1470" t="s">
        <v>2908</v>
      </c>
    </row>
    <row r="1471" spans="1:10" x14ac:dyDescent="0.25">
      <c r="A1471" t="s">
        <v>1836</v>
      </c>
      <c r="B1471" t="s">
        <v>105</v>
      </c>
      <c r="C1471">
        <v>8</v>
      </c>
      <c r="D1471" t="s">
        <v>3182</v>
      </c>
      <c r="E1471">
        <v>47</v>
      </c>
      <c r="F1471">
        <v>10</v>
      </c>
      <c r="G1471">
        <v>37</v>
      </c>
      <c r="H1471" t="s">
        <v>3491</v>
      </c>
      <c r="I1471" t="s">
        <v>3492</v>
      </c>
      <c r="J1471" t="s">
        <v>2908</v>
      </c>
    </row>
    <row r="1472" spans="1:10" x14ac:dyDescent="0.25">
      <c r="A1472" t="s">
        <v>1842</v>
      </c>
      <c r="B1472" t="s">
        <v>95</v>
      </c>
      <c r="C1472">
        <v>4</v>
      </c>
      <c r="D1472" t="s">
        <v>3214</v>
      </c>
      <c r="E1472">
        <v>52</v>
      </c>
      <c r="F1472">
        <v>24</v>
      </c>
      <c r="G1472">
        <v>28</v>
      </c>
      <c r="H1472" t="s">
        <v>3493</v>
      </c>
      <c r="I1472" t="s">
        <v>3490</v>
      </c>
      <c r="J1472" t="s">
        <v>2889</v>
      </c>
    </row>
    <row r="1473" spans="1:10" x14ac:dyDescent="0.25">
      <c r="A1473" t="s">
        <v>1842</v>
      </c>
      <c r="B1473" t="s">
        <v>95</v>
      </c>
      <c r="C1473">
        <v>4</v>
      </c>
      <c r="D1473" t="s">
        <v>3216</v>
      </c>
      <c r="E1473">
        <v>93</v>
      </c>
      <c r="F1473">
        <v>23</v>
      </c>
      <c r="G1473">
        <v>70</v>
      </c>
      <c r="H1473" t="s">
        <v>3495</v>
      </c>
      <c r="I1473" t="s">
        <v>3490</v>
      </c>
      <c r="J1473" t="s">
        <v>2889</v>
      </c>
    </row>
    <row r="1474" spans="1:10" x14ac:dyDescent="0.25">
      <c r="A1474" t="s">
        <v>1842</v>
      </c>
      <c r="B1474" t="s">
        <v>95</v>
      </c>
      <c r="C1474">
        <v>4</v>
      </c>
      <c r="D1474" t="s">
        <v>3218</v>
      </c>
      <c r="E1474">
        <v>48</v>
      </c>
      <c r="F1474">
        <v>18</v>
      </c>
      <c r="G1474">
        <v>30</v>
      </c>
      <c r="H1474" t="s">
        <v>3491</v>
      </c>
      <c r="I1474" t="s">
        <v>3492</v>
      </c>
      <c r="J1474" t="s">
        <v>2889</v>
      </c>
    </row>
    <row r="1475" spans="1:10" x14ac:dyDescent="0.25">
      <c r="A1475" t="s">
        <v>1842</v>
      </c>
      <c r="B1475" t="s">
        <v>95</v>
      </c>
      <c r="C1475">
        <v>4</v>
      </c>
      <c r="D1475" t="s">
        <v>3220</v>
      </c>
      <c r="E1475">
        <v>77</v>
      </c>
      <c r="F1475">
        <v>30</v>
      </c>
      <c r="G1475">
        <v>47</v>
      </c>
      <c r="H1475" t="s">
        <v>3494</v>
      </c>
      <c r="I1475" t="s">
        <v>3490</v>
      </c>
      <c r="J1475" t="s">
        <v>2889</v>
      </c>
    </row>
    <row r="1476" spans="1:10" x14ac:dyDescent="0.25">
      <c r="A1476" t="s">
        <v>1842</v>
      </c>
      <c r="B1476" t="s">
        <v>95</v>
      </c>
      <c r="C1476">
        <v>4</v>
      </c>
      <c r="D1476" t="s">
        <v>3222</v>
      </c>
      <c r="E1476">
        <v>41</v>
      </c>
      <c r="F1476">
        <v>12</v>
      </c>
      <c r="G1476">
        <v>29</v>
      </c>
      <c r="H1476" t="s">
        <v>3491</v>
      </c>
      <c r="I1476" t="s">
        <v>3492</v>
      </c>
      <c r="J1476" t="s">
        <v>2889</v>
      </c>
    </row>
    <row r="1477" spans="1:10" x14ac:dyDescent="0.25">
      <c r="A1477" t="s">
        <v>1846</v>
      </c>
      <c r="B1477" t="s">
        <v>95</v>
      </c>
      <c r="C1477">
        <v>6</v>
      </c>
      <c r="D1477" t="s">
        <v>3234</v>
      </c>
      <c r="E1477">
        <v>43</v>
      </c>
      <c r="F1477">
        <v>13</v>
      </c>
      <c r="G1477">
        <v>30</v>
      </c>
      <c r="H1477" t="s">
        <v>3491</v>
      </c>
      <c r="I1477" t="s">
        <v>3492</v>
      </c>
      <c r="J1477" t="s">
        <v>2889</v>
      </c>
    </row>
    <row r="1478" spans="1:10" x14ac:dyDescent="0.25">
      <c r="A1478" t="s">
        <v>1846</v>
      </c>
      <c r="B1478" t="s">
        <v>95</v>
      </c>
      <c r="C1478">
        <v>6</v>
      </c>
      <c r="D1478" t="s">
        <v>3236</v>
      </c>
      <c r="E1478">
        <v>44</v>
      </c>
      <c r="F1478">
        <v>11</v>
      </c>
      <c r="G1478">
        <v>33</v>
      </c>
      <c r="H1478" t="s">
        <v>3491</v>
      </c>
      <c r="I1478" t="s">
        <v>3492</v>
      </c>
      <c r="J1478" t="s">
        <v>2889</v>
      </c>
    </row>
    <row r="1479" spans="1:10" x14ac:dyDescent="0.25">
      <c r="A1479" t="s">
        <v>1846</v>
      </c>
      <c r="B1479" t="s">
        <v>95</v>
      </c>
      <c r="C1479">
        <v>6</v>
      </c>
      <c r="D1479" t="s">
        <v>3238</v>
      </c>
      <c r="E1479">
        <v>62</v>
      </c>
      <c r="F1479">
        <v>26</v>
      </c>
      <c r="G1479">
        <v>36</v>
      </c>
      <c r="H1479" t="s">
        <v>3489</v>
      </c>
      <c r="I1479" t="s">
        <v>3490</v>
      </c>
      <c r="J1479" t="s">
        <v>2889</v>
      </c>
    </row>
    <row r="1480" spans="1:10" x14ac:dyDescent="0.25">
      <c r="A1480" t="s">
        <v>1846</v>
      </c>
      <c r="B1480" t="s">
        <v>95</v>
      </c>
      <c r="C1480">
        <v>6</v>
      </c>
      <c r="D1480" t="s">
        <v>3240</v>
      </c>
      <c r="E1480">
        <v>84</v>
      </c>
      <c r="F1480">
        <v>17</v>
      </c>
      <c r="G1480">
        <v>67</v>
      </c>
      <c r="H1480" t="s">
        <v>196</v>
      </c>
      <c r="I1480" t="s">
        <v>3490</v>
      </c>
      <c r="J1480" t="s">
        <v>2889</v>
      </c>
    </row>
    <row r="1481" spans="1:10" x14ac:dyDescent="0.25">
      <c r="A1481" t="s">
        <v>1846</v>
      </c>
      <c r="B1481" t="s">
        <v>95</v>
      </c>
      <c r="C1481">
        <v>6</v>
      </c>
      <c r="D1481" t="s">
        <v>3242</v>
      </c>
      <c r="E1481">
        <v>66</v>
      </c>
      <c r="F1481">
        <v>25</v>
      </c>
      <c r="G1481">
        <v>41</v>
      </c>
      <c r="H1481" t="s">
        <v>3489</v>
      </c>
      <c r="I1481" t="s">
        <v>3490</v>
      </c>
      <c r="J1481" t="s">
        <v>2889</v>
      </c>
    </row>
    <row r="1482" spans="1:10" x14ac:dyDescent="0.25">
      <c r="A1482" t="s">
        <v>1852</v>
      </c>
      <c r="B1482" t="s">
        <v>159</v>
      </c>
      <c r="C1482">
        <v>4</v>
      </c>
      <c r="D1482" t="s">
        <v>3094</v>
      </c>
      <c r="E1482">
        <v>64</v>
      </c>
      <c r="F1482">
        <v>17</v>
      </c>
      <c r="G1482">
        <v>47</v>
      </c>
      <c r="H1482" t="s">
        <v>3489</v>
      </c>
      <c r="I1482" t="s">
        <v>3490</v>
      </c>
      <c r="J1482" t="s">
        <v>2902</v>
      </c>
    </row>
    <row r="1483" spans="1:10" x14ac:dyDescent="0.25">
      <c r="A1483" t="s">
        <v>1852</v>
      </c>
      <c r="B1483" t="s">
        <v>159</v>
      </c>
      <c r="C1483">
        <v>4</v>
      </c>
      <c r="D1483" t="s">
        <v>3096</v>
      </c>
      <c r="E1483">
        <v>85</v>
      </c>
      <c r="F1483">
        <v>21</v>
      </c>
      <c r="G1483">
        <v>64</v>
      </c>
      <c r="H1483" t="s">
        <v>196</v>
      </c>
      <c r="I1483" t="s">
        <v>3490</v>
      </c>
      <c r="J1483" t="s">
        <v>2902</v>
      </c>
    </row>
    <row r="1484" spans="1:10" x14ac:dyDescent="0.25">
      <c r="A1484" t="s">
        <v>1852</v>
      </c>
      <c r="B1484" t="s">
        <v>159</v>
      </c>
      <c r="C1484">
        <v>4</v>
      </c>
      <c r="D1484" t="s">
        <v>3098</v>
      </c>
      <c r="E1484">
        <v>94</v>
      </c>
      <c r="F1484">
        <v>28</v>
      </c>
      <c r="G1484">
        <v>66</v>
      </c>
      <c r="H1484" t="s">
        <v>3495</v>
      </c>
      <c r="I1484" t="s">
        <v>3490</v>
      </c>
      <c r="J1484" t="s">
        <v>2902</v>
      </c>
    </row>
    <row r="1485" spans="1:10" x14ac:dyDescent="0.25">
      <c r="A1485" t="s">
        <v>1852</v>
      </c>
      <c r="B1485" t="s">
        <v>159</v>
      </c>
      <c r="C1485">
        <v>4</v>
      </c>
      <c r="D1485" t="s">
        <v>3100</v>
      </c>
      <c r="E1485">
        <v>90</v>
      </c>
      <c r="F1485">
        <v>22</v>
      </c>
      <c r="G1485">
        <v>68</v>
      </c>
      <c r="H1485" t="s">
        <v>3495</v>
      </c>
      <c r="I1485" t="s">
        <v>3490</v>
      </c>
      <c r="J1485" t="s">
        <v>2902</v>
      </c>
    </row>
    <row r="1486" spans="1:10" x14ac:dyDescent="0.25">
      <c r="A1486" t="s">
        <v>1852</v>
      </c>
      <c r="B1486" t="s">
        <v>159</v>
      </c>
      <c r="C1486">
        <v>4</v>
      </c>
      <c r="D1486" t="s">
        <v>3102</v>
      </c>
      <c r="E1486">
        <v>50</v>
      </c>
      <c r="F1486">
        <v>27</v>
      </c>
      <c r="G1486">
        <v>23</v>
      </c>
      <c r="H1486" t="s">
        <v>3493</v>
      </c>
      <c r="I1486" t="s">
        <v>3490</v>
      </c>
      <c r="J1486" t="s">
        <v>2902</v>
      </c>
    </row>
    <row r="1487" spans="1:10" x14ac:dyDescent="0.25">
      <c r="A1487" t="s">
        <v>1857</v>
      </c>
      <c r="B1487" t="s">
        <v>75</v>
      </c>
      <c r="C1487">
        <v>8</v>
      </c>
      <c r="D1487" t="s">
        <v>3054</v>
      </c>
      <c r="E1487">
        <v>79</v>
      </c>
      <c r="F1487">
        <v>24</v>
      </c>
      <c r="G1487">
        <v>55</v>
      </c>
      <c r="H1487" t="s">
        <v>3494</v>
      </c>
      <c r="I1487" t="s">
        <v>3490</v>
      </c>
      <c r="J1487" t="s">
        <v>2961</v>
      </c>
    </row>
    <row r="1488" spans="1:10" x14ac:dyDescent="0.25">
      <c r="A1488" t="s">
        <v>1857</v>
      </c>
      <c r="B1488" t="s">
        <v>75</v>
      </c>
      <c r="C1488">
        <v>8</v>
      </c>
      <c r="D1488" t="s">
        <v>3056</v>
      </c>
      <c r="E1488">
        <v>81</v>
      </c>
      <c r="F1488">
        <v>21</v>
      </c>
      <c r="G1488">
        <v>60</v>
      </c>
      <c r="H1488" t="s">
        <v>196</v>
      </c>
      <c r="I1488" t="s">
        <v>3490</v>
      </c>
      <c r="J1488" t="s">
        <v>2961</v>
      </c>
    </row>
    <row r="1489" spans="1:10" x14ac:dyDescent="0.25">
      <c r="A1489" t="s">
        <v>1857</v>
      </c>
      <c r="B1489" t="s">
        <v>75</v>
      </c>
      <c r="C1489">
        <v>8</v>
      </c>
      <c r="D1489" t="s">
        <v>3058</v>
      </c>
      <c r="E1489">
        <v>58</v>
      </c>
      <c r="F1489">
        <v>15</v>
      </c>
      <c r="G1489">
        <v>43</v>
      </c>
      <c r="H1489" t="s">
        <v>3493</v>
      </c>
      <c r="I1489" t="s">
        <v>3490</v>
      </c>
      <c r="J1489" t="s">
        <v>2961</v>
      </c>
    </row>
    <row r="1490" spans="1:10" x14ac:dyDescent="0.25">
      <c r="A1490" t="s">
        <v>1857</v>
      </c>
      <c r="B1490" t="s">
        <v>75</v>
      </c>
      <c r="C1490">
        <v>8</v>
      </c>
      <c r="D1490" t="s">
        <v>3060</v>
      </c>
      <c r="E1490">
        <v>70</v>
      </c>
      <c r="F1490">
        <v>18</v>
      </c>
      <c r="G1490">
        <v>52</v>
      </c>
      <c r="H1490" t="s">
        <v>3494</v>
      </c>
      <c r="I1490" t="s">
        <v>3490</v>
      </c>
      <c r="J1490" t="s">
        <v>2961</v>
      </c>
    </row>
    <row r="1491" spans="1:10" x14ac:dyDescent="0.25">
      <c r="A1491" t="s">
        <v>1857</v>
      </c>
      <c r="B1491" t="s">
        <v>75</v>
      </c>
      <c r="C1491">
        <v>8</v>
      </c>
      <c r="D1491" t="s">
        <v>3062</v>
      </c>
      <c r="E1491">
        <v>54</v>
      </c>
      <c r="F1491">
        <v>15</v>
      </c>
      <c r="G1491">
        <v>39</v>
      </c>
      <c r="H1491" t="s">
        <v>3493</v>
      </c>
      <c r="I1491" t="s">
        <v>3490</v>
      </c>
      <c r="J1491" t="s">
        <v>2961</v>
      </c>
    </row>
    <row r="1492" spans="1:10" x14ac:dyDescent="0.25">
      <c r="A1492" t="s">
        <v>1862</v>
      </c>
      <c r="B1492" t="s">
        <v>30</v>
      </c>
      <c r="C1492">
        <v>6</v>
      </c>
      <c r="D1492" t="s">
        <v>3354</v>
      </c>
      <c r="E1492">
        <v>41</v>
      </c>
      <c r="F1492">
        <v>14</v>
      </c>
      <c r="G1492">
        <v>27</v>
      </c>
      <c r="H1492" t="s">
        <v>3491</v>
      </c>
      <c r="I1492" t="s">
        <v>3492</v>
      </c>
      <c r="J1492" t="s">
        <v>2895</v>
      </c>
    </row>
    <row r="1493" spans="1:10" x14ac:dyDescent="0.25">
      <c r="A1493" t="s">
        <v>1862</v>
      </c>
      <c r="B1493" t="s">
        <v>30</v>
      </c>
      <c r="C1493">
        <v>6</v>
      </c>
      <c r="D1493" t="s">
        <v>3356</v>
      </c>
      <c r="E1493">
        <v>91</v>
      </c>
      <c r="F1493">
        <v>27</v>
      </c>
      <c r="G1493">
        <v>64</v>
      </c>
      <c r="H1493" t="s">
        <v>3495</v>
      </c>
      <c r="I1493" t="s">
        <v>3490</v>
      </c>
      <c r="J1493" t="s">
        <v>2895</v>
      </c>
    </row>
    <row r="1494" spans="1:10" x14ac:dyDescent="0.25">
      <c r="A1494" t="s">
        <v>1862</v>
      </c>
      <c r="B1494" t="s">
        <v>30</v>
      </c>
      <c r="C1494">
        <v>6</v>
      </c>
      <c r="D1494" t="s">
        <v>3358</v>
      </c>
      <c r="E1494">
        <v>69</v>
      </c>
      <c r="F1494">
        <v>17</v>
      </c>
      <c r="G1494">
        <v>52</v>
      </c>
      <c r="H1494" t="s">
        <v>3489</v>
      </c>
      <c r="I1494" t="s">
        <v>3490</v>
      </c>
      <c r="J1494" t="s">
        <v>2895</v>
      </c>
    </row>
    <row r="1495" spans="1:10" x14ac:dyDescent="0.25">
      <c r="A1495" t="s">
        <v>1862</v>
      </c>
      <c r="B1495" t="s">
        <v>30</v>
      </c>
      <c r="C1495">
        <v>6</v>
      </c>
      <c r="D1495" t="s">
        <v>3360</v>
      </c>
      <c r="E1495">
        <v>56</v>
      </c>
      <c r="F1495">
        <v>20</v>
      </c>
      <c r="G1495">
        <v>36</v>
      </c>
      <c r="H1495" t="s">
        <v>3493</v>
      </c>
      <c r="I1495" t="s">
        <v>3490</v>
      </c>
      <c r="J1495" t="s">
        <v>2895</v>
      </c>
    </row>
    <row r="1496" spans="1:10" x14ac:dyDescent="0.25">
      <c r="A1496" t="s">
        <v>1862</v>
      </c>
      <c r="B1496" t="s">
        <v>30</v>
      </c>
      <c r="C1496">
        <v>6</v>
      </c>
      <c r="D1496" t="s">
        <v>3362</v>
      </c>
      <c r="E1496">
        <v>89</v>
      </c>
      <c r="F1496">
        <v>21</v>
      </c>
      <c r="G1496">
        <v>68</v>
      </c>
      <c r="H1496" t="s">
        <v>196</v>
      </c>
      <c r="I1496" t="s">
        <v>3490</v>
      </c>
      <c r="J1496" t="s">
        <v>2895</v>
      </c>
    </row>
    <row r="1497" spans="1:10" x14ac:dyDescent="0.25">
      <c r="A1497" t="s">
        <v>1866</v>
      </c>
      <c r="B1497" t="s">
        <v>95</v>
      </c>
      <c r="C1497">
        <v>4</v>
      </c>
      <c r="D1497" t="s">
        <v>3214</v>
      </c>
      <c r="E1497">
        <v>41</v>
      </c>
      <c r="F1497">
        <v>18</v>
      </c>
      <c r="G1497">
        <v>23</v>
      </c>
      <c r="H1497" t="s">
        <v>3491</v>
      </c>
      <c r="I1497" t="s">
        <v>3492</v>
      </c>
      <c r="J1497" t="s">
        <v>2889</v>
      </c>
    </row>
    <row r="1498" spans="1:10" x14ac:dyDescent="0.25">
      <c r="A1498" t="s">
        <v>1866</v>
      </c>
      <c r="B1498" t="s">
        <v>95</v>
      </c>
      <c r="C1498">
        <v>4</v>
      </c>
      <c r="D1498" t="s">
        <v>3216</v>
      </c>
      <c r="E1498">
        <v>74</v>
      </c>
      <c r="F1498">
        <v>11</v>
      </c>
      <c r="G1498">
        <v>63</v>
      </c>
      <c r="H1498" t="s">
        <v>3494</v>
      </c>
      <c r="I1498" t="s">
        <v>3490</v>
      </c>
      <c r="J1498" t="s">
        <v>2889</v>
      </c>
    </row>
    <row r="1499" spans="1:10" x14ac:dyDescent="0.25">
      <c r="A1499" t="s">
        <v>1866</v>
      </c>
      <c r="B1499" t="s">
        <v>95</v>
      </c>
      <c r="C1499">
        <v>4</v>
      </c>
      <c r="D1499" t="s">
        <v>3218</v>
      </c>
      <c r="E1499">
        <v>59</v>
      </c>
      <c r="F1499">
        <v>23</v>
      </c>
      <c r="G1499">
        <v>36</v>
      </c>
      <c r="H1499" t="s">
        <v>3493</v>
      </c>
      <c r="I1499" t="s">
        <v>3490</v>
      </c>
      <c r="J1499" t="s">
        <v>2889</v>
      </c>
    </row>
    <row r="1500" spans="1:10" x14ac:dyDescent="0.25">
      <c r="A1500" t="s">
        <v>1866</v>
      </c>
      <c r="B1500" t="s">
        <v>95</v>
      </c>
      <c r="C1500">
        <v>4</v>
      </c>
      <c r="D1500" t="s">
        <v>3220</v>
      </c>
      <c r="E1500">
        <v>80</v>
      </c>
      <c r="F1500">
        <v>19</v>
      </c>
      <c r="G1500">
        <v>61</v>
      </c>
      <c r="H1500" t="s">
        <v>196</v>
      </c>
      <c r="I1500" t="s">
        <v>3490</v>
      </c>
      <c r="J1500" t="s">
        <v>2889</v>
      </c>
    </row>
    <row r="1501" spans="1:10" x14ac:dyDescent="0.25">
      <c r="A1501" t="s">
        <v>1866</v>
      </c>
      <c r="B1501" t="s">
        <v>95</v>
      </c>
      <c r="C1501">
        <v>4</v>
      </c>
      <c r="D1501" t="s">
        <v>3222</v>
      </c>
      <c r="E1501">
        <v>59</v>
      </c>
      <c r="F1501">
        <v>21</v>
      </c>
      <c r="G1501">
        <v>38</v>
      </c>
      <c r="H1501" t="s">
        <v>3493</v>
      </c>
      <c r="I1501" t="s">
        <v>3490</v>
      </c>
      <c r="J1501" t="s">
        <v>2889</v>
      </c>
    </row>
    <row r="1502" spans="1:10" x14ac:dyDescent="0.25">
      <c r="A1502" t="s">
        <v>1871</v>
      </c>
      <c r="B1502" t="s">
        <v>63</v>
      </c>
      <c r="C1502">
        <v>4</v>
      </c>
      <c r="D1502" t="s">
        <v>3394</v>
      </c>
      <c r="E1502">
        <v>79</v>
      </c>
      <c r="F1502">
        <v>30</v>
      </c>
      <c r="G1502">
        <v>49</v>
      </c>
      <c r="H1502" t="s">
        <v>3494</v>
      </c>
      <c r="I1502" t="s">
        <v>3490</v>
      </c>
      <c r="J1502" t="s">
        <v>2932</v>
      </c>
    </row>
    <row r="1503" spans="1:10" x14ac:dyDescent="0.25">
      <c r="A1503" t="s">
        <v>1871</v>
      </c>
      <c r="B1503" t="s">
        <v>63</v>
      </c>
      <c r="C1503">
        <v>4</v>
      </c>
      <c r="D1503" t="s">
        <v>3396</v>
      </c>
      <c r="E1503">
        <v>87</v>
      </c>
      <c r="F1503">
        <v>20</v>
      </c>
      <c r="G1503">
        <v>67</v>
      </c>
      <c r="H1503" t="s">
        <v>196</v>
      </c>
      <c r="I1503" t="s">
        <v>3490</v>
      </c>
      <c r="J1503" t="s">
        <v>2932</v>
      </c>
    </row>
    <row r="1504" spans="1:10" x14ac:dyDescent="0.25">
      <c r="A1504" t="s">
        <v>1871</v>
      </c>
      <c r="B1504" t="s">
        <v>63</v>
      </c>
      <c r="C1504">
        <v>4</v>
      </c>
      <c r="D1504" t="s">
        <v>3398</v>
      </c>
      <c r="E1504">
        <v>46</v>
      </c>
      <c r="F1504">
        <v>14</v>
      </c>
      <c r="G1504">
        <v>32</v>
      </c>
      <c r="H1504" t="s">
        <v>3491</v>
      </c>
      <c r="I1504" t="s">
        <v>3492</v>
      </c>
      <c r="J1504" t="s">
        <v>2932</v>
      </c>
    </row>
    <row r="1505" spans="1:10" x14ac:dyDescent="0.25">
      <c r="A1505" t="s">
        <v>1871</v>
      </c>
      <c r="B1505" t="s">
        <v>63</v>
      </c>
      <c r="C1505">
        <v>4</v>
      </c>
      <c r="D1505" t="s">
        <v>3400</v>
      </c>
      <c r="E1505">
        <v>39</v>
      </c>
      <c r="F1505">
        <v>12</v>
      </c>
      <c r="G1505">
        <v>27</v>
      </c>
      <c r="H1505" t="s">
        <v>3491</v>
      </c>
      <c r="I1505" t="s">
        <v>3492</v>
      </c>
      <c r="J1505" t="s">
        <v>2932</v>
      </c>
    </row>
    <row r="1506" spans="1:10" x14ac:dyDescent="0.25">
      <c r="A1506" t="s">
        <v>1871</v>
      </c>
      <c r="B1506" t="s">
        <v>63</v>
      </c>
      <c r="C1506">
        <v>4</v>
      </c>
      <c r="D1506" t="s">
        <v>3402</v>
      </c>
      <c r="E1506">
        <v>46</v>
      </c>
      <c r="F1506">
        <v>14</v>
      </c>
      <c r="G1506">
        <v>32</v>
      </c>
      <c r="H1506" t="s">
        <v>3491</v>
      </c>
      <c r="I1506" t="s">
        <v>3492</v>
      </c>
      <c r="J1506" t="s">
        <v>2932</v>
      </c>
    </row>
    <row r="1507" spans="1:10" x14ac:dyDescent="0.25">
      <c r="A1507" t="s">
        <v>1875</v>
      </c>
      <c r="B1507" t="s">
        <v>105</v>
      </c>
      <c r="C1507">
        <v>4</v>
      </c>
      <c r="D1507" t="s">
        <v>3154</v>
      </c>
      <c r="E1507">
        <v>79</v>
      </c>
      <c r="F1507">
        <v>14</v>
      </c>
      <c r="G1507">
        <v>65</v>
      </c>
      <c r="H1507" t="s">
        <v>3494</v>
      </c>
      <c r="I1507" t="s">
        <v>3490</v>
      </c>
      <c r="J1507" t="s">
        <v>2908</v>
      </c>
    </row>
    <row r="1508" spans="1:10" x14ac:dyDescent="0.25">
      <c r="A1508" t="s">
        <v>1875</v>
      </c>
      <c r="B1508" t="s">
        <v>105</v>
      </c>
      <c r="C1508">
        <v>4</v>
      </c>
      <c r="D1508" t="s">
        <v>3156</v>
      </c>
      <c r="E1508">
        <v>62</v>
      </c>
      <c r="F1508">
        <v>24</v>
      </c>
      <c r="G1508">
        <v>38</v>
      </c>
      <c r="H1508" t="s">
        <v>3489</v>
      </c>
      <c r="I1508" t="s">
        <v>3490</v>
      </c>
      <c r="J1508" t="s">
        <v>2908</v>
      </c>
    </row>
    <row r="1509" spans="1:10" x14ac:dyDescent="0.25">
      <c r="A1509" t="s">
        <v>1875</v>
      </c>
      <c r="B1509" t="s">
        <v>105</v>
      </c>
      <c r="C1509">
        <v>4</v>
      </c>
      <c r="D1509" t="s">
        <v>3158</v>
      </c>
      <c r="E1509">
        <v>86</v>
      </c>
      <c r="F1509">
        <v>27</v>
      </c>
      <c r="G1509">
        <v>59</v>
      </c>
      <c r="H1509" t="s">
        <v>196</v>
      </c>
      <c r="I1509" t="s">
        <v>3490</v>
      </c>
      <c r="J1509" t="s">
        <v>2908</v>
      </c>
    </row>
    <row r="1510" spans="1:10" x14ac:dyDescent="0.25">
      <c r="A1510" t="s">
        <v>1875</v>
      </c>
      <c r="B1510" t="s">
        <v>105</v>
      </c>
      <c r="C1510">
        <v>4</v>
      </c>
      <c r="D1510" t="s">
        <v>3160</v>
      </c>
      <c r="E1510">
        <v>88</v>
      </c>
      <c r="F1510">
        <v>25</v>
      </c>
      <c r="G1510">
        <v>63</v>
      </c>
      <c r="H1510" t="s">
        <v>196</v>
      </c>
      <c r="I1510" t="s">
        <v>3490</v>
      </c>
      <c r="J1510" t="s">
        <v>2908</v>
      </c>
    </row>
    <row r="1511" spans="1:10" x14ac:dyDescent="0.25">
      <c r="A1511" t="s">
        <v>1875</v>
      </c>
      <c r="B1511" t="s">
        <v>105</v>
      </c>
      <c r="C1511">
        <v>4</v>
      </c>
      <c r="D1511" t="s">
        <v>3162</v>
      </c>
      <c r="E1511">
        <v>95</v>
      </c>
      <c r="F1511">
        <v>29</v>
      </c>
      <c r="G1511">
        <v>66</v>
      </c>
      <c r="H1511" t="s">
        <v>3495</v>
      </c>
      <c r="I1511" t="s">
        <v>3490</v>
      </c>
      <c r="J1511" t="s">
        <v>2908</v>
      </c>
    </row>
    <row r="1512" spans="1:10" x14ac:dyDescent="0.25">
      <c r="A1512" t="s">
        <v>1880</v>
      </c>
      <c r="B1512" t="s">
        <v>95</v>
      </c>
      <c r="C1512">
        <v>8</v>
      </c>
      <c r="D1512" t="s">
        <v>3234</v>
      </c>
      <c r="E1512">
        <v>60</v>
      </c>
      <c r="F1512">
        <v>12</v>
      </c>
      <c r="G1512">
        <v>48</v>
      </c>
      <c r="H1512" t="s">
        <v>3489</v>
      </c>
      <c r="I1512" t="s">
        <v>3490</v>
      </c>
      <c r="J1512" t="s">
        <v>2889</v>
      </c>
    </row>
    <row r="1513" spans="1:10" x14ac:dyDescent="0.25">
      <c r="A1513" t="s">
        <v>1880</v>
      </c>
      <c r="B1513" t="s">
        <v>95</v>
      </c>
      <c r="C1513">
        <v>8</v>
      </c>
      <c r="D1513" t="s">
        <v>3236</v>
      </c>
      <c r="E1513">
        <v>93</v>
      </c>
      <c r="F1513">
        <v>24</v>
      </c>
      <c r="G1513">
        <v>69</v>
      </c>
      <c r="H1513" t="s">
        <v>3495</v>
      </c>
      <c r="I1513" t="s">
        <v>3490</v>
      </c>
      <c r="J1513" t="s">
        <v>2889</v>
      </c>
    </row>
    <row r="1514" spans="1:10" x14ac:dyDescent="0.25">
      <c r="A1514" t="s">
        <v>1880</v>
      </c>
      <c r="B1514" t="s">
        <v>95</v>
      </c>
      <c r="C1514">
        <v>8</v>
      </c>
      <c r="D1514" t="s">
        <v>3238</v>
      </c>
      <c r="E1514">
        <v>90</v>
      </c>
      <c r="F1514">
        <v>22</v>
      </c>
      <c r="G1514">
        <v>68</v>
      </c>
      <c r="H1514" t="s">
        <v>3495</v>
      </c>
      <c r="I1514" t="s">
        <v>3490</v>
      </c>
      <c r="J1514" t="s">
        <v>2889</v>
      </c>
    </row>
    <row r="1515" spans="1:10" x14ac:dyDescent="0.25">
      <c r="A1515" t="s">
        <v>1880</v>
      </c>
      <c r="B1515" t="s">
        <v>95</v>
      </c>
      <c r="C1515">
        <v>8</v>
      </c>
      <c r="D1515" t="s">
        <v>3240</v>
      </c>
      <c r="E1515">
        <v>51</v>
      </c>
      <c r="F1515">
        <v>16</v>
      </c>
      <c r="G1515">
        <v>35</v>
      </c>
      <c r="H1515" t="s">
        <v>3493</v>
      </c>
      <c r="I1515" t="s">
        <v>3490</v>
      </c>
      <c r="J1515" t="s">
        <v>2889</v>
      </c>
    </row>
    <row r="1516" spans="1:10" x14ac:dyDescent="0.25">
      <c r="A1516" t="s">
        <v>1880</v>
      </c>
      <c r="B1516" t="s">
        <v>95</v>
      </c>
      <c r="C1516">
        <v>8</v>
      </c>
      <c r="D1516" t="s">
        <v>3242</v>
      </c>
      <c r="E1516">
        <v>80</v>
      </c>
      <c r="F1516">
        <v>19</v>
      </c>
      <c r="G1516">
        <v>61</v>
      </c>
      <c r="H1516" t="s">
        <v>196</v>
      </c>
      <c r="I1516" t="s">
        <v>3490</v>
      </c>
      <c r="J1516" t="s">
        <v>2889</v>
      </c>
    </row>
    <row r="1517" spans="1:10" x14ac:dyDescent="0.25">
      <c r="A1517" t="s">
        <v>1886</v>
      </c>
      <c r="B1517" t="s">
        <v>105</v>
      </c>
      <c r="C1517">
        <v>8</v>
      </c>
      <c r="D1517" t="s">
        <v>3174</v>
      </c>
      <c r="E1517">
        <v>93</v>
      </c>
      <c r="F1517">
        <v>30</v>
      </c>
      <c r="G1517">
        <v>63</v>
      </c>
      <c r="H1517" t="s">
        <v>3495</v>
      </c>
      <c r="I1517" t="s">
        <v>3490</v>
      </c>
      <c r="J1517" t="s">
        <v>2908</v>
      </c>
    </row>
    <row r="1518" spans="1:10" x14ac:dyDescent="0.25">
      <c r="A1518" t="s">
        <v>1886</v>
      </c>
      <c r="B1518" t="s">
        <v>105</v>
      </c>
      <c r="C1518">
        <v>8</v>
      </c>
      <c r="D1518" t="s">
        <v>3176</v>
      </c>
      <c r="E1518">
        <v>66</v>
      </c>
      <c r="F1518">
        <v>15</v>
      </c>
      <c r="G1518">
        <v>51</v>
      </c>
      <c r="H1518" t="s">
        <v>3489</v>
      </c>
      <c r="I1518" t="s">
        <v>3490</v>
      </c>
      <c r="J1518" t="s">
        <v>2908</v>
      </c>
    </row>
    <row r="1519" spans="1:10" x14ac:dyDescent="0.25">
      <c r="A1519" t="s">
        <v>1886</v>
      </c>
      <c r="B1519" t="s">
        <v>105</v>
      </c>
      <c r="C1519">
        <v>8</v>
      </c>
      <c r="D1519" t="s">
        <v>3178</v>
      </c>
      <c r="E1519">
        <v>36</v>
      </c>
      <c r="F1519">
        <v>15</v>
      </c>
      <c r="G1519">
        <v>21</v>
      </c>
      <c r="H1519" t="s">
        <v>3491</v>
      </c>
      <c r="I1519" t="s">
        <v>3492</v>
      </c>
      <c r="J1519" t="s">
        <v>2908</v>
      </c>
    </row>
    <row r="1520" spans="1:10" x14ac:dyDescent="0.25">
      <c r="A1520" t="s">
        <v>1886</v>
      </c>
      <c r="B1520" t="s">
        <v>105</v>
      </c>
      <c r="C1520">
        <v>8</v>
      </c>
      <c r="D1520" t="s">
        <v>3180</v>
      </c>
      <c r="E1520">
        <v>71</v>
      </c>
      <c r="F1520">
        <v>16</v>
      </c>
      <c r="G1520">
        <v>55</v>
      </c>
      <c r="H1520" t="s">
        <v>3494</v>
      </c>
      <c r="I1520" t="s">
        <v>3490</v>
      </c>
      <c r="J1520" t="s">
        <v>2908</v>
      </c>
    </row>
    <row r="1521" spans="1:10" x14ac:dyDescent="0.25">
      <c r="A1521" t="s">
        <v>1886</v>
      </c>
      <c r="B1521" t="s">
        <v>105</v>
      </c>
      <c r="C1521">
        <v>8</v>
      </c>
      <c r="D1521" t="s">
        <v>3182</v>
      </c>
      <c r="E1521">
        <v>71</v>
      </c>
      <c r="F1521">
        <v>27</v>
      </c>
      <c r="G1521">
        <v>44</v>
      </c>
      <c r="H1521" t="s">
        <v>3494</v>
      </c>
      <c r="I1521" t="s">
        <v>3490</v>
      </c>
      <c r="J1521" t="s">
        <v>2908</v>
      </c>
    </row>
    <row r="1522" spans="1:10" x14ac:dyDescent="0.25">
      <c r="A1522" t="s">
        <v>1892</v>
      </c>
      <c r="B1522" t="s">
        <v>63</v>
      </c>
      <c r="C1522">
        <v>8</v>
      </c>
      <c r="D1522" t="s">
        <v>3414</v>
      </c>
      <c r="E1522">
        <v>39</v>
      </c>
      <c r="F1522">
        <v>15</v>
      </c>
      <c r="G1522">
        <v>24</v>
      </c>
      <c r="H1522" t="s">
        <v>3491</v>
      </c>
      <c r="I1522" t="s">
        <v>3492</v>
      </c>
      <c r="J1522" t="s">
        <v>2932</v>
      </c>
    </row>
    <row r="1523" spans="1:10" x14ac:dyDescent="0.25">
      <c r="A1523" t="s">
        <v>1892</v>
      </c>
      <c r="B1523" t="s">
        <v>63</v>
      </c>
      <c r="C1523">
        <v>8</v>
      </c>
      <c r="D1523" t="s">
        <v>3416</v>
      </c>
      <c r="E1523">
        <v>67</v>
      </c>
      <c r="F1523">
        <v>25</v>
      </c>
      <c r="G1523">
        <v>42</v>
      </c>
      <c r="H1523" t="s">
        <v>3489</v>
      </c>
      <c r="I1523" t="s">
        <v>3490</v>
      </c>
      <c r="J1523" t="s">
        <v>2932</v>
      </c>
    </row>
    <row r="1524" spans="1:10" x14ac:dyDescent="0.25">
      <c r="A1524" t="s">
        <v>1892</v>
      </c>
      <c r="B1524" t="s">
        <v>63</v>
      </c>
      <c r="C1524">
        <v>8</v>
      </c>
      <c r="D1524" t="s">
        <v>3418</v>
      </c>
      <c r="E1524">
        <v>71</v>
      </c>
      <c r="F1524">
        <v>10</v>
      </c>
      <c r="G1524">
        <v>61</v>
      </c>
      <c r="H1524" t="s">
        <v>3494</v>
      </c>
      <c r="I1524" t="s">
        <v>3490</v>
      </c>
      <c r="J1524" t="s">
        <v>2932</v>
      </c>
    </row>
    <row r="1525" spans="1:10" x14ac:dyDescent="0.25">
      <c r="A1525" t="s">
        <v>1892</v>
      </c>
      <c r="B1525" t="s">
        <v>63</v>
      </c>
      <c r="C1525">
        <v>8</v>
      </c>
      <c r="D1525" t="s">
        <v>3420</v>
      </c>
      <c r="E1525">
        <v>50</v>
      </c>
      <c r="F1525">
        <v>27</v>
      </c>
      <c r="G1525">
        <v>23</v>
      </c>
      <c r="H1525" t="s">
        <v>3493</v>
      </c>
      <c r="I1525" t="s">
        <v>3490</v>
      </c>
      <c r="J1525" t="s">
        <v>2932</v>
      </c>
    </row>
    <row r="1526" spans="1:10" x14ac:dyDescent="0.25">
      <c r="A1526" t="s">
        <v>1892</v>
      </c>
      <c r="B1526" t="s">
        <v>63</v>
      </c>
      <c r="C1526">
        <v>8</v>
      </c>
      <c r="D1526" t="s">
        <v>3422</v>
      </c>
      <c r="E1526">
        <v>70</v>
      </c>
      <c r="F1526">
        <v>12</v>
      </c>
      <c r="G1526">
        <v>58</v>
      </c>
      <c r="H1526" t="s">
        <v>3494</v>
      </c>
      <c r="I1526" t="s">
        <v>3490</v>
      </c>
      <c r="J1526" t="s">
        <v>2932</v>
      </c>
    </row>
    <row r="1527" spans="1:10" x14ac:dyDescent="0.25">
      <c r="A1527" t="s">
        <v>1897</v>
      </c>
      <c r="B1527" t="s">
        <v>95</v>
      </c>
      <c r="C1527">
        <v>8</v>
      </c>
      <c r="D1527" t="s">
        <v>3234</v>
      </c>
      <c r="E1527">
        <v>57</v>
      </c>
      <c r="F1527">
        <v>22</v>
      </c>
      <c r="G1527">
        <v>35</v>
      </c>
      <c r="H1527" t="s">
        <v>3493</v>
      </c>
      <c r="I1527" t="s">
        <v>3490</v>
      </c>
      <c r="J1527" t="s">
        <v>2889</v>
      </c>
    </row>
    <row r="1528" spans="1:10" x14ac:dyDescent="0.25">
      <c r="A1528" t="s">
        <v>1897</v>
      </c>
      <c r="B1528" t="s">
        <v>95</v>
      </c>
      <c r="C1528">
        <v>8</v>
      </c>
      <c r="D1528" t="s">
        <v>3236</v>
      </c>
      <c r="E1528">
        <v>47</v>
      </c>
      <c r="F1528">
        <v>11</v>
      </c>
      <c r="G1528">
        <v>36</v>
      </c>
      <c r="H1528" t="s">
        <v>3491</v>
      </c>
      <c r="I1528" t="s">
        <v>3492</v>
      </c>
      <c r="J1528" t="s">
        <v>2889</v>
      </c>
    </row>
    <row r="1529" spans="1:10" x14ac:dyDescent="0.25">
      <c r="A1529" t="s">
        <v>1897</v>
      </c>
      <c r="B1529" t="s">
        <v>95</v>
      </c>
      <c r="C1529">
        <v>8</v>
      </c>
      <c r="D1529" t="s">
        <v>3238</v>
      </c>
      <c r="E1529">
        <v>85</v>
      </c>
      <c r="F1529">
        <v>20</v>
      </c>
      <c r="G1529">
        <v>65</v>
      </c>
      <c r="H1529" t="s">
        <v>196</v>
      </c>
      <c r="I1529" t="s">
        <v>3490</v>
      </c>
      <c r="J1529" t="s">
        <v>2889</v>
      </c>
    </row>
    <row r="1530" spans="1:10" x14ac:dyDescent="0.25">
      <c r="A1530" t="s">
        <v>1897</v>
      </c>
      <c r="B1530" t="s">
        <v>95</v>
      </c>
      <c r="C1530">
        <v>8</v>
      </c>
      <c r="D1530" t="s">
        <v>3240</v>
      </c>
      <c r="E1530">
        <v>62</v>
      </c>
      <c r="F1530">
        <v>30</v>
      </c>
      <c r="G1530">
        <v>32</v>
      </c>
      <c r="H1530" t="s">
        <v>3489</v>
      </c>
      <c r="I1530" t="s">
        <v>3490</v>
      </c>
      <c r="J1530" t="s">
        <v>2889</v>
      </c>
    </row>
    <row r="1531" spans="1:10" x14ac:dyDescent="0.25">
      <c r="A1531" t="s">
        <v>1897</v>
      </c>
      <c r="B1531" t="s">
        <v>95</v>
      </c>
      <c r="C1531">
        <v>8</v>
      </c>
      <c r="D1531" t="s">
        <v>3242</v>
      </c>
      <c r="E1531">
        <v>55</v>
      </c>
      <c r="F1531">
        <v>11</v>
      </c>
      <c r="G1531">
        <v>44</v>
      </c>
      <c r="H1531" t="s">
        <v>3493</v>
      </c>
      <c r="I1531" t="s">
        <v>3490</v>
      </c>
      <c r="J1531" t="s">
        <v>2889</v>
      </c>
    </row>
    <row r="1532" spans="1:10" x14ac:dyDescent="0.25">
      <c r="A1532" t="s">
        <v>1902</v>
      </c>
      <c r="B1532" t="s">
        <v>30</v>
      </c>
      <c r="C1532">
        <v>4</v>
      </c>
      <c r="D1532" t="s">
        <v>3334</v>
      </c>
      <c r="E1532">
        <v>99</v>
      </c>
      <c r="F1532">
        <v>29</v>
      </c>
      <c r="G1532">
        <v>70</v>
      </c>
      <c r="H1532" t="s">
        <v>3495</v>
      </c>
      <c r="I1532" t="s">
        <v>3490</v>
      </c>
      <c r="J1532" t="s">
        <v>2895</v>
      </c>
    </row>
    <row r="1533" spans="1:10" x14ac:dyDescent="0.25">
      <c r="A1533" t="s">
        <v>1902</v>
      </c>
      <c r="B1533" t="s">
        <v>30</v>
      </c>
      <c r="C1533">
        <v>4</v>
      </c>
      <c r="D1533" t="s">
        <v>3336</v>
      </c>
      <c r="E1533">
        <v>57</v>
      </c>
      <c r="F1533">
        <v>17</v>
      </c>
      <c r="G1533">
        <v>40</v>
      </c>
      <c r="H1533" t="s">
        <v>3493</v>
      </c>
      <c r="I1533" t="s">
        <v>3490</v>
      </c>
      <c r="J1533" t="s">
        <v>2895</v>
      </c>
    </row>
    <row r="1534" spans="1:10" x14ac:dyDescent="0.25">
      <c r="A1534" t="s">
        <v>1902</v>
      </c>
      <c r="B1534" t="s">
        <v>30</v>
      </c>
      <c r="C1534">
        <v>4</v>
      </c>
      <c r="D1534" t="s">
        <v>3338</v>
      </c>
      <c r="E1534">
        <v>79</v>
      </c>
      <c r="F1534">
        <v>27</v>
      </c>
      <c r="G1534">
        <v>52</v>
      </c>
      <c r="H1534" t="s">
        <v>3494</v>
      </c>
      <c r="I1534" t="s">
        <v>3490</v>
      </c>
      <c r="J1534" t="s">
        <v>2895</v>
      </c>
    </row>
    <row r="1535" spans="1:10" x14ac:dyDescent="0.25">
      <c r="A1535" t="s">
        <v>1902</v>
      </c>
      <c r="B1535" t="s">
        <v>30</v>
      </c>
      <c r="C1535">
        <v>4</v>
      </c>
      <c r="D1535" t="s">
        <v>3340</v>
      </c>
      <c r="E1535">
        <v>51</v>
      </c>
      <c r="F1535">
        <v>14</v>
      </c>
      <c r="G1535">
        <v>37</v>
      </c>
      <c r="H1535" t="s">
        <v>3493</v>
      </c>
      <c r="I1535" t="s">
        <v>3490</v>
      </c>
      <c r="J1535" t="s">
        <v>2895</v>
      </c>
    </row>
    <row r="1536" spans="1:10" x14ac:dyDescent="0.25">
      <c r="A1536" t="s">
        <v>1902</v>
      </c>
      <c r="B1536" t="s">
        <v>30</v>
      </c>
      <c r="C1536">
        <v>4</v>
      </c>
      <c r="D1536" t="s">
        <v>3342</v>
      </c>
      <c r="E1536">
        <v>63</v>
      </c>
      <c r="F1536">
        <v>29</v>
      </c>
      <c r="G1536">
        <v>34</v>
      </c>
      <c r="H1536" t="s">
        <v>3489</v>
      </c>
      <c r="I1536" t="s">
        <v>3490</v>
      </c>
      <c r="J1536" t="s">
        <v>2895</v>
      </c>
    </row>
    <row r="1537" spans="1:10" x14ac:dyDescent="0.25">
      <c r="A1537" t="s">
        <v>1907</v>
      </c>
      <c r="B1537" t="s">
        <v>95</v>
      </c>
      <c r="C1537">
        <v>8</v>
      </c>
      <c r="D1537" t="s">
        <v>3234</v>
      </c>
      <c r="E1537">
        <v>54</v>
      </c>
      <c r="F1537">
        <v>20</v>
      </c>
      <c r="G1537">
        <v>34</v>
      </c>
      <c r="H1537" t="s">
        <v>3493</v>
      </c>
      <c r="I1537" t="s">
        <v>3490</v>
      </c>
      <c r="J1537" t="s">
        <v>2889</v>
      </c>
    </row>
    <row r="1538" spans="1:10" x14ac:dyDescent="0.25">
      <c r="A1538" t="s">
        <v>1907</v>
      </c>
      <c r="B1538" t="s">
        <v>95</v>
      </c>
      <c r="C1538">
        <v>8</v>
      </c>
      <c r="D1538" t="s">
        <v>3236</v>
      </c>
      <c r="E1538">
        <v>39</v>
      </c>
      <c r="F1538">
        <v>19</v>
      </c>
      <c r="G1538">
        <v>20</v>
      </c>
      <c r="H1538" t="s">
        <v>3491</v>
      </c>
      <c r="I1538" t="s">
        <v>3492</v>
      </c>
      <c r="J1538" t="s">
        <v>2889</v>
      </c>
    </row>
    <row r="1539" spans="1:10" x14ac:dyDescent="0.25">
      <c r="A1539" t="s">
        <v>1907</v>
      </c>
      <c r="B1539" t="s">
        <v>95</v>
      </c>
      <c r="C1539">
        <v>8</v>
      </c>
      <c r="D1539" t="s">
        <v>3238</v>
      </c>
      <c r="E1539">
        <v>75</v>
      </c>
      <c r="F1539">
        <v>11</v>
      </c>
      <c r="G1539">
        <v>64</v>
      </c>
      <c r="H1539" t="s">
        <v>3494</v>
      </c>
      <c r="I1539" t="s">
        <v>3490</v>
      </c>
      <c r="J1539" t="s">
        <v>2889</v>
      </c>
    </row>
    <row r="1540" spans="1:10" x14ac:dyDescent="0.25">
      <c r="A1540" t="s">
        <v>1907</v>
      </c>
      <c r="B1540" t="s">
        <v>95</v>
      </c>
      <c r="C1540">
        <v>8</v>
      </c>
      <c r="D1540" t="s">
        <v>3240</v>
      </c>
      <c r="E1540">
        <v>97</v>
      </c>
      <c r="F1540">
        <v>30</v>
      </c>
      <c r="G1540">
        <v>67</v>
      </c>
      <c r="H1540" t="s">
        <v>3495</v>
      </c>
      <c r="I1540" t="s">
        <v>3490</v>
      </c>
      <c r="J1540" t="s">
        <v>2889</v>
      </c>
    </row>
    <row r="1541" spans="1:10" x14ac:dyDescent="0.25">
      <c r="A1541" t="s">
        <v>1907</v>
      </c>
      <c r="B1541" t="s">
        <v>95</v>
      </c>
      <c r="C1541">
        <v>8</v>
      </c>
      <c r="D1541" t="s">
        <v>3242</v>
      </c>
      <c r="E1541">
        <v>65</v>
      </c>
      <c r="F1541">
        <v>13</v>
      </c>
      <c r="G1541">
        <v>52</v>
      </c>
      <c r="H1541" t="s">
        <v>3489</v>
      </c>
      <c r="I1541" t="s">
        <v>3490</v>
      </c>
      <c r="J1541" t="s">
        <v>2889</v>
      </c>
    </row>
    <row r="1542" spans="1:10" x14ac:dyDescent="0.25">
      <c r="A1542" t="s">
        <v>1912</v>
      </c>
      <c r="B1542" t="s">
        <v>75</v>
      </c>
      <c r="C1542">
        <v>8</v>
      </c>
      <c r="D1542" t="s">
        <v>3054</v>
      </c>
      <c r="E1542">
        <v>77</v>
      </c>
      <c r="F1542">
        <v>12</v>
      </c>
      <c r="G1542">
        <v>65</v>
      </c>
      <c r="H1542" t="s">
        <v>3494</v>
      </c>
      <c r="I1542" t="s">
        <v>3490</v>
      </c>
      <c r="J1542" t="s">
        <v>2961</v>
      </c>
    </row>
    <row r="1543" spans="1:10" x14ac:dyDescent="0.25">
      <c r="A1543" t="s">
        <v>1912</v>
      </c>
      <c r="B1543" t="s">
        <v>75</v>
      </c>
      <c r="C1543">
        <v>8</v>
      </c>
      <c r="D1543" t="s">
        <v>3056</v>
      </c>
      <c r="E1543">
        <v>70</v>
      </c>
      <c r="F1543">
        <v>22</v>
      </c>
      <c r="G1543">
        <v>48</v>
      </c>
      <c r="H1543" t="s">
        <v>3494</v>
      </c>
      <c r="I1543" t="s">
        <v>3490</v>
      </c>
      <c r="J1543" t="s">
        <v>2961</v>
      </c>
    </row>
    <row r="1544" spans="1:10" x14ac:dyDescent="0.25">
      <c r="A1544" t="s">
        <v>1912</v>
      </c>
      <c r="B1544" t="s">
        <v>75</v>
      </c>
      <c r="C1544">
        <v>8</v>
      </c>
      <c r="D1544" t="s">
        <v>3058</v>
      </c>
      <c r="E1544">
        <v>77</v>
      </c>
      <c r="F1544">
        <v>25</v>
      </c>
      <c r="G1544">
        <v>52</v>
      </c>
      <c r="H1544" t="s">
        <v>3494</v>
      </c>
      <c r="I1544" t="s">
        <v>3490</v>
      </c>
      <c r="J1544" t="s">
        <v>2961</v>
      </c>
    </row>
    <row r="1545" spans="1:10" x14ac:dyDescent="0.25">
      <c r="A1545" t="s">
        <v>1912</v>
      </c>
      <c r="B1545" t="s">
        <v>75</v>
      </c>
      <c r="C1545">
        <v>8</v>
      </c>
      <c r="D1545" t="s">
        <v>3060</v>
      </c>
      <c r="E1545">
        <v>71</v>
      </c>
      <c r="F1545">
        <v>19</v>
      </c>
      <c r="G1545">
        <v>52</v>
      </c>
      <c r="H1545" t="s">
        <v>3494</v>
      </c>
      <c r="I1545" t="s">
        <v>3490</v>
      </c>
      <c r="J1545" t="s">
        <v>2961</v>
      </c>
    </row>
    <row r="1546" spans="1:10" x14ac:dyDescent="0.25">
      <c r="A1546" t="s">
        <v>1912</v>
      </c>
      <c r="B1546" t="s">
        <v>75</v>
      </c>
      <c r="C1546">
        <v>8</v>
      </c>
      <c r="D1546" t="s">
        <v>3062</v>
      </c>
      <c r="E1546">
        <v>59</v>
      </c>
      <c r="F1546">
        <v>12</v>
      </c>
      <c r="G1546">
        <v>47</v>
      </c>
      <c r="H1546" t="s">
        <v>3493</v>
      </c>
      <c r="I1546" t="s">
        <v>3490</v>
      </c>
      <c r="J1546" t="s">
        <v>2961</v>
      </c>
    </row>
    <row r="1547" spans="1:10" x14ac:dyDescent="0.25">
      <c r="A1547" t="s">
        <v>1917</v>
      </c>
      <c r="B1547" t="s">
        <v>212</v>
      </c>
      <c r="C1547">
        <v>4</v>
      </c>
      <c r="D1547" t="s">
        <v>3454</v>
      </c>
      <c r="E1547">
        <v>52</v>
      </c>
      <c r="F1547">
        <v>21</v>
      </c>
      <c r="G1547">
        <v>31</v>
      </c>
      <c r="H1547" t="s">
        <v>3493</v>
      </c>
      <c r="I1547" t="s">
        <v>3490</v>
      </c>
      <c r="J1547" t="s">
        <v>3001</v>
      </c>
    </row>
    <row r="1548" spans="1:10" x14ac:dyDescent="0.25">
      <c r="A1548" t="s">
        <v>1917</v>
      </c>
      <c r="B1548" t="s">
        <v>212</v>
      </c>
      <c r="C1548">
        <v>4</v>
      </c>
      <c r="D1548" t="s">
        <v>3456</v>
      </c>
      <c r="E1548">
        <v>54</v>
      </c>
      <c r="F1548">
        <v>18</v>
      </c>
      <c r="G1548">
        <v>36</v>
      </c>
      <c r="H1548" t="s">
        <v>3493</v>
      </c>
      <c r="I1548" t="s">
        <v>3490</v>
      </c>
      <c r="J1548" t="s">
        <v>3001</v>
      </c>
    </row>
    <row r="1549" spans="1:10" x14ac:dyDescent="0.25">
      <c r="A1549" t="s">
        <v>1917</v>
      </c>
      <c r="B1549" t="s">
        <v>212</v>
      </c>
      <c r="C1549">
        <v>4</v>
      </c>
      <c r="D1549" t="s">
        <v>3458</v>
      </c>
      <c r="E1549">
        <v>80</v>
      </c>
      <c r="F1549">
        <v>18</v>
      </c>
      <c r="G1549">
        <v>62</v>
      </c>
      <c r="H1549" t="s">
        <v>196</v>
      </c>
      <c r="I1549" t="s">
        <v>3490</v>
      </c>
      <c r="J1549" t="s">
        <v>3001</v>
      </c>
    </row>
    <row r="1550" spans="1:10" x14ac:dyDescent="0.25">
      <c r="A1550" t="s">
        <v>1917</v>
      </c>
      <c r="B1550" t="s">
        <v>212</v>
      </c>
      <c r="C1550">
        <v>4</v>
      </c>
      <c r="D1550" t="s">
        <v>3460</v>
      </c>
      <c r="E1550">
        <v>57</v>
      </c>
      <c r="F1550">
        <v>21</v>
      </c>
      <c r="G1550">
        <v>36</v>
      </c>
      <c r="H1550" t="s">
        <v>3493</v>
      </c>
      <c r="I1550" t="s">
        <v>3490</v>
      </c>
      <c r="J1550" t="s">
        <v>3001</v>
      </c>
    </row>
    <row r="1551" spans="1:10" x14ac:dyDescent="0.25">
      <c r="A1551" t="s">
        <v>1917</v>
      </c>
      <c r="B1551" t="s">
        <v>212</v>
      </c>
      <c r="C1551">
        <v>4</v>
      </c>
      <c r="D1551" t="s">
        <v>3462</v>
      </c>
      <c r="E1551">
        <v>65</v>
      </c>
      <c r="F1551">
        <v>18</v>
      </c>
      <c r="G1551">
        <v>47</v>
      </c>
      <c r="H1551" t="s">
        <v>3489</v>
      </c>
      <c r="I1551" t="s">
        <v>3490</v>
      </c>
      <c r="J1551" t="s">
        <v>3001</v>
      </c>
    </row>
    <row r="1552" spans="1:10" x14ac:dyDescent="0.25">
      <c r="A1552" t="s">
        <v>1922</v>
      </c>
      <c r="B1552" t="s">
        <v>159</v>
      </c>
      <c r="C1552">
        <v>8</v>
      </c>
      <c r="D1552" t="s">
        <v>3114</v>
      </c>
      <c r="E1552">
        <v>65</v>
      </c>
      <c r="F1552">
        <v>11</v>
      </c>
      <c r="G1552">
        <v>54</v>
      </c>
      <c r="H1552" t="s">
        <v>3489</v>
      </c>
      <c r="I1552" t="s">
        <v>3490</v>
      </c>
      <c r="J1552" t="s">
        <v>2902</v>
      </c>
    </row>
    <row r="1553" spans="1:10" x14ac:dyDescent="0.25">
      <c r="A1553" t="s">
        <v>1922</v>
      </c>
      <c r="B1553" t="s">
        <v>159</v>
      </c>
      <c r="C1553">
        <v>8</v>
      </c>
      <c r="D1553" t="s">
        <v>3116</v>
      </c>
      <c r="E1553">
        <v>70</v>
      </c>
      <c r="F1553">
        <v>16</v>
      </c>
      <c r="G1553">
        <v>54</v>
      </c>
      <c r="H1553" t="s">
        <v>3494</v>
      </c>
      <c r="I1553" t="s">
        <v>3490</v>
      </c>
      <c r="J1553" t="s">
        <v>2902</v>
      </c>
    </row>
    <row r="1554" spans="1:10" x14ac:dyDescent="0.25">
      <c r="A1554" t="s">
        <v>1922</v>
      </c>
      <c r="B1554" t="s">
        <v>159</v>
      </c>
      <c r="C1554">
        <v>8</v>
      </c>
      <c r="D1554" t="s">
        <v>3118</v>
      </c>
      <c r="E1554">
        <v>85</v>
      </c>
      <c r="F1554">
        <v>21</v>
      </c>
      <c r="G1554">
        <v>64</v>
      </c>
      <c r="H1554" t="s">
        <v>196</v>
      </c>
      <c r="I1554" t="s">
        <v>3490</v>
      </c>
      <c r="J1554" t="s">
        <v>2902</v>
      </c>
    </row>
    <row r="1555" spans="1:10" x14ac:dyDescent="0.25">
      <c r="A1555" t="s">
        <v>1922</v>
      </c>
      <c r="B1555" t="s">
        <v>159</v>
      </c>
      <c r="C1555">
        <v>8</v>
      </c>
      <c r="D1555" t="s">
        <v>3120</v>
      </c>
      <c r="E1555">
        <v>62</v>
      </c>
      <c r="F1555">
        <v>12</v>
      </c>
      <c r="G1555">
        <v>50</v>
      </c>
      <c r="H1555" t="s">
        <v>3489</v>
      </c>
      <c r="I1555" t="s">
        <v>3490</v>
      </c>
      <c r="J1555" t="s">
        <v>2902</v>
      </c>
    </row>
    <row r="1556" spans="1:10" x14ac:dyDescent="0.25">
      <c r="A1556" t="s">
        <v>1922</v>
      </c>
      <c r="B1556" t="s">
        <v>159</v>
      </c>
      <c r="C1556">
        <v>8</v>
      </c>
      <c r="D1556" t="s">
        <v>3122</v>
      </c>
      <c r="E1556">
        <v>88</v>
      </c>
      <c r="F1556">
        <v>29</v>
      </c>
      <c r="G1556">
        <v>59</v>
      </c>
      <c r="H1556" t="s">
        <v>196</v>
      </c>
      <c r="I1556" t="s">
        <v>3490</v>
      </c>
      <c r="J1556" t="s">
        <v>2902</v>
      </c>
    </row>
    <row r="1557" spans="1:10" x14ac:dyDescent="0.25">
      <c r="A1557" t="s">
        <v>1927</v>
      </c>
      <c r="B1557" t="s">
        <v>122</v>
      </c>
      <c r="C1557">
        <v>6</v>
      </c>
      <c r="D1557" t="s">
        <v>3294</v>
      </c>
      <c r="E1557">
        <v>64</v>
      </c>
      <c r="F1557">
        <v>16</v>
      </c>
      <c r="G1557">
        <v>48</v>
      </c>
      <c r="H1557" t="s">
        <v>3489</v>
      </c>
      <c r="I1557" t="s">
        <v>3490</v>
      </c>
      <c r="J1557" t="s">
        <v>2919</v>
      </c>
    </row>
    <row r="1558" spans="1:10" x14ac:dyDescent="0.25">
      <c r="A1558" t="s">
        <v>1927</v>
      </c>
      <c r="B1558" t="s">
        <v>122</v>
      </c>
      <c r="C1558">
        <v>6</v>
      </c>
      <c r="D1558" t="s">
        <v>3296</v>
      </c>
      <c r="E1558">
        <v>53</v>
      </c>
      <c r="F1558">
        <v>27</v>
      </c>
      <c r="G1558">
        <v>26</v>
      </c>
      <c r="H1558" t="s">
        <v>3493</v>
      </c>
      <c r="I1558" t="s">
        <v>3490</v>
      </c>
      <c r="J1558" t="s">
        <v>2919</v>
      </c>
    </row>
    <row r="1559" spans="1:10" x14ac:dyDescent="0.25">
      <c r="A1559" t="s">
        <v>1927</v>
      </c>
      <c r="B1559" t="s">
        <v>122</v>
      </c>
      <c r="C1559">
        <v>6</v>
      </c>
      <c r="D1559" t="s">
        <v>3298</v>
      </c>
      <c r="E1559">
        <v>71</v>
      </c>
      <c r="F1559">
        <v>10</v>
      </c>
      <c r="G1559">
        <v>61</v>
      </c>
      <c r="H1559" t="s">
        <v>3494</v>
      </c>
      <c r="I1559" t="s">
        <v>3490</v>
      </c>
      <c r="J1559" t="s">
        <v>2919</v>
      </c>
    </row>
    <row r="1560" spans="1:10" x14ac:dyDescent="0.25">
      <c r="A1560" t="s">
        <v>1927</v>
      </c>
      <c r="B1560" t="s">
        <v>122</v>
      </c>
      <c r="C1560">
        <v>6</v>
      </c>
      <c r="D1560" t="s">
        <v>3300</v>
      </c>
      <c r="E1560">
        <v>98</v>
      </c>
      <c r="F1560">
        <v>30</v>
      </c>
      <c r="G1560">
        <v>68</v>
      </c>
      <c r="H1560" t="s">
        <v>3495</v>
      </c>
      <c r="I1560" t="s">
        <v>3490</v>
      </c>
      <c r="J1560" t="s">
        <v>2919</v>
      </c>
    </row>
    <row r="1561" spans="1:10" x14ac:dyDescent="0.25">
      <c r="A1561" t="s">
        <v>1927</v>
      </c>
      <c r="B1561" t="s">
        <v>122</v>
      </c>
      <c r="C1561">
        <v>6</v>
      </c>
      <c r="D1561" t="s">
        <v>3302</v>
      </c>
      <c r="E1561">
        <v>55</v>
      </c>
      <c r="F1561">
        <v>20</v>
      </c>
      <c r="G1561">
        <v>35</v>
      </c>
      <c r="H1561" t="s">
        <v>3493</v>
      </c>
      <c r="I1561" t="s">
        <v>3490</v>
      </c>
      <c r="J1561" t="s">
        <v>2919</v>
      </c>
    </row>
    <row r="1562" spans="1:10" x14ac:dyDescent="0.25">
      <c r="A1562" t="s">
        <v>1932</v>
      </c>
      <c r="B1562" t="s">
        <v>159</v>
      </c>
      <c r="C1562">
        <v>4</v>
      </c>
      <c r="D1562" t="s">
        <v>3094</v>
      </c>
      <c r="E1562">
        <v>88</v>
      </c>
      <c r="F1562">
        <v>30</v>
      </c>
      <c r="G1562">
        <v>58</v>
      </c>
      <c r="H1562" t="s">
        <v>196</v>
      </c>
      <c r="I1562" t="s">
        <v>3490</v>
      </c>
      <c r="J1562" t="s">
        <v>2902</v>
      </c>
    </row>
    <row r="1563" spans="1:10" x14ac:dyDescent="0.25">
      <c r="A1563" t="s">
        <v>1932</v>
      </c>
      <c r="B1563" t="s">
        <v>159</v>
      </c>
      <c r="C1563">
        <v>4</v>
      </c>
      <c r="D1563" t="s">
        <v>3096</v>
      </c>
      <c r="E1563">
        <v>42</v>
      </c>
      <c r="F1563">
        <v>13</v>
      </c>
      <c r="G1563">
        <v>29</v>
      </c>
      <c r="H1563" t="s">
        <v>3491</v>
      </c>
      <c r="I1563" t="s">
        <v>3492</v>
      </c>
      <c r="J1563" t="s">
        <v>2902</v>
      </c>
    </row>
    <row r="1564" spans="1:10" x14ac:dyDescent="0.25">
      <c r="A1564" t="s">
        <v>1932</v>
      </c>
      <c r="B1564" t="s">
        <v>159</v>
      </c>
      <c r="C1564">
        <v>4</v>
      </c>
      <c r="D1564" t="s">
        <v>3098</v>
      </c>
      <c r="E1564">
        <v>76</v>
      </c>
      <c r="F1564">
        <v>27</v>
      </c>
      <c r="G1564">
        <v>49</v>
      </c>
      <c r="H1564" t="s">
        <v>3494</v>
      </c>
      <c r="I1564" t="s">
        <v>3490</v>
      </c>
      <c r="J1564" t="s">
        <v>2902</v>
      </c>
    </row>
    <row r="1565" spans="1:10" x14ac:dyDescent="0.25">
      <c r="A1565" t="s">
        <v>1932</v>
      </c>
      <c r="B1565" t="s">
        <v>159</v>
      </c>
      <c r="C1565">
        <v>4</v>
      </c>
      <c r="D1565" t="s">
        <v>3100</v>
      </c>
      <c r="E1565">
        <v>78</v>
      </c>
      <c r="F1565">
        <v>26</v>
      </c>
      <c r="G1565">
        <v>52</v>
      </c>
      <c r="H1565" t="s">
        <v>3494</v>
      </c>
      <c r="I1565" t="s">
        <v>3490</v>
      </c>
      <c r="J1565" t="s">
        <v>2902</v>
      </c>
    </row>
    <row r="1566" spans="1:10" x14ac:dyDescent="0.25">
      <c r="A1566" t="s">
        <v>1932</v>
      </c>
      <c r="B1566" t="s">
        <v>159</v>
      </c>
      <c r="C1566">
        <v>4</v>
      </c>
      <c r="D1566" t="s">
        <v>3102</v>
      </c>
      <c r="E1566">
        <v>72</v>
      </c>
      <c r="F1566">
        <v>18</v>
      </c>
      <c r="G1566">
        <v>54</v>
      </c>
      <c r="H1566" t="s">
        <v>3494</v>
      </c>
      <c r="I1566" t="s">
        <v>3490</v>
      </c>
      <c r="J1566" t="s">
        <v>2902</v>
      </c>
    </row>
    <row r="1567" spans="1:10" x14ac:dyDescent="0.25">
      <c r="A1567" t="s">
        <v>1937</v>
      </c>
      <c r="B1567" t="s">
        <v>63</v>
      </c>
      <c r="C1567">
        <v>6</v>
      </c>
      <c r="D1567" t="s">
        <v>3414</v>
      </c>
      <c r="E1567">
        <v>81</v>
      </c>
      <c r="F1567">
        <v>22</v>
      </c>
      <c r="G1567">
        <v>59</v>
      </c>
      <c r="H1567" t="s">
        <v>196</v>
      </c>
      <c r="I1567" t="s">
        <v>3490</v>
      </c>
      <c r="J1567" t="s">
        <v>2932</v>
      </c>
    </row>
    <row r="1568" spans="1:10" x14ac:dyDescent="0.25">
      <c r="A1568" t="s">
        <v>1937</v>
      </c>
      <c r="B1568" t="s">
        <v>63</v>
      </c>
      <c r="C1568">
        <v>6</v>
      </c>
      <c r="D1568" t="s">
        <v>3416</v>
      </c>
      <c r="E1568">
        <v>85</v>
      </c>
      <c r="F1568">
        <v>28</v>
      </c>
      <c r="G1568">
        <v>57</v>
      </c>
      <c r="H1568" t="s">
        <v>196</v>
      </c>
      <c r="I1568" t="s">
        <v>3490</v>
      </c>
      <c r="J1568" t="s">
        <v>2932</v>
      </c>
    </row>
    <row r="1569" spans="1:10" x14ac:dyDescent="0.25">
      <c r="A1569" t="s">
        <v>1937</v>
      </c>
      <c r="B1569" t="s">
        <v>63</v>
      </c>
      <c r="C1569">
        <v>6</v>
      </c>
      <c r="D1569" t="s">
        <v>3418</v>
      </c>
      <c r="E1569">
        <v>80</v>
      </c>
      <c r="F1569">
        <v>23</v>
      </c>
      <c r="G1569">
        <v>57</v>
      </c>
      <c r="H1569" t="s">
        <v>196</v>
      </c>
      <c r="I1569" t="s">
        <v>3490</v>
      </c>
      <c r="J1569" t="s">
        <v>2932</v>
      </c>
    </row>
    <row r="1570" spans="1:10" x14ac:dyDescent="0.25">
      <c r="A1570" t="s">
        <v>1937</v>
      </c>
      <c r="B1570" t="s">
        <v>63</v>
      </c>
      <c r="C1570">
        <v>6</v>
      </c>
      <c r="D1570" t="s">
        <v>3420</v>
      </c>
      <c r="E1570">
        <v>78</v>
      </c>
      <c r="F1570">
        <v>26</v>
      </c>
      <c r="G1570">
        <v>52</v>
      </c>
      <c r="H1570" t="s">
        <v>3494</v>
      </c>
      <c r="I1570" t="s">
        <v>3490</v>
      </c>
      <c r="J1570" t="s">
        <v>2932</v>
      </c>
    </row>
    <row r="1571" spans="1:10" x14ac:dyDescent="0.25">
      <c r="A1571" t="s">
        <v>1937</v>
      </c>
      <c r="B1571" t="s">
        <v>63</v>
      </c>
      <c r="C1571">
        <v>6</v>
      </c>
      <c r="D1571" t="s">
        <v>3422</v>
      </c>
      <c r="E1571">
        <v>82</v>
      </c>
      <c r="F1571">
        <v>14</v>
      </c>
      <c r="G1571">
        <v>68</v>
      </c>
      <c r="H1571" t="s">
        <v>196</v>
      </c>
      <c r="I1571" t="s">
        <v>3490</v>
      </c>
      <c r="J1571" t="s">
        <v>2932</v>
      </c>
    </row>
    <row r="1572" spans="1:10" x14ac:dyDescent="0.25">
      <c r="A1572" t="s">
        <v>1942</v>
      </c>
      <c r="B1572" t="s">
        <v>105</v>
      </c>
      <c r="C1572">
        <v>4</v>
      </c>
      <c r="D1572" t="s">
        <v>3154</v>
      </c>
      <c r="E1572">
        <v>52</v>
      </c>
      <c r="F1572">
        <v>29</v>
      </c>
      <c r="G1572">
        <v>23</v>
      </c>
      <c r="H1572" t="s">
        <v>3493</v>
      </c>
      <c r="I1572" t="s">
        <v>3490</v>
      </c>
      <c r="J1572" t="s">
        <v>2908</v>
      </c>
    </row>
    <row r="1573" spans="1:10" x14ac:dyDescent="0.25">
      <c r="A1573" t="s">
        <v>1942</v>
      </c>
      <c r="B1573" t="s">
        <v>105</v>
      </c>
      <c r="C1573">
        <v>4</v>
      </c>
      <c r="D1573" t="s">
        <v>3156</v>
      </c>
      <c r="E1573">
        <v>59</v>
      </c>
      <c r="F1573">
        <v>19</v>
      </c>
      <c r="G1573">
        <v>40</v>
      </c>
      <c r="H1573" t="s">
        <v>3493</v>
      </c>
      <c r="I1573" t="s">
        <v>3490</v>
      </c>
      <c r="J1573" t="s">
        <v>2908</v>
      </c>
    </row>
    <row r="1574" spans="1:10" x14ac:dyDescent="0.25">
      <c r="A1574" t="s">
        <v>1942</v>
      </c>
      <c r="B1574" t="s">
        <v>105</v>
      </c>
      <c r="C1574">
        <v>4</v>
      </c>
      <c r="D1574" t="s">
        <v>3158</v>
      </c>
      <c r="E1574">
        <v>82</v>
      </c>
      <c r="F1574">
        <v>25</v>
      </c>
      <c r="G1574">
        <v>57</v>
      </c>
      <c r="H1574" t="s">
        <v>196</v>
      </c>
      <c r="I1574" t="s">
        <v>3490</v>
      </c>
      <c r="J1574" t="s">
        <v>2908</v>
      </c>
    </row>
    <row r="1575" spans="1:10" x14ac:dyDescent="0.25">
      <c r="A1575" t="s">
        <v>1942</v>
      </c>
      <c r="B1575" t="s">
        <v>105</v>
      </c>
      <c r="C1575">
        <v>4</v>
      </c>
      <c r="D1575" t="s">
        <v>3160</v>
      </c>
      <c r="E1575">
        <v>64</v>
      </c>
      <c r="F1575">
        <v>14</v>
      </c>
      <c r="G1575">
        <v>50</v>
      </c>
      <c r="H1575" t="s">
        <v>3489</v>
      </c>
      <c r="I1575" t="s">
        <v>3490</v>
      </c>
      <c r="J1575" t="s">
        <v>2908</v>
      </c>
    </row>
    <row r="1576" spans="1:10" x14ac:dyDescent="0.25">
      <c r="A1576" t="s">
        <v>1942</v>
      </c>
      <c r="B1576" t="s">
        <v>105</v>
      </c>
      <c r="C1576">
        <v>4</v>
      </c>
      <c r="D1576" t="s">
        <v>3162</v>
      </c>
      <c r="E1576">
        <v>50</v>
      </c>
      <c r="F1576">
        <v>13</v>
      </c>
      <c r="G1576">
        <v>37</v>
      </c>
      <c r="H1576" t="s">
        <v>3493</v>
      </c>
      <c r="I1576" t="s">
        <v>3490</v>
      </c>
      <c r="J1576" t="s">
        <v>2908</v>
      </c>
    </row>
    <row r="1577" spans="1:10" x14ac:dyDescent="0.25">
      <c r="A1577" t="s">
        <v>1947</v>
      </c>
      <c r="B1577" t="s">
        <v>159</v>
      </c>
      <c r="C1577">
        <v>4</v>
      </c>
      <c r="D1577" t="s">
        <v>3094</v>
      </c>
      <c r="E1577">
        <v>87</v>
      </c>
      <c r="F1577">
        <v>24</v>
      </c>
      <c r="G1577">
        <v>63</v>
      </c>
      <c r="H1577" t="s">
        <v>196</v>
      </c>
      <c r="I1577" t="s">
        <v>3490</v>
      </c>
      <c r="J1577" t="s">
        <v>2902</v>
      </c>
    </row>
    <row r="1578" spans="1:10" x14ac:dyDescent="0.25">
      <c r="A1578" t="s">
        <v>1947</v>
      </c>
      <c r="B1578" t="s">
        <v>159</v>
      </c>
      <c r="C1578">
        <v>4</v>
      </c>
      <c r="D1578" t="s">
        <v>3096</v>
      </c>
      <c r="E1578">
        <v>50</v>
      </c>
      <c r="F1578">
        <v>14</v>
      </c>
      <c r="G1578">
        <v>36</v>
      </c>
      <c r="H1578" t="s">
        <v>3493</v>
      </c>
      <c r="I1578" t="s">
        <v>3490</v>
      </c>
      <c r="J1578" t="s">
        <v>2902</v>
      </c>
    </row>
    <row r="1579" spans="1:10" x14ac:dyDescent="0.25">
      <c r="A1579" t="s">
        <v>1947</v>
      </c>
      <c r="B1579" t="s">
        <v>159</v>
      </c>
      <c r="C1579">
        <v>4</v>
      </c>
      <c r="D1579" t="s">
        <v>3098</v>
      </c>
      <c r="E1579">
        <v>56</v>
      </c>
      <c r="F1579">
        <v>22</v>
      </c>
      <c r="G1579">
        <v>34</v>
      </c>
      <c r="H1579" t="s">
        <v>3493</v>
      </c>
      <c r="I1579" t="s">
        <v>3490</v>
      </c>
      <c r="J1579" t="s">
        <v>2902</v>
      </c>
    </row>
    <row r="1580" spans="1:10" x14ac:dyDescent="0.25">
      <c r="A1580" t="s">
        <v>1947</v>
      </c>
      <c r="B1580" t="s">
        <v>159</v>
      </c>
      <c r="C1580">
        <v>4</v>
      </c>
      <c r="D1580" t="s">
        <v>3100</v>
      </c>
      <c r="E1580">
        <v>36</v>
      </c>
      <c r="F1580">
        <v>11</v>
      </c>
      <c r="G1580">
        <v>25</v>
      </c>
      <c r="H1580" t="s">
        <v>3491</v>
      </c>
      <c r="I1580" t="s">
        <v>3492</v>
      </c>
      <c r="J1580" t="s">
        <v>2902</v>
      </c>
    </row>
    <row r="1581" spans="1:10" x14ac:dyDescent="0.25">
      <c r="A1581" t="s">
        <v>1947</v>
      </c>
      <c r="B1581" t="s">
        <v>159</v>
      </c>
      <c r="C1581">
        <v>4</v>
      </c>
      <c r="D1581" t="s">
        <v>3102</v>
      </c>
      <c r="E1581">
        <v>83</v>
      </c>
      <c r="F1581">
        <v>29</v>
      </c>
      <c r="G1581">
        <v>54</v>
      </c>
      <c r="H1581" t="s">
        <v>196</v>
      </c>
      <c r="I1581" t="s">
        <v>3490</v>
      </c>
      <c r="J1581" t="s">
        <v>2902</v>
      </c>
    </row>
    <row r="1582" spans="1:10" x14ac:dyDescent="0.25">
      <c r="A1582" t="s">
        <v>1953</v>
      </c>
      <c r="B1582" t="s">
        <v>212</v>
      </c>
      <c r="C1582">
        <v>8</v>
      </c>
      <c r="D1582" t="s">
        <v>3474</v>
      </c>
      <c r="E1582">
        <v>87</v>
      </c>
      <c r="F1582">
        <v>22</v>
      </c>
      <c r="G1582">
        <v>65</v>
      </c>
      <c r="H1582" t="s">
        <v>196</v>
      </c>
      <c r="I1582" t="s">
        <v>3490</v>
      </c>
      <c r="J1582" t="s">
        <v>3001</v>
      </c>
    </row>
    <row r="1583" spans="1:10" x14ac:dyDescent="0.25">
      <c r="A1583" t="s">
        <v>1953</v>
      </c>
      <c r="B1583" t="s">
        <v>212</v>
      </c>
      <c r="C1583">
        <v>8</v>
      </c>
      <c r="D1583" t="s">
        <v>3476</v>
      </c>
      <c r="E1583">
        <v>49</v>
      </c>
      <c r="F1583">
        <v>18</v>
      </c>
      <c r="G1583">
        <v>31</v>
      </c>
      <c r="H1583" t="s">
        <v>3491</v>
      </c>
      <c r="I1583" t="s">
        <v>3492</v>
      </c>
      <c r="J1583" t="s">
        <v>3001</v>
      </c>
    </row>
    <row r="1584" spans="1:10" x14ac:dyDescent="0.25">
      <c r="A1584" t="s">
        <v>1953</v>
      </c>
      <c r="B1584" t="s">
        <v>212</v>
      </c>
      <c r="C1584">
        <v>8</v>
      </c>
      <c r="D1584" t="s">
        <v>3478</v>
      </c>
      <c r="E1584">
        <v>46</v>
      </c>
      <c r="F1584">
        <v>18</v>
      </c>
      <c r="G1584">
        <v>28</v>
      </c>
      <c r="H1584" t="s">
        <v>3491</v>
      </c>
      <c r="I1584" t="s">
        <v>3492</v>
      </c>
      <c r="J1584" t="s">
        <v>3001</v>
      </c>
    </row>
    <row r="1585" spans="1:10" x14ac:dyDescent="0.25">
      <c r="A1585" t="s">
        <v>1953</v>
      </c>
      <c r="B1585" t="s">
        <v>212</v>
      </c>
      <c r="C1585">
        <v>8</v>
      </c>
      <c r="D1585" t="s">
        <v>3480</v>
      </c>
      <c r="E1585">
        <v>71</v>
      </c>
      <c r="F1585">
        <v>16</v>
      </c>
      <c r="G1585">
        <v>55</v>
      </c>
      <c r="H1585" t="s">
        <v>3494</v>
      </c>
      <c r="I1585" t="s">
        <v>3490</v>
      </c>
      <c r="J1585" t="s">
        <v>3001</v>
      </c>
    </row>
    <row r="1586" spans="1:10" x14ac:dyDescent="0.25">
      <c r="A1586" t="s">
        <v>1953</v>
      </c>
      <c r="B1586" t="s">
        <v>212</v>
      </c>
      <c r="C1586">
        <v>8</v>
      </c>
      <c r="D1586" t="s">
        <v>3482</v>
      </c>
      <c r="E1586">
        <v>64</v>
      </c>
      <c r="F1586">
        <v>30</v>
      </c>
      <c r="G1586">
        <v>34</v>
      </c>
      <c r="H1586" t="s">
        <v>3489</v>
      </c>
      <c r="I1586" t="s">
        <v>3490</v>
      </c>
      <c r="J1586" t="s">
        <v>3001</v>
      </c>
    </row>
    <row r="1587" spans="1:10" x14ac:dyDescent="0.25">
      <c r="A1587" t="s">
        <v>1958</v>
      </c>
      <c r="B1587" t="s">
        <v>63</v>
      </c>
      <c r="C1587">
        <v>6</v>
      </c>
      <c r="D1587" t="s">
        <v>3414</v>
      </c>
      <c r="E1587">
        <v>76</v>
      </c>
      <c r="F1587">
        <v>28</v>
      </c>
      <c r="G1587">
        <v>48</v>
      </c>
      <c r="H1587" t="s">
        <v>3494</v>
      </c>
      <c r="I1587" t="s">
        <v>3490</v>
      </c>
      <c r="J1587" t="s">
        <v>2932</v>
      </c>
    </row>
    <row r="1588" spans="1:10" x14ac:dyDescent="0.25">
      <c r="A1588" t="s">
        <v>1958</v>
      </c>
      <c r="B1588" t="s">
        <v>63</v>
      </c>
      <c r="C1588">
        <v>6</v>
      </c>
      <c r="D1588" t="s">
        <v>3416</v>
      </c>
      <c r="E1588">
        <v>68</v>
      </c>
      <c r="F1588">
        <v>15</v>
      </c>
      <c r="G1588">
        <v>53</v>
      </c>
      <c r="H1588" t="s">
        <v>3489</v>
      </c>
      <c r="I1588" t="s">
        <v>3490</v>
      </c>
      <c r="J1588" t="s">
        <v>2932</v>
      </c>
    </row>
    <row r="1589" spans="1:10" x14ac:dyDescent="0.25">
      <c r="A1589" t="s">
        <v>1958</v>
      </c>
      <c r="B1589" t="s">
        <v>63</v>
      </c>
      <c r="C1589">
        <v>6</v>
      </c>
      <c r="D1589" t="s">
        <v>3418</v>
      </c>
      <c r="E1589">
        <v>52</v>
      </c>
      <c r="F1589">
        <v>17</v>
      </c>
      <c r="G1589">
        <v>35</v>
      </c>
      <c r="H1589" t="s">
        <v>3493</v>
      </c>
      <c r="I1589" t="s">
        <v>3490</v>
      </c>
      <c r="J1589" t="s">
        <v>2932</v>
      </c>
    </row>
    <row r="1590" spans="1:10" x14ac:dyDescent="0.25">
      <c r="A1590" t="s">
        <v>1958</v>
      </c>
      <c r="B1590" t="s">
        <v>63</v>
      </c>
      <c r="C1590">
        <v>6</v>
      </c>
      <c r="D1590" t="s">
        <v>3420</v>
      </c>
      <c r="E1590">
        <v>98</v>
      </c>
      <c r="F1590">
        <v>28</v>
      </c>
      <c r="G1590">
        <v>70</v>
      </c>
      <c r="H1590" t="s">
        <v>3495</v>
      </c>
      <c r="I1590" t="s">
        <v>3490</v>
      </c>
      <c r="J1590" t="s">
        <v>2932</v>
      </c>
    </row>
    <row r="1591" spans="1:10" x14ac:dyDescent="0.25">
      <c r="A1591" t="s">
        <v>1958</v>
      </c>
      <c r="B1591" t="s">
        <v>63</v>
      </c>
      <c r="C1591">
        <v>6</v>
      </c>
      <c r="D1591" t="s">
        <v>3422</v>
      </c>
      <c r="E1591">
        <v>42</v>
      </c>
      <c r="F1591">
        <v>13</v>
      </c>
      <c r="G1591">
        <v>29</v>
      </c>
      <c r="H1591" t="s">
        <v>3491</v>
      </c>
      <c r="I1591" t="s">
        <v>3492</v>
      </c>
      <c r="J1591" t="s">
        <v>2932</v>
      </c>
    </row>
    <row r="1592" spans="1:10" x14ac:dyDescent="0.25">
      <c r="A1592" t="s">
        <v>1963</v>
      </c>
      <c r="B1592" t="s">
        <v>105</v>
      </c>
      <c r="C1592">
        <v>8</v>
      </c>
      <c r="D1592" t="s">
        <v>3174</v>
      </c>
      <c r="E1592">
        <v>74</v>
      </c>
      <c r="F1592">
        <v>13</v>
      </c>
      <c r="G1592">
        <v>61</v>
      </c>
      <c r="H1592" t="s">
        <v>3494</v>
      </c>
      <c r="I1592" t="s">
        <v>3490</v>
      </c>
      <c r="J1592" t="s">
        <v>2908</v>
      </c>
    </row>
    <row r="1593" spans="1:10" x14ac:dyDescent="0.25">
      <c r="A1593" t="s">
        <v>1963</v>
      </c>
      <c r="B1593" t="s">
        <v>105</v>
      </c>
      <c r="C1593">
        <v>8</v>
      </c>
      <c r="D1593" t="s">
        <v>3176</v>
      </c>
      <c r="E1593">
        <v>78</v>
      </c>
      <c r="F1593">
        <v>27</v>
      </c>
      <c r="G1593">
        <v>51</v>
      </c>
      <c r="H1593" t="s">
        <v>3494</v>
      </c>
      <c r="I1593" t="s">
        <v>3490</v>
      </c>
      <c r="J1593" t="s">
        <v>2908</v>
      </c>
    </row>
    <row r="1594" spans="1:10" x14ac:dyDescent="0.25">
      <c r="A1594" t="s">
        <v>1963</v>
      </c>
      <c r="B1594" t="s">
        <v>105</v>
      </c>
      <c r="C1594">
        <v>8</v>
      </c>
      <c r="D1594" t="s">
        <v>3178</v>
      </c>
      <c r="E1594">
        <v>55</v>
      </c>
      <c r="F1594">
        <v>10</v>
      </c>
      <c r="G1594">
        <v>45</v>
      </c>
      <c r="H1594" t="s">
        <v>3493</v>
      </c>
      <c r="I1594" t="s">
        <v>3490</v>
      </c>
      <c r="J1594" t="s">
        <v>2908</v>
      </c>
    </row>
    <row r="1595" spans="1:10" x14ac:dyDescent="0.25">
      <c r="A1595" t="s">
        <v>1963</v>
      </c>
      <c r="B1595" t="s">
        <v>105</v>
      </c>
      <c r="C1595">
        <v>8</v>
      </c>
      <c r="D1595" t="s">
        <v>3180</v>
      </c>
      <c r="E1595">
        <v>71</v>
      </c>
      <c r="F1595">
        <v>15</v>
      </c>
      <c r="G1595">
        <v>56</v>
      </c>
      <c r="H1595" t="s">
        <v>3494</v>
      </c>
      <c r="I1595" t="s">
        <v>3490</v>
      </c>
      <c r="J1595" t="s">
        <v>2908</v>
      </c>
    </row>
    <row r="1596" spans="1:10" x14ac:dyDescent="0.25">
      <c r="A1596" t="s">
        <v>1963</v>
      </c>
      <c r="B1596" t="s">
        <v>105</v>
      </c>
      <c r="C1596">
        <v>8</v>
      </c>
      <c r="D1596" t="s">
        <v>3182</v>
      </c>
      <c r="E1596">
        <v>47</v>
      </c>
      <c r="F1596">
        <v>16</v>
      </c>
      <c r="G1596">
        <v>31</v>
      </c>
      <c r="H1596" t="s">
        <v>3491</v>
      </c>
      <c r="I1596" t="s">
        <v>3492</v>
      </c>
      <c r="J1596" t="s">
        <v>2908</v>
      </c>
    </row>
    <row r="1597" spans="1:10" x14ac:dyDescent="0.25">
      <c r="A1597" t="s">
        <v>1969</v>
      </c>
      <c r="B1597" t="s">
        <v>105</v>
      </c>
      <c r="C1597">
        <v>6</v>
      </c>
      <c r="D1597" t="s">
        <v>3174</v>
      </c>
      <c r="E1597">
        <v>78</v>
      </c>
      <c r="F1597">
        <v>26</v>
      </c>
      <c r="G1597">
        <v>52</v>
      </c>
      <c r="H1597" t="s">
        <v>3494</v>
      </c>
      <c r="I1597" t="s">
        <v>3490</v>
      </c>
      <c r="J1597" t="s">
        <v>2908</v>
      </c>
    </row>
    <row r="1598" spans="1:10" x14ac:dyDescent="0.25">
      <c r="A1598" t="s">
        <v>1969</v>
      </c>
      <c r="B1598" t="s">
        <v>105</v>
      </c>
      <c r="C1598">
        <v>6</v>
      </c>
      <c r="D1598" t="s">
        <v>3176</v>
      </c>
      <c r="E1598">
        <v>76</v>
      </c>
      <c r="F1598">
        <v>11</v>
      </c>
      <c r="G1598">
        <v>65</v>
      </c>
      <c r="H1598" t="s">
        <v>3494</v>
      </c>
      <c r="I1598" t="s">
        <v>3490</v>
      </c>
      <c r="J1598" t="s">
        <v>2908</v>
      </c>
    </row>
    <row r="1599" spans="1:10" x14ac:dyDescent="0.25">
      <c r="A1599" t="s">
        <v>1969</v>
      </c>
      <c r="B1599" t="s">
        <v>105</v>
      </c>
      <c r="C1599">
        <v>6</v>
      </c>
      <c r="D1599" t="s">
        <v>3178</v>
      </c>
      <c r="E1599">
        <v>83</v>
      </c>
      <c r="F1599">
        <v>28</v>
      </c>
      <c r="G1599">
        <v>55</v>
      </c>
      <c r="H1599" t="s">
        <v>196</v>
      </c>
      <c r="I1599" t="s">
        <v>3490</v>
      </c>
      <c r="J1599" t="s">
        <v>2908</v>
      </c>
    </row>
    <row r="1600" spans="1:10" x14ac:dyDescent="0.25">
      <c r="A1600" t="s">
        <v>1969</v>
      </c>
      <c r="B1600" t="s">
        <v>105</v>
      </c>
      <c r="C1600">
        <v>6</v>
      </c>
      <c r="D1600" t="s">
        <v>3180</v>
      </c>
      <c r="E1600">
        <v>46</v>
      </c>
      <c r="F1600">
        <v>16</v>
      </c>
      <c r="G1600">
        <v>30</v>
      </c>
      <c r="H1600" t="s">
        <v>3491</v>
      </c>
      <c r="I1600" t="s">
        <v>3492</v>
      </c>
      <c r="J1600" t="s">
        <v>2908</v>
      </c>
    </row>
    <row r="1601" spans="1:10" x14ac:dyDescent="0.25">
      <c r="A1601" t="s">
        <v>1969</v>
      </c>
      <c r="B1601" t="s">
        <v>105</v>
      </c>
      <c r="C1601">
        <v>6</v>
      </c>
      <c r="D1601" t="s">
        <v>3182</v>
      </c>
      <c r="E1601">
        <v>41</v>
      </c>
      <c r="F1601">
        <v>14</v>
      </c>
      <c r="G1601">
        <v>27</v>
      </c>
      <c r="H1601" t="s">
        <v>3491</v>
      </c>
      <c r="I1601" t="s">
        <v>3492</v>
      </c>
      <c r="J1601" t="s">
        <v>2908</v>
      </c>
    </row>
    <row r="1602" spans="1:10" x14ac:dyDescent="0.25">
      <c r="A1602" t="s">
        <v>1974</v>
      </c>
      <c r="B1602" t="s">
        <v>75</v>
      </c>
      <c r="C1602">
        <v>8</v>
      </c>
      <c r="D1602" t="s">
        <v>3054</v>
      </c>
      <c r="E1602">
        <v>38</v>
      </c>
      <c r="F1602">
        <v>11</v>
      </c>
      <c r="G1602">
        <v>27</v>
      </c>
      <c r="H1602" t="s">
        <v>3491</v>
      </c>
      <c r="I1602" t="s">
        <v>3492</v>
      </c>
      <c r="J1602" t="s">
        <v>2961</v>
      </c>
    </row>
    <row r="1603" spans="1:10" x14ac:dyDescent="0.25">
      <c r="A1603" t="s">
        <v>1974</v>
      </c>
      <c r="B1603" t="s">
        <v>75</v>
      </c>
      <c r="C1603">
        <v>8</v>
      </c>
      <c r="D1603" t="s">
        <v>3056</v>
      </c>
      <c r="E1603">
        <v>41</v>
      </c>
      <c r="F1603">
        <v>10</v>
      </c>
      <c r="G1603">
        <v>31</v>
      </c>
      <c r="H1603" t="s">
        <v>3491</v>
      </c>
      <c r="I1603" t="s">
        <v>3492</v>
      </c>
      <c r="J1603" t="s">
        <v>2961</v>
      </c>
    </row>
    <row r="1604" spans="1:10" x14ac:dyDescent="0.25">
      <c r="A1604" t="s">
        <v>1974</v>
      </c>
      <c r="B1604" t="s">
        <v>75</v>
      </c>
      <c r="C1604">
        <v>8</v>
      </c>
      <c r="D1604" t="s">
        <v>3058</v>
      </c>
      <c r="E1604">
        <v>48</v>
      </c>
      <c r="F1604">
        <v>17</v>
      </c>
      <c r="G1604">
        <v>31</v>
      </c>
      <c r="H1604" t="s">
        <v>3491</v>
      </c>
      <c r="I1604" t="s">
        <v>3492</v>
      </c>
      <c r="J1604" t="s">
        <v>2961</v>
      </c>
    </row>
    <row r="1605" spans="1:10" x14ac:dyDescent="0.25">
      <c r="A1605" t="s">
        <v>1974</v>
      </c>
      <c r="B1605" t="s">
        <v>75</v>
      </c>
      <c r="C1605">
        <v>8</v>
      </c>
      <c r="D1605" t="s">
        <v>3060</v>
      </c>
      <c r="E1605">
        <v>31</v>
      </c>
      <c r="F1605">
        <v>10</v>
      </c>
      <c r="G1605">
        <v>21</v>
      </c>
      <c r="H1605" t="s">
        <v>3491</v>
      </c>
      <c r="I1605" t="s">
        <v>3492</v>
      </c>
      <c r="J1605" t="s">
        <v>2961</v>
      </c>
    </row>
    <row r="1606" spans="1:10" x14ac:dyDescent="0.25">
      <c r="A1606" t="s">
        <v>1974</v>
      </c>
      <c r="B1606" t="s">
        <v>75</v>
      </c>
      <c r="C1606">
        <v>8</v>
      </c>
      <c r="D1606" t="s">
        <v>3062</v>
      </c>
      <c r="E1606">
        <v>76</v>
      </c>
      <c r="F1606">
        <v>12</v>
      </c>
      <c r="G1606">
        <v>64</v>
      </c>
      <c r="H1606" t="s">
        <v>3494</v>
      </c>
      <c r="I1606" t="s">
        <v>3490</v>
      </c>
      <c r="J1606" t="s">
        <v>2961</v>
      </c>
    </row>
    <row r="1607" spans="1:10" x14ac:dyDescent="0.25">
      <c r="A1607" t="s">
        <v>1979</v>
      </c>
      <c r="B1607" t="s">
        <v>75</v>
      </c>
      <c r="C1607">
        <v>8</v>
      </c>
      <c r="D1607" t="s">
        <v>3054</v>
      </c>
      <c r="E1607">
        <v>70</v>
      </c>
      <c r="F1607">
        <v>26</v>
      </c>
      <c r="G1607">
        <v>44</v>
      </c>
      <c r="H1607" t="s">
        <v>3494</v>
      </c>
      <c r="I1607" t="s">
        <v>3490</v>
      </c>
      <c r="J1607" t="s">
        <v>2961</v>
      </c>
    </row>
    <row r="1608" spans="1:10" x14ac:dyDescent="0.25">
      <c r="A1608" t="s">
        <v>1979</v>
      </c>
      <c r="B1608" t="s">
        <v>75</v>
      </c>
      <c r="C1608">
        <v>8</v>
      </c>
      <c r="D1608" t="s">
        <v>3056</v>
      </c>
      <c r="E1608">
        <v>71</v>
      </c>
      <c r="F1608">
        <v>24</v>
      </c>
      <c r="G1608">
        <v>47</v>
      </c>
      <c r="H1608" t="s">
        <v>3494</v>
      </c>
      <c r="I1608" t="s">
        <v>3490</v>
      </c>
      <c r="J1608" t="s">
        <v>2961</v>
      </c>
    </row>
    <row r="1609" spans="1:10" x14ac:dyDescent="0.25">
      <c r="A1609" t="s">
        <v>1979</v>
      </c>
      <c r="B1609" t="s">
        <v>75</v>
      </c>
      <c r="C1609">
        <v>8</v>
      </c>
      <c r="D1609" t="s">
        <v>3058</v>
      </c>
      <c r="E1609">
        <v>49</v>
      </c>
      <c r="F1609">
        <v>22</v>
      </c>
      <c r="G1609">
        <v>27</v>
      </c>
      <c r="H1609" t="s">
        <v>3491</v>
      </c>
      <c r="I1609" t="s">
        <v>3492</v>
      </c>
      <c r="J1609" t="s">
        <v>2961</v>
      </c>
    </row>
    <row r="1610" spans="1:10" x14ac:dyDescent="0.25">
      <c r="A1610" t="s">
        <v>1979</v>
      </c>
      <c r="B1610" t="s">
        <v>75</v>
      </c>
      <c r="C1610">
        <v>8</v>
      </c>
      <c r="D1610" t="s">
        <v>3060</v>
      </c>
      <c r="E1610">
        <v>32</v>
      </c>
      <c r="F1610">
        <v>11</v>
      </c>
      <c r="G1610">
        <v>21</v>
      </c>
      <c r="H1610" t="s">
        <v>3491</v>
      </c>
      <c r="I1610" t="s">
        <v>3492</v>
      </c>
      <c r="J1610" t="s">
        <v>2961</v>
      </c>
    </row>
    <row r="1611" spans="1:10" x14ac:dyDescent="0.25">
      <c r="A1611" t="s">
        <v>1979</v>
      </c>
      <c r="B1611" t="s">
        <v>75</v>
      </c>
      <c r="C1611">
        <v>8</v>
      </c>
      <c r="D1611" t="s">
        <v>3062</v>
      </c>
      <c r="E1611">
        <v>86</v>
      </c>
      <c r="F1611">
        <v>26</v>
      </c>
      <c r="G1611">
        <v>60</v>
      </c>
      <c r="H1611" t="s">
        <v>196</v>
      </c>
      <c r="I1611" t="s">
        <v>3490</v>
      </c>
      <c r="J1611" t="s">
        <v>2961</v>
      </c>
    </row>
    <row r="1612" spans="1:10" x14ac:dyDescent="0.25">
      <c r="A1612" t="s">
        <v>1984</v>
      </c>
      <c r="B1612" t="s">
        <v>63</v>
      </c>
      <c r="C1612">
        <v>4</v>
      </c>
      <c r="D1612" t="s">
        <v>3394</v>
      </c>
      <c r="E1612">
        <v>91</v>
      </c>
      <c r="F1612">
        <v>29</v>
      </c>
      <c r="G1612">
        <v>62</v>
      </c>
      <c r="H1612" t="s">
        <v>3495</v>
      </c>
      <c r="I1612" t="s">
        <v>3490</v>
      </c>
      <c r="J1612" t="s">
        <v>2932</v>
      </c>
    </row>
    <row r="1613" spans="1:10" x14ac:dyDescent="0.25">
      <c r="A1613" t="s">
        <v>1984</v>
      </c>
      <c r="B1613" t="s">
        <v>63</v>
      </c>
      <c r="C1613">
        <v>4</v>
      </c>
      <c r="D1613" t="s">
        <v>3396</v>
      </c>
      <c r="E1613">
        <v>90</v>
      </c>
      <c r="F1613">
        <v>27</v>
      </c>
      <c r="G1613">
        <v>63</v>
      </c>
      <c r="H1613" t="s">
        <v>3495</v>
      </c>
      <c r="I1613" t="s">
        <v>3490</v>
      </c>
      <c r="J1613" t="s">
        <v>2932</v>
      </c>
    </row>
    <row r="1614" spans="1:10" x14ac:dyDescent="0.25">
      <c r="A1614" t="s">
        <v>1984</v>
      </c>
      <c r="B1614" t="s">
        <v>63</v>
      </c>
      <c r="C1614">
        <v>4</v>
      </c>
      <c r="D1614" t="s">
        <v>3398</v>
      </c>
      <c r="E1614">
        <v>90</v>
      </c>
      <c r="F1614">
        <v>25</v>
      </c>
      <c r="G1614">
        <v>65</v>
      </c>
      <c r="H1614" t="s">
        <v>3495</v>
      </c>
      <c r="I1614" t="s">
        <v>3490</v>
      </c>
      <c r="J1614" t="s">
        <v>2932</v>
      </c>
    </row>
    <row r="1615" spans="1:10" x14ac:dyDescent="0.25">
      <c r="A1615" t="s">
        <v>1984</v>
      </c>
      <c r="B1615" t="s">
        <v>63</v>
      </c>
      <c r="C1615">
        <v>4</v>
      </c>
      <c r="D1615" t="s">
        <v>3400</v>
      </c>
      <c r="E1615">
        <v>49</v>
      </c>
      <c r="F1615">
        <v>22</v>
      </c>
      <c r="G1615">
        <v>27</v>
      </c>
      <c r="H1615" t="s">
        <v>3491</v>
      </c>
      <c r="I1615" t="s">
        <v>3492</v>
      </c>
      <c r="J1615" t="s">
        <v>2932</v>
      </c>
    </row>
    <row r="1616" spans="1:10" x14ac:dyDescent="0.25">
      <c r="A1616" t="s">
        <v>1984</v>
      </c>
      <c r="B1616" t="s">
        <v>63</v>
      </c>
      <c r="C1616">
        <v>4</v>
      </c>
      <c r="D1616" t="s">
        <v>3402</v>
      </c>
      <c r="E1616">
        <v>65</v>
      </c>
      <c r="F1616">
        <v>10</v>
      </c>
      <c r="G1616">
        <v>55</v>
      </c>
      <c r="H1616" t="s">
        <v>3489</v>
      </c>
      <c r="I1616" t="s">
        <v>3490</v>
      </c>
      <c r="J1616" t="s">
        <v>2932</v>
      </c>
    </row>
    <row r="1617" spans="1:10" x14ac:dyDescent="0.25">
      <c r="A1617" t="s">
        <v>1990</v>
      </c>
      <c r="B1617" t="s">
        <v>63</v>
      </c>
      <c r="C1617">
        <v>6</v>
      </c>
      <c r="D1617" t="s">
        <v>3414</v>
      </c>
      <c r="E1617">
        <v>50</v>
      </c>
      <c r="F1617">
        <v>12</v>
      </c>
      <c r="G1617">
        <v>38</v>
      </c>
      <c r="H1617" t="s">
        <v>3493</v>
      </c>
      <c r="I1617" t="s">
        <v>3490</v>
      </c>
      <c r="J1617" t="s">
        <v>2932</v>
      </c>
    </row>
    <row r="1618" spans="1:10" x14ac:dyDescent="0.25">
      <c r="A1618" t="s">
        <v>1990</v>
      </c>
      <c r="B1618" t="s">
        <v>63</v>
      </c>
      <c r="C1618">
        <v>6</v>
      </c>
      <c r="D1618" t="s">
        <v>3416</v>
      </c>
      <c r="E1618">
        <v>59</v>
      </c>
      <c r="F1618">
        <v>16</v>
      </c>
      <c r="G1618">
        <v>43</v>
      </c>
      <c r="H1618" t="s">
        <v>3493</v>
      </c>
      <c r="I1618" t="s">
        <v>3490</v>
      </c>
      <c r="J1618" t="s">
        <v>2932</v>
      </c>
    </row>
    <row r="1619" spans="1:10" x14ac:dyDescent="0.25">
      <c r="A1619" t="s">
        <v>1990</v>
      </c>
      <c r="B1619" t="s">
        <v>63</v>
      </c>
      <c r="C1619">
        <v>6</v>
      </c>
      <c r="D1619" t="s">
        <v>3418</v>
      </c>
      <c r="E1619">
        <v>92</v>
      </c>
      <c r="F1619">
        <v>22</v>
      </c>
      <c r="G1619">
        <v>70</v>
      </c>
      <c r="H1619" t="s">
        <v>3495</v>
      </c>
      <c r="I1619" t="s">
        <v>3490</v>
      </c>
      <c r="J1619" t="s">
        <v>2932</v>
      </c>
    </row>
    <row r="1620" spans="1:10" x14ac:dyDescent="0.25">
      <c r="A1620" t="s">
        <v>1990</v>
      </c>
      <c r="B1620" t="s">
        <v>63</v>
      </c>
      <c r="C1620">
        <v>6</v>
      </c>
      <c r="D1620" t="s">
        <v>3420</v>
      </c>
      <c r="E1620">
        <v>50</v>
      </c>
      <c r="F1620">
        <v>12</v>
      </c>
      <c r="G1620">
        <v>38</v>
      </c>
      <c r="H1620" t="s">
        <v>3493</v>
      </c>
      <c r="I1620" t="s">
        <v>3490</v>
      </c>
      <c r="J1620" t="s">
        <v>2932</v>
      </c>
    </row>
    <row r="1621" spans="1:10" x14ac:dyDescent="0.25">
      <c r="A1621" t="s">
        <v>1990</v>
      </c>
      <c r="B1621" t="s">
        <v>63</v>
      </c>
      <c r="C1621">
        <v>6</v>
      </c>
      <c r="D1621" t="s">
        <v>3422</v>
      </c>
      <c r="E1621">
        <v>77</v>
      </c>
      <c r="F1621">
        <v>11</v>
      </c>
      <c r="G1621">
        <v>66</v>
      </c>
      <c r="H1621" t="s">
        <v>3494</v>
      </c>
      <c r="I1621" t="s">
        <v>3490</v>
      </c>
      <c r="J1621" t="s">
        <v>2932</v>
      </c>
    </row>
    <row r="1622" spans="1:10" x14ac:dyDescent="0.25">
      <c r="A1622" t="s">
        <v>1996</v>
      </c>
      <c r="B1622" t="s">
        <v>159</v>
      </c>
      <c r="C1622">
        <v>6</v>
      </c>
      <c r="D1622" t="s">
        <v>3114</v>
      </c>
      <c r="E1622">
        <v>72</v>
      </c>
      <c r="F1622">
        <v>17</v>
      </c>
      <c r="G1622">
        <v>55</v>
      </c>
      <c r="H1622" t="s">
        <v>3494</v>
      </c>
      <c r="I1622" t="s">
        <v>3490</v>
      </c>
      <c r="J1622" t="s">
        <v>2902</v>
      </c>
    </row>
    <row r="1623" spans="1:10" x14ac:dyDescent="0.25">
      <c r="A1623" t="s">
        <v>1996</v>
      </c>
      <c r="B1623" t="s">
        <v>159</v>
      </c>
      <c r="C1623">
        <v>6</v>
      </c>
      <c r="D1623" t="s">
        <v>3116</v>
      </c>
      <c r="E1623">
        <v>59</v>
      </c>
      <c r="F1623">
        <v>19</v>
      </c>
      <c r="G1623">
        <v>40</v>
      </c>
      <c r="H1623" t="s">
        <v>3493</v>
      </c>
      <c r="I1623" t="s">
        <v>3490</v>
      </c>
      <c r="J1623" t="s">
        <v>2902</v>
      </c>
    </row>
    <row r="1624" spans="1:10" x14ac:dyDescent="0.25">
      <c r="A1624" t="s">
        <v>1996</v>
      </c>
      <c r="B1624" t="s">
        <v>159</v>
      </c>
      <c r="C1624">
        <v>6</v>
      </c>
      <c r="D1624" t="s">
        <v>3118</v>
      </c>
      <c r="E1624">
        <v>65</v>
      </c>
      <c r="F1624">
        <v>30</v>
      </c>
      <c r="G1624">
        <v>35</v>
      </c>
      <c r="H1624" t="s">
        <v>3489</v>
      </c>
      <c r="I1624" t="s">
        <v>3490</v>
      </c>
      <c r="J1624" t="s">
        <v>2902</v>
      </c>
    </row>
    <row r="1625" spans="1:10" x14ac:dyDescent="0.25">
      <c r="A1625" t="s">
        <v>1996</v>
      </c>
      <c r="B1625" t="s">
        <v>159</v>
      </c>
      <c r="C1625">
        <v>6</v>
      </c>
      <c r="D1625" t="s">
        <v>3120</v>
      </c>
      <c r="E1625">
        <v>55</v>
      </c>
      <c r="F1625">
        <v>30</v>
      </c>
      <c r="G1625">
        <v>25</v>
      </c>
      <c r="H1625" t="s">
        <v>3493</v>
      </c>
      <c r="I1625" t="s">
        <v>3490</v>
      </c>
      <c r="J1625" t="s">
        <v>2902</v>
      </c>
    </row>
    <row r="1626" spans="1:10" x14ac:dyDescent="0.25">
      <c r="A1626" t="s">
        <v>1996</v>
      </c>
      <c r="B1626" t="s">
        <v>159</v>
      </c>
      <c r="C1626">
        <v>6</v>
      </c>
      <c r="D1626" t="s">
        <v>3122</v>
      </c>
      <c r="E1626">
        <v>80</v>
      </c>
      <c r="F1626">
        <v>28</v>
      </c>
      <c r="G1626">
        <v>52</v>
      </c>
      <c r="H1626" t="s">
        <v>196</v>
      </c>
      <c r="I1626" t="s">
        <v>3490</v>
      </c>
      <c r="J1626" t="s">
        <v>2902</v>
      </c>
    </row>
    <row r="1627" spans="1:10" x14ac:dyDescent="0.25">
      <c r="A1627" t="s">
        <v>2002</v>
      </c>
      <c r="B1627" t="s">
        <v>30</v>
      </c>
      <c r="C1627">
        <v>8</v>
      </c>
      <c r="D1627" t="s">
        <v>3354</v>
      </c>
      <c r="E1627">
        <v>81</v>
      </c>
      <c r="F1627">
        <v>11</v>
      </c>
      <c r="G1627">
        <v>70</v>
      </c>
      <c r="H1627" t="s">
        <v>196</v>
      </c>
      <c r="I1627" t="s">
        <v>3490</v>
      </c>
      <c r="J1627" t="s">
        <v>2895</v>
      </c>
    </row>
    <row r="1628" spans="1:10" x14ac:dyDescent="0.25">
      <c r="A1628" t="s">
        <v>2002</v>
      </c>
      <c r="B1628" t="s">
        <v>30</v>
      </c>
      <c r="C1628">
        <v>8</v>
      </c>
      <c r="D1628" t="s">
        <v>3356</v>
      </c>
      <c r="E1628">
        <v>62</v>
      </c>
      <c r="F1628">
        <v>25</v>
      </c>
      <c r="G1628">
        <v>37</v>
      </c>
      <c r="H1628" t="s">
        <v>3489</v>
      </c>
      <c r="I1628" t="s">
        <v>3490</v>
      </c>
      <c r="J1628" t="s">
        <v>2895</v>
      </c>
    </row>
    <row r="1629" spans="1:10" x14ac:dyDescent="0.25">
      <c r="A1629" t="s">
        <v>2002</v>
      </c>
      <c r="B1629" t="s">
        <v>30</v>
      </c>
      <c r="C1629">
        <v>8</v>
      </c>
      <c r="D1629" t="s">
        <v>3358</v>
      </c>
      <c r="E1629">
        <v>93</v>
      </c>
      <c r="F1629">
        <v>23</v>
      </c>
      <c r="G1629">
        <v>70</v>
      </c>
      <c r="H1629" t="s">
        <v>3495</v>
      </c>
      <c r="I1629" t="s">
        <v>3490</v>
      </c>
      <c r="J1629" t="s">
        <v>2895</v>
      </c>
    </row>
    <row r="1630" spans="1:10" x14ac:dyDescent="0.25">
      <c r="A1630" t="s">
        <v>2002</v>
      </c>
      <c r="B1630" t="s">
        <v>30</v>
      </c>
      <c r="C1630">
        <v>8</v>
      </c>
      <c r="D1630" t="s">
        <v>3360</v>
      </c>
      <c r="E1630">
        <v>88</v>
      </c>
      <c r="F1630">
        <v>27</v>
      </c>
      <c r="G1630">
        <v>61</v>
      </c>
      <c r="H1630" t="s">
        <v>196</v>
      </c>
      <c r="I1630" t="s">
        <v>3490</v>
      </c>
      <c r="J1630" t="s">
        <v>2895</v>
      </c>
    </row>
    <row r="1631" spans="1:10" x14ac:dyDescent="0.25">
      <c r="A1631" t="s">
        <v>2002</v>
      </c>
      <c r="B1631" t="s">
        <v>30</v>
      </c>
      <c r="C1631">
        <v>8</v>
      </c>
      <c r="D1631" t="s">
        <v>3362</v>
      </c>
      <c r="E1631">
        <v>46</v>
      </c>
      <c r="F1631">
        <v>14</v>
      </c>
      <c r="G1631">
        <v>32</v>
      </c>
      <c r="H1631" t="s">
        <v>3491</v>
      </c>
      <c r="I1631" t="s">
        <v>3492</v>
      </c>
      <c r="J1631" t="s">
        <v>2895</v>
      </c>
    </row>
    <row r="1632" spans="1:10" x14ac:dyDescent="0.25">
      <c r="A1632" t="s">
        <v>2007</v>
      </c>
      <c r="B1632" t="s">
        <v>159</v>
      </c>
      <c r="C1632">
        <v>8</v>
      </c>
      <c r="D1632" t="s">
        <v>3114</v>
      </c>
      <c r="E1632">
        <v>59</v>
      </c>
      <c r="F1632">
        <v>20</v>
      </c>
      <c r="G1632">
        <v>39</v>
      </c>
      <c r="H1632" t="s">
        <v>3493</v>
      </c>
      <c r="I1632" t="s">
        <v>3490</v>
      </c>
      <c r="J1632" t="s">
        <v>2902</v>
      </c>
    </row>
    <row r="1633" spans="1:10" x14ac:dyDescent="0.25">
      <c r="A1633" t="s">
        <v>2007</v>
      </c>
      <c r="B1633" t="s">
        <v>159</v>
      </c>
      <c r="C1633">
        <v>8</v>
      </c>
      <c r="D1633" t="s">
        <v>3116</v>
      </c>
      <c r="E1633">
        <v>80</v>
      </c>
      <c r="F1633">
        <v>23</v>
      </c>
      <c r="G1633">
        <v>57</v>
      </c>
      <c r="H1633" t="s">
        <v>196</v>
      </c>
      <c r="I1633" t="s">
        <v>3490</v>
      </c>
      <c r="J1633" t="s">
        <v>2902</v>
      </c>
    </row>
    <row r="1634" spans="1:10" x14ac:dyDescent="0.25">
      <c r="A1634" t="s">
        <v>2007</v>
      </c>
      <c r="B1634" t="s">
        <v>159</v>
      </c>
      <c r="C1634">
        <v>8</v>
      </c>
      <c r="D1634" t="s">
        <v>3118</v>
      </c>
      <c r="E1634">
        <v>83</v>
      </c>
      <c r="F1634">
        <v>20</v>
      </c>
      <c r="G1634">
        <v>63</v>
      </c>
      <c r="H1634" t="s">
        <v>196</v>
      </c>
      <c r="I1634" t="s">
        <v>3490</v>
      </c>
      <c r="J1634" t="s">
        <v>2902</v>
      </c>
    </row>
    <row r="1635" spans="1:10" x14ac:dyDescent="0.25">
      <c r="A1635" t="s">
        <v>2007</v>
      </c>
      <c r="B1635" t="s">
        <v>159</v>
      </c>
      <c r="C1635">
        <v>8</v>
      </c>
      <c r="D1635" t="s">
        <v>3120</v>
      </c>
      <c r="E1635">
        <v>35</v>
      </c>
      <c r="F1635">
        <v>13</v>
      </c>
      <c r="G1635">
        <v>22</v>
      </c>
      <c r="H1635" t="s">
        <v>3491</v>
      </c>
      <c r="I1635" t="s">
        <v>3492</v>
      </c>
      <c r="J1635" t="s">
        <v>2902</v>
      </c>
    </row>
    <row r="1636" spans="1:10" x14ac:dyDescent="0.25">
      <c r="A1636" t="s">
        <v>2007</v>
      </c>
      <c r="B1636" t="s">
        <v>159</v>
      </c>
      <c r="C1636">
        <v>8</v>
      </c>
      <c r="D1636" t="s">
        <v>3122</v>
      </c>
      <c r="E1636">
        <v>42</v>
      </c>
      <c r="F1636">
        <v>10</v>
      </c>
      <c r="G1636">
        <v>32</v>
      </c>
      <c r="H1636" t="s">
        <v>3491</v>
      </c>
      <c r="I1636" t="s">
        <v>3492</v>
      </c>
      <c r="J1636" t="s">
        <v>2902</v>
      </c>
    </row>
    <row r="1637" spans="1:10" x14ac:dyDescent="0.25">
      <c r="A1637" t="s">
        <v>2012</v>
      </c>
      <c r="B1637" t="s">
        <v>212</v>
      </c>
      <c r="C1637">
        <v>8</v>
      </c>
      <c r="D1637" t="s">
        <v>3474</v>
      </c>
      <c r="E1637">
        <v>59</v>
      </c>
      <c r="F1637">
        <v>10</v>
      </c>
      <c r="G1637">
        <v>49</v>
      </c>
      <c r="H1637" t="s">
        <v>3493</v>
      </c>
      <c r="I1637" t="s">
        <v>3490</v>
      </c>
      <c r="J1637" t="s">
        <v>3001</v>
      </c>
    </row>
    <row r="1638" spans="1:10" x14ac:dyDescent="0.25">
      <c r="A1638" t="s">
        <v>2012</v>
      </c>
      <c r="B1638" t="s">
        <v>212</v>
      </c>
      <c r="C1638">
        <v>8</v>
      </c>
      <c r="D1638" t="s">
        <v>3476</v>
      </c>
      <c r="E1638">
        <v>53</v>
      </c>
      <c r="F1638">
        <v>22</v>
      </c>
      <c r="G1638">
        <v>31</v>
      </c>
      <c r="H1638" t="s">
        <v>3493</v>
      </c>
      <c r="I1638" t="s">
        <v>3490</v>
      </c>
      <c r="J1638" t="s">
        <v>3001</v>
      </c>
    </row>
    <row r="1639" spans="1:10" x14ac:dyDescent="0.25">
      <c r="A1639" t="s">
        <v>2012</v>
      </c>
      <c r="B1639" t="s">
        <v>212</v>
      </c>
      <c r="C1639">
        <v>8</v>
      </c>
      <c r="D1639" t="s">
        <v>3478</v>
      </c>
      <c r="E1639">
        <v>53</v>
      </c>
      <c r="F1639">
        <v>10</v>
      </c>
      <c r="G1639">
        <v>43</v>
      </c>
      <c r="H1639" t="s">
        <v>3493</v>
      </c>
      <c r="I1639" t="s">
        <v>3490</v>
      </c>
      <c r="J1639" t="s">
        <v>3001</v>
      </c>
    </row>
    <row r="1640" spans="1:10" x14ac:dyDescent="0.25">
      <c r="A1640" t="s">
        <v>2012</v>
      </c>
      <c r="B1640" t="s">
        <v>212</v>
      </c>
      <c r="C1640">
        <v>8</v>
      </c>
      <c r="D1640" t="s">
        <v>3480</v>
      </c>
      <c r="E1640">
        <v>59</v>
      </c>
      <c r="F1640">
        <v>18</v>
      </c>
      <c r="G1640">
        <v>41</v>
      </c>
      <c r="H1640" t="s">
        <v>3493</v>
      </c>
      <c r="I1640" t="s">
        <v>3490</v>
      </c>
      <c r="J1640" t="s">
        <v>3001</v>
      </c>
    </row>
    <row r="1641" spans="1:10" x14ac:dyDescent="0.25">
      <c r="A1641" t="s">
        <v>2012</v>
      </c>
      <c r="B1641" t="s">
        <v>212</v>
      </c>
      <c r="C1641">
        <v>8</v>
      </c>
      <c r="D1641" t="s">
        <v>3482</v>
      </c>
      <c r="E1641">
        <v>72</v>
      </c>
      <c r="F1641">
        <v>28</v>
      </c>
      <c r="G1641">
        <v>44</v>
      </c>
      <c r="H1641" t="s">
        <v>3494</v>
      </c>
      <c r="I1641" t="s">
        <v>3490</v>
      </c>
      <c r="J1641" t="s">
        <v>3001</v>
      </c>
    </row>
    <row r="1642" spans="1:10" x14ac:dyDescent="0.25">
      <c r="A1642" t="s">
        <v>2017</v>
      </c>
      <c r="B1642" t="s">
        <v>212</v>
      </c>
      <c r="C1642">
        <v>6</v>
      </c>
      <c r="D1642" t="s">
        <v>3474</v>
      </c>
      <c r="E1642">
        <v>48</v>
      </c>
      <c r="F1642">
        <v>24</v>
      </c>
      <c r="G1642">
        <v>24</v>
      </c>
      <c r="H1642" t="s">
        <v>3491</v>
      </c>
      <c r="I1642" t="s">
        <v>3492</v>
      </c>
      <c r="J1642" t="s">
        <v>3001</v>
      </c>
    </row>
    <row r="1643" spans="1:10" x14ac:dyDescent="0.25">
      <c r="A1643" t="s">
        <v>2017</v>
      </c>
      <c r="B1643" t="s">
        <v>212</v>
      </c>
      <c r="C1643">
        <v>6</v>
      </c>
      <c r="D1643" t="s">
        <v>3476</v>
      </c>
      <c r="E1643">
        <v>41</v>
      </c>
      <c r="F1643">
        <v>20</v>
      </c>
      <c r="G1643">
        <v>21</v>
      </c>
      <c r="H1643" t="s">
        <v>3491</v>
      </c>
      <c r="I1643" t="s">
        <v>3492</v>
      </c>
      <c r="J1643" t="s">
        <v>3001</v>
      </c>
    </row>
    <row r="1644" spans="1:10" x14ac:dyDescent="0.25">
      <c r="A1644" t="s">
        <v>2017</v>
      </c>
      <c r="B1644" t="s">
        <v>212</v>
      </c>
      <c r="C1644">
        <v>6</v>
      </c>
      <c r="D1644" t="s">
        <v>3478</v>
      </c>
      <c r="E1644">
        <v>58</v>
      </c>
      <c r="F1644">
        <v>11</v>
      </c>
      <c r="G1644">
        <v>47</v>
      </c>
      <c r="H1644" t="s">
        <v>3493</v>
      </c>
      <c r="I1644" t="s">
        <v>3490</v>
      </c>
      <c r="J1644" t="s">
        <v>3001</v>
      </c>
    </row>
    <row r="1645" spans="1:10" x14ac:dyDescent="0.25">
      <c r="A1645" t="s">
        <v>2017</v>
      </c>
      <c r="B1645" t="s">
        <v>212</v>
      </c>
      <c r="C1645">
        <v>6</v>
      </c>
      <c r="D1645" t="s">
        <v>3480</v>
      </c>
      <c r="E1645">
        <v>85</v>
      </c>
      <c r="F1645">
        <v>23</v>
      </c>
      <c r="G1645">
        <v>62</v>
      </c>
      <c r="H1645" t="s">
        <v>196</v>
      </c>
      <c r="I1645" t="s">
        <v>3490</v>
      </c>
      <c r="J1645" t="s">
        <v>3001</v>
      </c>
    </row>
    <row r="1646" spans="1:10" x14ac:dyDescent="0.25">
      <c r="A1646" t="s">
        <v>2017</v>
      </c>
      <c r="B1646" t="s">
        <v>212</v>
      </c>
      <c r="C1646">
        <v>6</v>
      </c>
      <c r="D1646" t="s">
        <v>3482</v>
      </c>
      <c r="E1646">
        <v>69</v>
      </c>
      <c r="F1646">
        <v>22</v>
      </c>
      <c r="G1646">
        <v>47</v>
      </c>
      <c r="H1646" t="s">
        <v>3489</v>
      </c>
      <c r="I1646" t="s">
        <v>3490</v>
      </c>
      <c r="J1646" t="s">
        <v>3001</v>
      </c>
    </row>
    <row r="1647" spans="1:10" x14ac:dyDescent="0.25">
      <c r="A1647" t="s">
        <v>2022</v>
      </c>
      <c r="B1647" t="s">
        <v>159</v>
      </c>
      <c r="C1647">
        <v>8</v>
      </c>
      <c r="D1647" t="s">
        <v>3114</v>
      </c>
      <c r="E1647">
        <v>43</v>
      </c>
      <c r="F1647">
        <v>18</v>
      </c>
      <c r="G1647">
        <v>25</v>
      </c>
      <c r="H1647" t="s">
        <v>3491</v>
      </c>
      <c r="I1647" t="s">
        <v>3492</v>
      </c>
      <c r="J1647" t="s">
        <v>2902</v>
      </c>
    </row>
    <row r="1648" spans="1:10" x14ac:dyDescent="0.25">
      <c r="A1648" t="s">
        <v>2022</v>
      </c>
      <c r="B1648" t="s">
        <v>159</v>
      </c>
      <c r="C1648">
        <v>8</v>
      </c>
      <c r="D1648" t="s">
        <v>3116</v>
      </c>
      <c r="E1648">
        <v>32</v>
      </c>
      <c r="F1648">
        <v>12</v>
      </c>
      <c r="G1648">
        <v>20</v>
      </c>
      <c r="H1648" t="s">
        <v>3491</v>
      </c>
      <c r="I1648" t="s">
        <v>3492</v>
      </c>
      <c r="J1648" t="s">
        <v>2902</v>
      </c>
    </row>
    <row r="1649" spans="1:10" x14ac:dyDescent="0.25">
      <c r="A1649" t="s">
        <v>2022</v>
      </c>
      <c r="B1649" t="s">
        <v>159</v>
      </c>
      <c r="C1649">
        <v>8</v>
      </c>
      <c r="D1649" t="s">
        <v>3118</v>
      </c>
      <c r="E1649">
        <v>75</v>
      </c>
      <c r="F1649">
        <v>30</v>
      </c>
      <c r="G1649">
        <v>45</v>
      </c>
      <c r="H1649" t="s">
        <v>3494</v>
      </c>
      <c r="I1649" t="s">
        <v>3490</v>
      </c>
      <c r="J1649" t="s">
        <v>2902</v>
      </c>
    </row>
    <row r="1650" spans="1:10" x14ac:dyDescent="0.25">
      <c r="A1650" t="s">
        <v>2022</v>
      </c>
      <c r="B1650" t="s">
        <v>159</v>
      </c>
      <c r="C1650">
        <v>8</v>
      </c>
      <c r="D1650" t="s">
        <v>3120</v>
      </c>
      <c r="E1650">
        <v>60</v>
      </c>
      <c r="F1650">
        <v>21</v>
      </c>
      <c r="G1650">
        <v>39</v>
      </c>
      <c r="H1650" t="s">
        <v>3489</v>
      </c>
      <c r="I1650" t="s">
        <v>3490</v>
      </c>
      <c r="J1650" t="s">
        <v>2902</v>
      </c>
    </row>
    <row r="1651" spans="1:10" x14ac:dyDescent="0.25">
      <c r="A1651" t="s">
        <v>2022</v>
      </c>
      <c r="B1651" t="s">
        <v>159</v>
      </c>
      <c r="C1651">
        <v>8</v>
      </c>
      <c r="D1651" t="s">
        <v>3122</v>
      </c>
      <c r="E1651">
        <v>77</v>
      </c>
      <c r="F1651">
        <v>12</v>
      </c>
      <c r="G1651">
        <v>65</v>
      </c>
      <c r="H1651" t="s">
        <v>3494</v>
      </c>
      <c r="I1651" t="s">
        <v>3490</v>
      </c>
      <c r="J1651" t="s">
        <v>2902</v>
      </c>
    </row>
    <row r="1652" spans="1:10" x14ac:dyDescent="0.25">
      <c r="A1652" t="s">
        <v>2027</v>
      </c>
      <c r="B1652" t="s">
        <v>95</v>
      </c>
      <c r="C1652">
        <v>6</v>
      </c>
      <c r="D1652" t="s">
        <v>3234</v>
      </c>
      <c r="E1652">
        <v>77</v>
      </c>
      <c r="F1652">
        <v>12</v>
      </c>
      <c r="G1652">
        <v>65</v>
      </c>
      <c r="H1652" t="s">
        <v>3494</v>
      </c>
      <c r="I1652" t="s">
        <v>3490</v>
      </c>
      <c r="J1652" t="s">
        <v>2889</v>
      </c>
    </row>
    <row r="1653" spans="1:10" x14ac:dyDescent="0.25">
      <c r="A1653" t="s">
        <v>2027</v>
      </c>
      <c r="B1653" t="s">
        <v>95</v>
      </c>
      <c r="C1653">
        <v>6</v>
      </c>
      <c r="D1653" t="s">
        <v>3236</v>
      </c>
      <c r="E1653">
        <v>55</v>
      </c>
      <c r="F1653">
        <v>17</v>
      </c>
      <c r="G1653">
        <v>38</v>
      </c>
      <c r="H1653" t="s">
        <v>3493</v>
      </c>
      <c r="I1653" t="s">
        <v>3490</v>
      </c>
      <c r="J1653" t="s">
        <v>2889</v>
      </c>
    </row>
    <row r="1654" spans="1:10" x14ac:dyDescent="0.25">
      <c r="A1654" t="s">
        <v>2027</v>
      </c>
      <c r="B1654" t="s">
        <v>95</v>
      </c>
      <c r="C1654">
        <v>6</v>
      </c>
      <c r="D1654" t="s">
        <v>3238</v>
      </c>
      <c r="E1654">
        <v>58</v>
      </c>
      <c r="F1654">
        <v>10</v>
      </c>
      <c r="G1654">
        <v>48</v>
      </c>
      <c r="H1654" t="s">
        <v>3493</v>
      </c>
      <c r="I1654" t="s">
        <v>3490</v>
      </c>
      <c r="J1654" t="s">
        <v>2889</v>
      </c>
    </row>
    <row r="1655" spans="1:10" x14ac:dyDescent="0.25">
      <c r="A1655" t="s">
        <v>2027</v>
      </c>
      <c r="B1655" t="s">
        <v>95</v>
      </c>
      <c r="C1655">
        <v>6</v>
      </c>
      <c r="D1655" t="s">
        <v>3240</v>
      </c>
      <c r="E1655">
        <v>67</v>
      </c>
      <c r="F1655">
        <v>27</v>
      </c>
      <c r="G1655">
        <v>40</v>
      </c>
      <c r="H1655" t="s">
        <v>3489</v>
      </c>
      <c r="I1655" t="s">
        <v>3490</v>
      </c>
      <c r="J1655" t="s">
        <v>2889</v>
      </c>
    </row>
    <row r="1656" spans="1:10" x14ac:dyDescent="0.25">
      <c r="A1656" t="s">
        <v>2027</v>
      </c>
      <c r="B1656" t="s">
        <v>95</v>
      </c>
      <c r="C1656">
        <v>6</v>
      </c>
      <c r="D1656" t="s">
        <v>3242</v>
      </c>
      <c r="E1656">
        <v>58</v>
      </c>
      <c r="F1656">
        <v>13</v>
      </c>
      <c r="G1656">
        <v>45</v>
      </c>
      <c r="H1656" t="s">
        <v>3493</v>
      </c>
      <c r="I1656" t="s">
        <v>3490</v>
      </c>
      <c r="J1656" t="s">
        <v>2889</v>
      </c>
    </row>
    <row r="1657" spans="1:10" x14ac:dyDescent="0.25">
      <c r="A1657" t="s">
        <v>2032</v>
      </c>
      <c r="B1657" t="s">
        <v>159</v>
      </c>
      <c r="C1657">
        <v>6</v>
      </c>
      <c r="D1657" t="s">
        <v>3114</v>
      </c>
      <c r="E1657">
        <v>86</v>
      </c>
      <c r="F1657">
        <v>29</v>
      </c>
      <c r="G1657">
        <v>57</v>
      </c>
      <c r="H1657" t="s">
        <v>196</v>
      </c>
      <c r="I1657" t="s">
        <v>3490</v>
      </c>
      <c r="J1657" t="s">
        <v>2902</v>
      </c>
    </row>
    <row r="1658" spans="1:10" x14ac:dyDescent="0.25">
      <c r="A1658" t="s">
        <v>2032</v>
      </c>
      <c r="B1658" t="s">
        <v>159</v>
      </c>
      <c r="C1658">
        <v>6</v>
      </c>
      <c r="D1658" t="s">
        <v>3116</v>
      </c>
      <c r="E1658">
        <v>87</v>
      </c>
      <c r="F1658">
        <v>18</v>
      </c>
      <c r="G1658">
        <v>69</v>
      </c>
      <c r="H1658" t="s">
        <v>196</v>
      </c>
      <c r="I1658" t="s">
        <v>3490</v>
      </c>
      <c r="J1658" t="s">
        <v>2902</v>
      </c>
    </row>
    <row r="1659" spans="1:10" x14ac:dyDescent="0.25">
      <c r="A1659" t="s">
        <v>2032</v>
      </c>
      <c r="B1659" t="s">
        <v>159</v>
      </c>
      <c r="C1659">
        <v>6</v>
      </c>
      <c r="D1659" t="s">
        <v>3118</v>
      </c>
      <c r="E1659">
        <v>79</v>
      </c>
      <c r="F1659">
        <v>29</v>
      </c>
      <c r="G1659">
        <v>50</v>
      </c>
      <c r="H1659" t="s">
        <v>3494</v>
      </c>
      <c r="I1659" t="s">
        <v>3490</v>
      </c>
      <c r="J1659" t="s">
        <v>2902</v>
      </c>
    </row>
    <row r="1660" spans="1:10" x14ac:dyDescent="0.25">
      <c r="A1660" t="s">
        <v>2032</v>
      </c>
      <c r="B1660" t="s">
        <v>159</v>
      </c>
      <c r="C1660">
        <v>6</v>
      </c>
      <c r="D1660" t="s">
        <v>3120</v>
      </c>
      <c r="E1660">
        <v>64</v>
      </c>
      <c r="F1660">
        <v>11</v>
      </c>
      <c r="G1660">
        <v>53</v>
      </c>
      <c r="H1660" t="s">
        <v>3489</v>
      </c>
      <c r="I1660" t="s">
        <v>3490</v>
      </c>
      <c r="J1660" t="s">
        <v>2902</v>
      </c>
    </row>
    <row r="1661" spans="1:10" x14ac:dyDescent="0.25">
      <c r="A1661" t="s">
        <v>2032</v>
      </c>
      <c r="B1661" t="s">
        <v>159</v>
      </c>
      <c r="C1661">
        <v>6</v>
      </c>
      <c r="D1661" t="s">
        <v>3122</v>
      </c>
      <c r="E1661">
        <v>49</v>
      </c>
      <c r="F1661">
        <v>29</v>
      </c>
      <c r="G1661">
        <v>20</v>
      </c>
      <c r="H1661" t="s">
        <v>3491</v>
      </c>
      <c r="I1661" t="s">
        <v>3492</v>
      </c>
      <c r="J1661" t="s">
        <v>2902</v>
      </c>
    </row>
    <row r="1662" spans="1:10" x14ac:dyDescent="0.25">
      <c r="A1662" t="s">
        <v>2037</v>
      </c>
      <c r="B1662" t="s">
        <v>159</v>
      </c>
      <c r="C1662">
        <v>8</v>
      </c>
      <c r="D1662" t="s">
        <v>3114</v>
      </c>
      <c r="E1662">
        <v>90</v>
      </c>
      <c r="F1662">
        <v>21</v>
      </c>
      <c r="G1662">
        <v>69</v>
      </c>
      <c r="H1662" t="s">
        <v>3495</v>
      </c>
      <c r="I1662" t="s">
        <v>3490</v>
      </c>
      <c r="J1662" t="s">
        <v>2902</v>
      </c>
    </row>
    <row r="1663" spans="1:10" x14ac:dyDescent="0.25">
      <c r="A1663" t="s">
        <v>2037</v>
      </c>
      <c r="B1663" t="s">
        <v>159</v>
      </c>
      <c r="C1663">
        <v>8</v>
      </c>
      <c r="D1663" t="s">
        <v>3116</v>
      </c>
      <c r="E1663">
        <v>95</v>
      </c>
      <c r="F1663">
        <v>27</v>
      </c>
      <c r="G1663">
        <v>68</v>
      </c>
      <c r="H1663" t="s">
        <v>3495</v>
      </c>
      <c r="I1663" t="s">
        <v>3490</v>
      </c>
      <c r="J1663" t="s">
        <v>2902</v>
      </c>
    </row>
    <row r="1664" spans="1:10" x14ac:dyDescent="0.25">
      <c r="A1664" t="s">
        <v>2037</v>
      </c>
      <c r="B1664" t="s">
        <v>159</v>
      </c>
      <c r="C1664">
        <v>8</v>
      </c>
      <c r="D1664" t="s">
        <v>3118</v>
      </c>
      <c r="E1664">
        <v>63</v>
      </c>
      <c r="F1664">
        <v>16</v>
      </c>
      <c r="G1664">
        <v>47</v>
      </c>
      <c r="H1664" t="s">
        <v>3489</v>
      </c>
      <c r="I1664" t="s">
        <v>3490</v>
      </c>
      <c r="J1664" t="s">
        <v>2902</v>
      </c>
    </row>
    <row r="1665" spans="1:10" x14ac:dyDescent="0.25">
      <c r="A1665" t="s">
        <v>2037</v>
      </c>
      <c r="B1665" t="s">
        <v>159</v>
      </c>
      <c r="C1665">
        <v>8</v>
      </c>
      <c r="D1665" t="s">
        <v>3120</v>
      </c>
      <c r="E1665">
        <v>78</v>
      </c>
      <c r="F1665">
        <v>23</v>
      </c>
      <c r="G1665">
        <v>55</v>
      </c>
      <c r="H1665" t="s">
        <v>3494</v>
      </c>
      <c r="I1665" t="s">
        <v>3490</v>
      </c>
      <c r="J1665" t="s">
        <v>2902</v>
      </c>
    </row>
    <row r="1666" spans="1:10" x14ac:dyDescent="0.25">
      <c r="A1666" t="s">
        <v>2037</v>
      </c>
      <c r="B1666" t="s">
        <v>159</v>
      </c>
      <c r="C1666">
        <v>8</v>
      </c>
      <c r="D1666" t="s">
        <v>3122</v>
      </c>
      <c r="E1666">
        <v>54</v>
      </c>
      <c r="F1666">
        <v>16</v>
      </c>
      <c r="G1666">
        <v>38</v>
      </c>
      <c r="H1666" t="s">
        <v>3493</v>
      </c>
      <c r="I1666" t="s">
        <v>3490</v>
      </c>
      <c r="J1666" t="s">
        <v>2902</v>
      </c>
    </row>
    <row r="1667" spans="1:10" x14ac:dyDescent="0.25">
      <c r="A1667" t="s">
        <v>2042</v>
      </c>
      <c r="B1667" t="s">
        <v>75</v>
      </c>
      <c r="C1667">
        <v>4</v>
      </c>
      <c r="D1667" t="s">
        <v>3034</v>
      </c>
      <c r="E1667">
        <v>56</v>
      </c>
      <c r="F1667">
        <v>27</v>
      </c>
      <c r="G1667">
        <v>29</v>
      </c>
      <c r="H1667" t="s">
        <v>3493</v>
      </c>
      <c r="I1667" t="s">
        <v>3490</v>
      </c>
      <c r="J1667" t="s">
        <v>2961</v>
      </c>
    </row>
    <row r="1668" spans="1:10" x14ac:dyDescent="0.25">
      <c r="A1668" t="s">
        <v>2042</v>
      </c>
      <c r="B1668" t="s">
        <v>75</v>
      </c>
      <c r="C1668">
        <v>4</v>
      </c>
      <c r="D1668" t="s">
        <v>3036</v>
      </c>
      <c r="E1668">
        <v>76</v>
      </c>
      <c r="F1668">
        <v>22</v>
      </c>
      <c r="G1668">
        <v>54</v>
      </c>
      <c r="H1668" t="s">
        <v>3494</v>
      </c>
      <c r="I1668" t="s">
        <v>3490</v>
      </c>
      <c r="J1668" t="s">
        <v>2961</v>
      </c>
    </row>
    <row r="1669" spans="1:10" x14ac:dyDescent="0.25">
      <c r="A1669" t="s">
        <v>2042</v>
      </c>
      <c r="B1669" t="s">
        <v>75</v>
      </c>
      <c r="C1669">
        <v>4</v>
      </c>
      <c r="D1669" t="s">
        <v>3038</v>
      </c>
      <c r="E1669">
        <v>84</v>
      </c>
      <c r="F1669">
        <v>28</v>
      </c>
      <c r="G1669">
        <v>56</v>
      </c>
      <c r="H1669" t="s">
        <v>196</v>
      </c>
      <c r="I1669" t="s">
        <v>3490</v>
      </c>
      <c r="J1669" t="s">
        <v>2961</v>
      </c>
    </row>
    <row r="1670" spans="1:10" x14ac:dyDescent="0.25">
      <c r="A1670" t="s">
        <v>2042</v>
      </c>
      <c r="B1670" t="s">
        <v>75</v>
      </c>
      <c r="C1670">
        <v>4</v>
      </c>
      <c r="D1670" t="s">
        <v>3040</v>
      </c>
      <c r="E1670">
        <v>74</v>
      </c>
      <c r="F1670">
        <v>29</v>
      </c>
      <c r="G1670">
        <v>45</v>
      </c>
      <c r="H1670" t="s">
        <v>3494</v>
      </c>
      <c r="I1670" t="s">
        <v>3490</v>
      </c>
      <c r="J1670" t="s">
        <v>2961</v>
      </c>
    </row>
    <row r="1671" spans="1:10" x14ac:dyDescent="0.25">
      <c r="A1671" t="s">
        <v>2042</v>
      </c>
      <c r="B1671" t="s">
        <v>75</v>
      </c>
      <c r="C1671">
        <v>4</v>
      </c>
      <c r="D1671" t="s">
        <v>3042</v>
      </c>
      <c r="E1671">
        <v>59</v>
      </c>
      <c r="F1671">
        <v>15</v>
      </c>
      <c r="G1671">
        <v>44</v>
      </c>
      <c r="H1671" t="s">
        <v>3493</v>
      </c>
      <c r="I1671" t="s">
        <v>3490</v>
      </c>
      <c r="J1671" t="s">
        <v>2961</v>
      </c>
    </row>
    <row r="1672" spans="1:10" x14ac:dyDescent="0.25">
      <c r="A1672" t="s">
        <v>2047</v>
      </c>
      <c r="B1672" t="s">
        <v>63</v>
      </c>
      <c r="C1672">
        <v>8</v>
      </c>
      <c r="D1672" t="s">
        <v>3414</v>
      </c>
      <c r="E1672">
        <v>78</v>
      </c>
      <c r="F1672">
        <v>29</v>
      </c>
      <c r="G1672">
        <v>49</v>
      </c>
      <c r="H1672" t="s">
        <v>3494</v>
      </c>
      <c r="I1672" t="s">
        <v>3490</v>
      </c>
      <c r="J1672" t="s">
        <v>2932</v>
      </c>
    </row>
    <row r="1673" spans="1:10" x14ac:dyDescent="0.25">
      <c r="A1673" t="s">
        <v>2047</v>
      </c>
      <c r="B1673" t="s">
        <v>63</v>
      </c>
      <c r="C1673">
        <v>8</v>
      </c>
      <c r="D1673" t="s">
        <v>3416</v>
      </c>
      <c r="E1673">
        <v>63</v>
      </c>
      <c r="F1673">
        <v>10</v>
      </c>
      <c r="G1673">
        <v>53</v>
      </c>
      <c r="H1673" t="s">
        <v>3489</v>
      </c>
      <c r="I1673" t="s">
        <v>3490</v>
      </c>
      <c r="J1673" t="s">
        <v>2932</v>
      </c>
    </row>
    <row r="1674" spans="1:10" x14ac:dyDescent="0.25">
      <c r="A1674" t="s">
        <v>2047</v>
      </c>
      <c r="B1674" t="s">
        <v>63</v>
      </c>
      <c r="C1674">
        <v>8</v>
      </c>
      <c r="D1674" t="s">
        <v>3418</v>
      </c>
      <c r="E1674">
        <v>71</v>
      </c>
      <c r="F1674">
        <v>17</v>
      </c>
      <c r="G1674">
        <v>54</v>
      </c>
      <c r="H1674" t="s">
        <v>3494</v>
      </c>
      <c r="I1674" t="s">
        <v>3490</v>
      </c>
      <c r="J1674" t="s">
        <v>2932</v>
      </c>
    </row>
    <row r="1675" spans="1:10" x14ac:dyDescent="0.25">
      <c r="A1675" t="s">
        <v>2047</v>
      </c>
      <c r="B1675" t="s">
        <v>63</v>
      </c>
      <c r="C1675">
        <v>8</v>
      </c>
      <c r="D1675" t="s">
        <v>3420</v>
      </c>
      <c r="E1675">
        <v>78</v>
      </c>
      <c r="F1675">
        <v>23</v>
      </c>
      <c r="G1675">
        <v>55</v>
      </c>
      <c r="H1675" t="s">
        <v>3494</v>
      </c>
      <c r="I1675" t="s">
        <v>3490</v>
      </c>
      <c r="J1675" t="s">
        <v>2932</v>
      </c>
    </row>
    <row r="1676" spans="1:10" x14ac:dyDescent="0.25">
      <c r="A1676" t="s">
        <v>2047</v>
      </c>
      <c r="B1676" t="s">
        <v>63</v>
      </c>
      <c r="C1676">
        <v>8</v>
      </c>
      <c r="D1676" t="s">
        <v>3422</v>
      </c>
      <c r="E1676">
        <v>80</v>
      </c>
      <c r="F1676">
        <v>27</v>
      </c>
      <c r="G1676">
        <v>53</v>
      </c>
      <c r="H1676" t="s">
        <v>196</v>
      </c>
      <c r="I1676" t="s">
        <v>3490</v>
      </c>
      <c r="J1676" t="s">
        <v>2932</v>
      </c>
    </row>
    <row r="1677" spans="1:10" x14ac:dyDescent="0.25">
      <c r="A1677" t="s">
        <v>2052</v>
      </c>
      <c r="B1677" t="s">
        <v>105</v>
      </c>
      <c r="C1677">
        <v>6</v>
      </c>
      <c r="D1677" t="s">
        <v>3174</v>
      </c>
      <c r="E1677">
        <v>86</v>
      </c>
      <c r="F1677">
        <v>30</v>
      </c>
      <c r="G1677">
        <v>56</v>
      </c>
      <c r="H1677" t="s">
        <v>196</v>
      </c>
      <c r="I1677" t="s">
        <v>3490</v>
      </c>
      <c r="J1677" t="s">
        <v>2908</v>
      </c>
    </row>
    <row r="1678" spans="1:10" x14ac:dyDescent="0.25">
      <c r="A1678" t="s">
        <v>2052</v>
      </c>
      <c r="B1678" t="s">
        <v>105</v>
      </c>
      <c r="C1678">
        <v>6</v>
      </c>
      <c r="D1678" t="s">
        <v>3176</v>
      </c>
      <c r="E1678">
        <v>63</v>
      </c>
      <c r="F1678">
        <v>13</v>
      </c>
      <c r="G1678">
        <v>50</v>
      </c>
      <c r="H1678" t="s">
        <v>3489</v>
      </c>
      <c r="I1678" t="s">
        <v>3490</v>
      </c>
      <c r="J1678" t="s">
        <v>2908</v>
      </c>
    </row>
    <row r="1679" spans="1:10" x14ac:dyDescent="0.25">
      <c r="A1679" t="s">
        <v>2052</v>
      </c>
      <c r="B1679" t="s">
        <v>105</v>
      </c>
      <c r="C1679">
        <v>6</v>
      </c>
      <c r="D1679" t="s">
        <v>3178</v>
      </c>
      <c r="E1679">
        <v>89</v>
      </c>
      <c r="F1679">
        <v>26</v>
      </c>
      <c r="G1679">
        <v>63</v>
      </c>
      <c r="H1679" t="s">
        <v>196</v>
      </c>
      <c r="I1679" t="s">
        <v>3490</v>
      </c>
      <c r="J1679" t="s">
        <v>2908</v>
      </c>
    </row>
    <row r="1680" spans="1:10" x14ac:dyDescent="0.25">
      <c r="A1680" t="s">
        <v>2052</v>
      </c>
      <c r="B1680" t="s">
        <v>105</v>
      </c>
      <c r="C1680">
        <v>6</v>
      </c>
      <c r="D1680" t="s">
        <v>3180</v>
      </c>
      <c r="E1680">
        <v>81</v>
      </c>
      <c r="F1680">
        <v>30</v>
      </c>
      <c r="G1680">
        <v>51</v>
      </c>
      <c r="H1680" t="s">
        <v>196</v>
      </c>
      <c r="I1680" t="s">
        <v>3490</v>
      </c>
      <c r="J1680" t="s">
        <v>2908</v>
      </c>
    </row>
    <row r="1681" spans="1:10" x14ac:dyDescent="0.25">
      <c r="A1681" t="s">
        <v>2052</v>
      </c>
      <c r="B1681" t="s">
        <v>105</v>
      </c>
      <c r="C1681">
        <v>6</v>
      </c>
      <c r="D1681" t="s">
        <v>3182</v>
      </c>
      <c r="E1681">
        <v>53</v>
      </c>
      <c r="F1681">
        <v>29</v>
      </c>
      <c r="G1681">
        <v>24</v>
      </c>
      <c r="H1681" t="s">
        <v>3493</v>
      </c>
      <c r="I1681" t="s">
        <v>3490</v>
      </c>
      <c r="J1681" t="s">
        <v>2908</v>
      </c>
    </row>
    <row r="1682" spans="1:10" x14ac:dyDescent="0.25">
      <c r="A1682" t="s">
        <v>2058</v>
      </c>
      <c r="B1682" t="s">
        <v>95</v>
      </c>
      <c r="C1682">
        <v>8</v>
      </c>
      <c r="D1682" t="s">
        <v>3234</v>
      </c>
      <c r="E1682">
        <v>42</v>
      </c>
      <c r="F1682">
        <v>21</v>
      </c>
      <c r="G1682">
        <v>21</v>
      </c>
      <c r="H1682" t="s">
        <v>3491</v>
      </c>
      <c r="I1682" t="s">
        <v>3492</v>
      </c>
      <c r="J1682" t="s">
        <v>2889</v>
      </c>
    </row>
    <row r="1683" spans="1:10" x14ac:dyDescent="0.25">
      <c r="A1683" t="s">
        <v>2058</v>
      </c>
      <c r="B1683" t="s">
        <v>95</v>
      </c>
      <c r="C1683">
        <v>8</v>
      </c>
      <c r="D1683" t="s">
        <v>3236</v>
      </c>
      <c r="E1683">
        <v>78</v>
      </c>
      <c r="F1683">
        <v>21</v>
      </c>
      <c r="G1683">
        <v>57</v>
      </c>
      <c r="H1683" t="s">
        <v>3494</v>
      </c>
      <c r="I1683" t="s">
        <v>3490</v>
      </c>
      <c r="J1683" t="s">
        <v>2889</v>
      </c>
    </row>
    <row r="1684" spans="1:10" x14ac:dyDescent="0.25">
      <c r="A1684" t="s">
        <v>2058</v>
      </c>
      <c r="B1684" t="s">
        <v>95</v>
      </c>
      <c r="C1684">
        <v>8</v>
      </c>
      <c r="D1684" t="s">
        <v>3238</v>
      </c>
      <c r="E1684">
        <v>54</v>
      </c>
      <c r="F1684">
        <v>23</v>
      </c>
      <c r="G1684">
        <v>31</v>
      </c>
      <c r="H1684" t="s">
        <v>3493</v>
      </c>
      <c r="I1684" t="s">
        <v>3490</v>
      </c>
      <c r="J1684" t="s">
        <v>2889</v>
      </c>
    </row>
    <row r="1685" spans="1:10" x14ac:dyDescent="0.25">
      <c r="A1685" t="s">
        <v>2058</v>
      </c>
      <c r="B1685" t="s">
        <v>95</v>
      </c>
      <c r="C1685">
        <v>8</v>
      </c>
      <c r="D1685" t="s">
        <v>3240</v>
      </c>
      <c r="E1685">
        <v>70</v>
      </c>
      <c r="F1685">
        <v>21</v>
      </c>
      <c r="G1685">
        <v>49</v>
      </c>
      <c r="H1685" t="s">
        <v>3494</v>
      </c>
      <c r="I1685" t="s">
        <v>3490</v>
      </c>
      <c r="J1685" t="s">
        <v>2889</v>
      </c>
    </row>
    <row r="1686" spans="1:10" x14ac:dyDescent="0.25">
      <c r="A1686" t="s">
        <v>2058</v>
      </c>
      <c r="B1686" t="s">
        <v>95</v>
      </c>
      <c r="C1686">
        <v>8</v>
      </c>
      <c r="D1686" t="s">
        <v>3242</v>
      </c>
      <c r="E1686">
        <v>68</v>
      </c>
      <c r="F1686">
        <v>12</v>
      </c>
      <c r="G1686">
        <v>56</v>
      </c>
      <c r="H1686" t="s">
        <v>3489</v>
      </c>
      <c r="I1686" t="s">
        <v>3490</v>
      </c>
      <c r="J1686" t="s">
        <v>2889</v>
      </c>
    </row>
    <row r="1687" spans="1:10" x14ac:dyDescent="0.25">
      <c r="A1687" t="s">
        <v>2064</v>
      </c>
      <c r="B1687" t="s">
        <v>122</v>
      </c>
      <c r="C1687">
        <v>8</v>
      </c>
      <c r="D1687" t="s">
        <v>3294</v>
      </c>
      <c r="E1687">
        <v>68</v>
      </c>
      <c r="F1687">
        <v>24</v>
      </c>
      <c r="G1687">
        <v>44</v>
      </c>
      <c r="H1687" t="s">
        <v>3489</v>
      </c>
      <c r="I1687" t="s">
        <v>3490</v>
      </c>
      <c r="J1687" t="s">
        <v>2919</v>
      </c>
    </row>
    <row r="1688" spans="1:10" x14ac:dyDescent="0.25">
      <c r="A1688" t="s">
        <v>2064</v>
      </c>
      <c r="B1688" t="s">
        <v>122</v>
      </c>
      <c r="C1688">
        <v>8</v>
      </c>
      <c r="D1688" t="s">
        <v>3296</v>
      </c>
      <c r="E1688">
        <v>74</v>
      </c>
      <c r="F1688">
        <v>10</v>
      </c>
      <c r="G1688">
        <v>64</v>
      </c>
      <c r="H1688" t="s">
        <v>3494</v>
      </c>
      <c r="I1688" t="s">
        <v>3490</v>
      </c>
      <c r="J1688" t="s">
        <v>2919</v>
      </c>
    </row>
    <row r="1689" spans="1:10" x14ac:dyDescent="0.25">
      <c r="A1689" t="s">
        <v>2064</v>
      </c>
      <c r="B1689" t="s">
        <v>122</v>
      </c>
      <c r="C1689">
        <v>8</v>
      </c>
      <c r="D1689" t="s">
        <v>3298</v>
      </c>
      <c r="E1689">
        <v>64</v>
      </c>
      <c r="F1689">
        <v>29</v>
      </c>
      <c r="G1689">
        <v>35</v>
      </c>
      <c r="H1689" t="s">
        <v>3489</v>
      </c>
      <c r="I1689" t="s">
        <v>3490</v>
      </c>
      <c r="J1689" t="s">
        <v>2919</v>
      </c>
    </row>
    <row r="1690" spans="1:10" x14ac:dyDescent="0.25">
      <c r="A1690" t="s">
        <v>2064</v>
      </c>
      <c r="B1690" t="s">
        <v>122</v>
      </c>
      <c r="C1690">
        <v>8</v>
      </c>
      <c r="D1690" t="s">
        <v>3300</v>
      </c>
      <c r="E1690">
        <v>35</v>
      </c>
      <c r="F1690">
        <v>14</v>
      </c>
      <c r="G1690">
        <v>21</v>
      </c>
      <c r="H1690" t="s">
        <v>3491</v>
      </c>
      <c r="I1690" t="s">
        <v>3492</v>
      </c>
      <c r="J1690" t="s">
        <v>2919</v>
      </c>
    </row>
    <row r="1691" spans="1:10" x14ac:dyDescent="0.25">
      <c r="A1691" t="s">
        <v>2064</v>
      </c>
      <c r="B1691" t="s">
        <v>122</v>
      </c>
      <c r="C1691">
        <v>8</v>
      </c>
      <c r="D1691" t="s">
        <v>3302</v>
      </c>
      <c r="E1691">
        <v>40</v>
      </c>
      <c r="F1691">
        <v>12</v>
      </c>
      <c r="G1691">
        <v>28</v>
      </c>
      <c r="H1691" t="s">
        <v>3491</v>
      </c>
      <c r="I1691" t="s">
        <v>3492</v>
      </c>
      <c r="J1691" t="s">
        <v>2919</v>
      </c>
    </row>
    <row r="1692" spans="1:10" x14ac:dyDescent="0.25">
      <c r="A1692" t="s">
        <v>2069</v>
      </c>
      <c r="B1692" t="s">
        <v>105</v>
      </c>
      <c r="C1692">
        <v>8</v>
      </c>
      <c r="D1692" t="s">
        <v>3174</v>
      </c>
      <c r="E1692">
        <v>87</v>
      </c>
      <c r="F1692">
        <v>23</v>
      </c>
      <c r="G1692">
        <v>64</v>
      </c>
      <c r="H1692" t="s">
        <v>196</v>
      </c>
      <c r="I1692" t="s">
        <v>3490</v>
      </c>
      <c r="J1692" t="s">
        <v>2908</v>
      </c>
    </row>
    <row r="1693" spans="1:10" x14ac:dyDescent="0.25">
      <c r="A1693" t="s">
        <v>2069</v>
      </c>
      <c r="B1693" t="s">
        <v>105</v>
      </c>
      <c r="C1693">
        <v>8</v>
      </c>
      <c r="D1693" t="s">
        <v>3176</v>
      </c>
      <c r="E1693">
        <v>70</v>
      </c>
      <c r="F1693">
        <v>21</v>
      </c>
      <c r="G1693">
        <v>49</v>
      </c>
      <c r="H1693" t="s">
        <v>3494</v>
      </c>
      <c r="I1693" t="s">
        <v>3490</v>
      </c>
      <c r="J1693" t="s">
        <v>2908</v>
      </c>
    </row>
    <row r="1694" spans="1:10" x14ac:dyDescent="0.25">
      <c r="A1694" t="s">
        <v>2069</v>
      </c>
      <c r="B1694" t="s">
        <v>105</v>
      </c>
      <c r="C1694">
        <v>8</v>
      </c>
      <c r="D1694" t="s">
        <v>3178</v>
      </c>
      <c r="E1694">
        <v>83</v>
      </c>
      <c r="F1694">
        <v>30</v>
      </c>
      <c r="G1694">
        <v>53</v>
      </c>
      <c r="H1694" t="s">
        <v>196</v>
      </c>
      <c r="I1694" t="s">
        <v>3490</v>
      </c>
      <c r="J1694" t="s">
        <v>2908</v>
      </c>
    </row>
    <row r="1695" spans="1:10" x14ac:dyDescent="0.25">
      <c r="A1695" t="s">
        <v>2069</v>
      </c>
      <c r="B1695" t="s">
        <v>105</v>
      </c>
      <c r="C1695">
        <v>8</v>
      </c>
      <c r="D1695" t="s">
        <v>3180</v>
      </c>
      <c r="E1695">
        <v>83</v>
      </c>
      <c r="F1695">
        <v>28</v>
      </c>
      <c r="G1695">
        <v>55</v>
      </c>
      <c r="H1695" t="s">
        <v>196</v>
      </c>
      <c r="I1695" t="s">
        <v>3490</v>
      </c>
      <c r="J1695" t="s">
        <v>2908</v>
      </c>
    </row>
    <row r="1696" spans="1:10" x14ac:dyDescent="0.25">
      <c r="A1696" t="s">
        <v>2069</v>
      </c>
      <c r="B1696" t="s">
        <v>105</v>
      </c>
      <c r="C1696">
        <v>8</v>
      </c>
      <c r="D1696" t="s">
        <v>3182</v>
      </c>
      <c r="E1696">
        <v>59</v>
      </c>
      <c r="F1696">
        <v>15</v>
      </c>
      <c r="G1696">
        <v>44</v>
      </c>
      <c r="H1696" t="s">
        <v>3493</v>
      </c>
      <c r="I1696" t="s">
        <v>3490</v>
      </c>
      <c r="J1696" t="s">
        <v>2908</v>
      </c>
    </row>
    <row r="1697" spans="1:10" x14ac:dyDescent="0.25">
      <c r="A1697" t="s">
        <v>2075</v>
      </c>
      <c r="B1697" t="s">
        <v>159</v>
      </c>
      <c r="C1697">
        <v>4</v>
      </c>
      <c r="D1697" t="s">
        <v>3094</v>
      </c>
      <c r="E1697">
        <v>49</v>
      </c>
      <c r="F1697">
        <v>10</v>
      </c>
      <c r="G1697">
        <v>39</v>
      </c>
      <c r="H1697" t="s">
        <v>3491</v>
      </c>
      <c r="I1697" t="s">
        <v>3492</v>
      </c>
      <c r="J1697" t="s">
        <v>2902</v>
      </c>
    </row>
    <row r="1698" spans="1:10" x14ac:dyDescent="0.25">
      <c r="A1698" t="s">
        <v>2075</v>
      </c>
      <c r="B1698" t="s">
        <v>159</v>
      </c>
      <c r="C1698">
        <v>4</v>
      </c>
      <c r="D1698" t="s">
        <v>3096</v>
      </c>
      <c r="E1698">
        <v>67</v>
      </c>
      <c r="F1698">
        <v>12</v>
      </c>
      <c r="G1698">
        <v>55</v>
      </c>
      <c r="H1698" t="s">
        <v>3489</v>
      </c>
      <c r="I1698" t="s">
        <v>3490</v>
      </c>
      <c r="J1698" t="s">
        <v>2902</v>
      </c>
    </row>
    <row r="1699" spans="1:10" x14ac:dyDescent="0.25">
      <c r="A1699" t="s">
        <v>2075</v>
      </c>
      <c r="B1699" t="s">
        <v>159</v>
      </c>
      <c r="C1699">
        <v>4</v>
      </c>
      <c r="D1699" t="s">
        <v>3098</v>
      </c>
      <c r="E1699">
        <v>78</v>
      </c>
      <c r="F1699">
        <v>10</v>
      </c>
      <c r="G1699">
        <v>68</v>
      </c>
      <c r="H1699" t="s">
        <v>3494</v>
      </c>
      <c r="I1699" t="s">
        <v>3490</v>
      </c>
      <c r="J1699" t="s">
        <v>2902</v>
      </c>
    </row>
    <row r="1700" spans="1:10" x14ac:dyDescent="0.25">
      <c r="A1700" t="s">
        <v>2075</v>
      </c>
      <c r="B1700" t="s">
        <v>159</v>
      </c>
      <c r="C1700">
        <v>4</v>
      </c>
      <c r="D1700" t="s">
        <v>3100</v>
      </c>
      <c r="E1700">
        <v>71</v>
      </c>
      <c r="F1700">
        <v>28</v>
      </c>
      <c r="G1700">
        <v>43</v>
      </c>
      <c r="H1700" t="s">
        <v>3494</v>
      </c>
      <c r="I1700" t="s">
        <v>3490</v>
      </c>
      <c r="J1700" t="s">
        <v>2902</v>
      </c>
    </row>
    <row r="1701" spans="1:10" x14ac:dyDescent="0.25">
      <c r="A1701" t="s">
        <v>2075</v>
      </c>
      <c r="B1701" t="s">
        <v>159</v>
      </c>
      <c r="C1701">
        <v>4</v>
      </c>
      <c r="D1701" t="s">
        <v>3102</v>
      </c>
      <c r="E1701">
        <v>38</v>
      </c>
      <c r="F1701">
        <v>14</v>
      </c>
      <c r="G1701">
        <v>24</v>
      </c>
      <c r="H1701" t="s">
        <v>3491</v>
      </c>
      <c r="I1701" t="s">
        <v>3492</v>
      </c>
      <c r="J1701" t="s">
        <v>2902</v>
      </c>
    </row>
    <row r="1702" spans="1:10" x14ac:dyDescent="0.25">
      <c r="A1702" t="s">
        <v>2080</v>
      </c>
      <c r="B1702" t="s">
        <v>75</v>
      </c>
      <c r="C1702">
        <v>4</v>
      </c>
      <c r="D1702" t="s">
        <v>3034</v>
      </c>
      <c r="E1702">
        <v>67</v>
      </c>
      <c r="F1702">
        <v>24</v>
      </c>
      <c r="G1702">
        <v>43</v>
      </c>
      <c r="H1702" t="s">
        <v>3489</v>
      </c>
      <c r="I1702" t="s">
        <v>3490</v>
      </c>
      <c r="J1702" t="s">
        <v>2961</v>
      </c>
    </row>
    <row r="1703" spans="1:10" x14ac:dyDescent="0.25">
      <c r="A1703" t="s">
        <v>2080</v>
      </c>
      <c r="B1703" t="s">
        <v>75</v>
      </c>
      <c r="C1703">
        <v>4</v>
      </c>
      <c r="D1703" t="s">
        <v>3036</v>
      </c>
      <c r="E1703">
        <v>72</v>
      </c>
      <c r="F1703">
        <v>20</v>
      </c>
      <c r="G1703">
        <v>52</v>
      </c>
      <c r="H1703" t="s">
        <v>3494</v>
      </c>
      <c r="I1703" t="s">
        <v>3490</v>
      </c>
      <c r="J1703" t="s">
        <v>2961</v>
      </c>
    </row>
    <row r="1704" spans="1:10" x14ac:dyDescent="0.25">
      <c r="A1704" t="s">
        <v>2080</v>
      </c>
      <c r="B1704" t="s">
        <v>75</v>
      </c>
      <c r="C1704">
        <v>4</v>
      </c>
      <c r="D1704" t="s">
        <v>3038</v>
      </c>
      <c r="E1704">
        <v>47</v>
      </c>
      <c r="F1704">
        <v>20</v>
      </c>
      <c r="G1704">
        <v>27</v>
      </c>
      <c r="H1704" t="s">
        <v>3491</v>
      </c>
      <c r="I1704" t="s">
        <v>3492</v>
      </c>
      <c r="J1704" t="s">
        <v>2961</v>
      </c>
    </row>
    <row r="1705" spans="1:10" x14ac:dyDescent="0.25">
      <c r="A1705" t="s">
        <v>2080</v>
      </c>
      <c r="B1705" t="s">
        <v>75</v>
      </c>
      <c r="C1705">
        <v>4</v>
      </c>
      <c r="D1705" t="s">
        <v>3040</v>
      </c>
      <c r="E1705">
        <v>75</v>
      </c>
      <c r="F1705">
        <v>24</v>
      </c>
      <c r="G1705">
        <v>51</v>
      </c>
      <c r="H1705" t="s">
        <v>3494</v>
      </c>
      <c r="I1705" t="s">
        <v>3490</v>
      </c>
      <c r="J1705" t="s">
        <v>2961</v>
      </c>
    </row>
    <row r="1706" spans="1:10" x14ac:dyDescent="0.25">
      <c r="A1706" t="s">
        <v>2080</v>
      </c>
      <c r="B1706" t="s">
        <v>75</v>
      </c>
      <c r="C1706">
        <v>4</v>
      </c>
      <c r="D1706" t="s">
        <v>3042</v>
      </c>
      <c r="E1706">
        <v>62</v>
      </c>
      <c r="F1706">
        <v>24</v>
      </c>
      <c r="G1706">
        <v>38</v>
      </c>
      <c r="H1706" t="s">
        <v>3489</v>
      </c>
      <c r="I1706" t="s">
        <v>3490</v>
      </c>
      <c r="J1706" t="s">
        <v>2961</v>
      </c>
    </row>
    <row r="1707" spans="1:10" x14ac:dyDescent="0.25">
      <c r="A1707" t="s">
        <v>2086</v>
      </c>
      <c r="B1707" t="s">
        <v>105</v>
      </c>
      <c r="C1707">
        <v>4</v>
      </c>
      <c r="D1707" t="s">
        <v>3154</v>
      </c>
      <c r="E1707">
        <v>74</v>
      </c>
      <c r="F1707">
        <v>12</v>
      </c>
      <c r="G1707">
        <v>62</v>
      </c>
      <c r="H1707" t="s">
        <v>3494</v>
      </c>
      <c r="I1707" t="s">
        <v>3490</v>
      </c>
      <c r="J1707" t="s">
        <v>2908</v>
      </c>
    </row>
    <row r="1708" spans="1:10" x14ac:dyDescent="0.25">
      <c r="A1708" t="s">
        <v>2086</v>
      </c>
      <c r="B1708" t="s">
        <v>105</v>
      </c>
      <c r="C1708">
        <v>4</v>
      </c>
      <c r="D1708" t="s">
        <v>3156</v>
      </c>
      <c r="E1708">
        <v>65</v>
      </c>
      <c r="F1708">
        <v>14</v>
      </c>
      <c r="G1708">
        <v>51</v>
      </c>
      <c r="H1708" t="s">
        <v>3489</v>
      </c>
      <c r="I1708" t="s">
        <v>3490</v>
      </c>
      <c r="J1708" t="s">
        <v>2908</v>
      </c>
    </row>
    <row r="1709" spans="1:10" x14ac:dyDescent="0.25">
      <c r="A1709" t="s">
        <v>2086</v>
      </c>
      <c r="B1709" t="s">
        <v>105</v>
      </c>
      <c r="C1709">
        <v>4</v>
      </c>
      <c r="D1709" t="s">
        <v>3158</v>
      </c>
      <c r="E1709">
        <v>63</v>
      </c>
      <c r="F1709">
        <v>19</v>
      </c>
      <c r="G1709">
        <v>44</v>
      </c>
      <c r="H1709" t="s">
        <v>3489</v>
      </c>
      <c r="I1709" t="s">
        <v>3490</v>
      </c>
      <c r="J1709" t="s">
        <v>2908</v>
      </c>
    </row>
    <row r="1710" spans="1:10" x14ac:dyDescent="0.25">
      <c r="A1710" t="s">
        <v>2086</v>
      </c>
      <c r="B1710" t="s">
        <v>105</v>
      </c>
      <c r="C1710">
        <v>4</v>
      </c>
      <c r="D1710" t="s">
        <v>3160</v>
      </c>
      <c r="E1710">
        <v>60</v>
      </c>
      <c r="F1710">
        <v>29</v>
      </c>
      <c r="G1710">
        <v>31</v>
      </c>
      <c r="H1710" t="s">
        <v>3489</v>
      </c>
      <c r="I1710" t="s">
        <v>3490</v>
      </c>
      <c r="J1710" t="s">
        <v>2908</v>
      </c>
    </row>
    <row r="1711" spans="1:10" x14ac:dyDescent="0.25">
      <c r="A1711" t="s">
        <v>2086</v>
      </c>
      <c r="B1711" t="s">
        <v>105</v>
      </c>
      <c r="C1711">
        <v>4</v>
      </c>
      <c r="D1711" t="s">
        <v>3162</v>
      </c>
      <c r="E1711">
        <v>38</v>
      </c>
      <c r="F1711">
        <v>12</v>
      </c>
      <c r="G1711">
        <v>26</v>
      </c>
      <c r="H1711" t="s">
        <v>3491</v>
      </c>
      <c r="I1711" t="s">
        <v>3492</v>
      </c>
      <c r="J1711" t="s">
        <v>2908</v>
      </c>
    </row>
    <row r="1712" spans="1:10" x14ac:dyDescent="0.25">
      <c r="A1712" t="s">
        <v>2091</v>
      </c>
      <c r="B1712" t="s">
        <v>63</v>
      </c>
      <c r="C1712">
        <v>4</v>
      </c>
      <c r="D1712" t="s">
        <v>3394</v>
      </c>
      <c r="E1712">
        <v>90</v>
      </c>
      <c r="F1712">
        <v>27</v>
      </c>
      <c r="G1712">
        <v>63</v>
      </c>
      <c r="H1712" t="s">
        <v>3495</v>
      </c>
      <c r="I1712" t="s">
        <v>3490</v>
      </c>
      <c r="J1712" t="s">
        <v>2932</v>
      </c>
    </row>
    <row r="1713" spans="1:10" x14ac:dyDescent="0.25">
      <c r="A1713" t="s">
        <v>2091</v>
      </c>
      <c r="B1713" t="s">
        <v>63</v>
      </c>
      <c r="C1713">
        <v>4</v>
      </c>
      <c r="D1713" t="s">
        <v>3396</v>
      </c>
      <c r="E1713">
        <v>85</v>
      </c>
      <c r="F1713">
        <v>30</v>
      </c>
      <c r="G1713">
        <v>55</v>
      </c>
      <c r="H1713" t="s">
        <v>196</v>
      </c>
      <c r="I1713" t="s">
        <v>3490</v>
      </c>
      <c r="J1713" t="s">
        <v>2932</v>
      </c>
    </row>
    <row r="1714" spans="1:10" x14ac:dyDescent="0.25">
      <c r="A1714" t="s">
        <v>2091</v>
      </c>
      <c r="B1714" t="s">
        <v>63</v>
      </c>
      <c r="C1714">
        <v>4</v>
      </c>
      <c r="D1714" t="s">
        <v>3398</v>
      </c>
      <c r="E1714">
        <v>51</v>
      </c>
      <c r="F1714">
        <v>14</v>
      </c>
      <c r="G1714">
        <v>37</v>
      </c>
      <c r="H1714" t="s">
        <v>3493</v>
      </c>
      <c r="I1714" t="s">
        <v>3490</v>
      </c>
      <c r="J1714" t="s">
        <v>2932</v>
      </c>
    </row>
    <row r="1715" spans="1:10" x14ac:dyDescent="0.25">
      <c r="A1715" t="s">
        <v>2091</v>
      </c>
      <c r="B1715" t="s">
        <v>63</v>
      </c>
      <c r="C1715">
        <v>4</v>
      </c>
      <c r="D1715" t="s">
        <v>3400</v>
      </c>
      <c r="E1715">
        <v>70</v>
      </c>
      <c r="F1715">
        <v>12</v>
      </c>
      <c r="G1715">
        <v>58</v>
      </c>
      <c r="H1715" t="s">
        <v>3494</v>
      </c>
      <c r="I1715" t="s">
        <v>3490</v>
      </c>
      <c r="J1715" t="s">
        <v>2932</v>
      </c>
    </row>
    <row r="1716" spans="1:10" x14ac:dyDescent="0.25">
      <c r="A1716" t="s">
        <v>2091</v>
      </c>
      <c r="B1716" t="s">
        <v>63</v>
      </c>
      <c r="C1716">
        <v>4</v>
      </c>
      <c r="D1716" t="s">
        <v>3402</v>
      </c>
      <c r="E1716">
        <v>73</v>
      </c>
      <c r="F1716">
        <v>28</v>
      </c>
      <c r="G1716">
        <v>45</v>
      </c>
      <c r="H1716" t="s">
        <v>3494</v>
      </c>
      <c r="I1716" t="s">
        <v>3490</v>
      </c>
      <c r="J1716" t="s">
        <v>2932</v>
      </c>
    </row>
    <row r="1717" spans="1:10" x14ac:dyDescent="0.25">
      <c r="A1717" t="s">
        <v>2095</v>
      </c>
      <c r="B1717" t="s">
        <v>95</v>
      </c>
      <c r="C1717">
        <v>8</v>
      </c>
      <c r="D1717" t="s">
        <v>3234</v>
      </c>
      <c r="E1717">
        <v>61</v>
      </c>
      <c r="F1717">
        <v>14</v>
      </c>
      <c r="G1717">
        <v>47</v>
      </c>
      <c r="H1717" t="s">
        <v>3489</v>
      </c>
      <c r="I1717" t="s">
        <v>3490</v>
      </c>
      <c r="J1717" t="s">
        <v>2889</v>
      </c>
    </row>
    <row r="1718" spans="1:10" x14ac:dyDescent="0.25">
      <c r="A1718" t="s">
        <v>2095</v>
      </c>
      <c r="B1718" t="s">
        <v>95</v>
      </c>
      <c r="C1718">
        <v>8</v>
      </c>
      <c r="D1718" t="s">
        <v>3236</v>
      </c>
      <c r="E1718">
        <v>49</v>
      </c>
      <c r="F1718">
        <v>18</v>
      </c>
      <c r="G1718">
        <v>31</v>
      </c>
      <c r="H1718" t="s">
        <v>3491</v>
      </c>
      <c r="I1718" t="s">
        <v>3492</v>
      </c>
      <c r="J1718" t="s">
        <v>2889</v>
      </c>
    </row>
    <row r="1719" spans="1:10" x14ac:dyDescent="0.25">
      <c r="A1719" t="s">
        <v>2095</v>
      </c>
      <c r="B1719" t="s">
        <v>95</v>
      </c>
      <c r="C1719">
        <v>8</v>
      </c>
      <c r="D1719" t="s">
        <v>3238</v>
      </c>
      <c r="E1719">
        <v>44</v>
      </c>
      <c r="F1719">
        <v>15</v>
      </c>
      <c r="G1719">
        <v>29</v>
      </c>
      <c r="H1719" t="s">
        <v>3491</v>
      </c>
      <c r="I1719" t="s">
        <v>3492</v>
      </c>
      <c r="J1719" t="s">
        <v>2889</v>
      </c>
    </row>
    <row r="1720" spans="1:10" x14ac:dyDescent="0.25">
      <c r="A1720" t="s">
        <v>2095</v>
      </c>
      <c r="B1720" t="s">
        <v>95</v>
      </c>
      <c r="C1720">
        <v>8</v>
      </c>
      <c r="D1720" t="s">
        <v>3240</v>
      </c>
      <c r="E1720">
        <v>79</v>
      </c>
      <c r="F1720">
        <v>29</v>
      </c>
      <c r="G1720">
        <v>50</v>
      </c>
      <c r="H1720" t="s">
        <v>3494</v>
      </c>
      <c r="I1720" t="s">
        <v>3490</v>
      </c>
      <c r="J1720" t="s">
        <v>2889</v>
      </c>
    </row>
    <row r="1721" spans="1:10" x14ac:dyDescent="0.25">
      <c r="A1721" t="s">
        <v>2095</v>
      </c>
      <c r="B1721" t="s">
        <v>95</v>
      </c>
      <c r="C1721">
        <v>8</v>
      </c>
      <c r="D1721" t="s">
        <v>3242</v>
      </c>
      <c r="E1721">
        <v>72</v>
      </c>
      <c r="F1721">
        <v>20</v>
      </c>
      <c r="G1721">
        <v>52</v>
      </c>
      <c r="H1721" t="s">
        <v>3494</v>
      </c>
      <c r="I1721" t="s">
        <v>3490</v>
      </c>
      <c r="J1721" t="s">
        <v>2889</v>
      </c>
    </row>
    <row r="1722" spans="1:10" x14ac:dyDescent="0.25">
      <c r="A1722" t="s">
        <v>2100</v>
      </c>
      <c r="B1722" t="s">
        <v>159</v>
      </c>
      <c r="C1722">
        <v>6</v>
      </c>
      <c r="D1722" t="s">
        <v>3114</v>
      </c>
      <c r="E1722">
        <v>52</v>
      </c>
      <c r="F1722">
        <v>28</v>
      </c>
      <c r="G1722">
        <v>24</v>
      </c>
      <c r="H1722" t="s">
        <v>3493</v>
      </c>
      <c r="I1722" t="s">
        <v>3490</v>
      </c>
      <c r="J1722" t="s">
        <v>2902</v>
      </c>
    </row>
    <row r="1723" spans="1:10" x14ac:dyDescent="0.25">
      <c r="A1723" t="s">
        <v>2100</v>
      </c>
      <c r="B1723" t="s">
        <v>159</v>
      </c>
      <c r="C1723">
        <v>6</v>
      </c>
      <c r="D1723" t="s">
        <v>3116</v>
      </c>
      <c r="E1723">
        <v>47</v>
      </c>
      <c r="F1723">
        <v>24</v>
      </c>
      <c r="G1723">
        <v>23</v>
      </c>
      <c r="H1723" t="s">
        <v>3491</v>
      </c>
      <c r="I1723" t="s">
        <v>3492</v>
      </c>
      <c r="J1723" t="s">
        <v>2902</v>
      </c>
    </row>
    <row r="1724" spans="1:10" x14ac:dyDescent="0.25">
      <c r="A1724" t="s">
        <v>2100</v>
      </c>
      <c r="B1724" t="s">
        <v>159</v>
      </c>
      <c r="C1724">
        <v>6</v>
      </c>
      <c r="D1724" t="s">
        <v>3118</v>
      </c>
      <c r="E1724">
        <v>84</v>
      </c>
      <c r="F1724">
        <v>18</v>
      </c>
      <c r="G1724">
        <v>66</v>
      </c>
      <c r="H1724" t="s">
        <v>196</v>
      </c>
      <c r="I1724" t="s">
        <v>3490</v>
      </c>
      <c r="J1724" t="s">
        <v>2902</v>
      </c>
    </row>
    <row r="1725" spans="1:10" x14ac:dyDescent="0.25">
      <c r="A1725" t="s">
        <v>2100</v>
      </c>
      <c r="B1725" t="s">
        <v>159</v>
      </c>
      <c r="C1725">
        <v>6</v>
      </c>
      <c r="D1725" t="s">
        <v>3120</v>
      </c>
      <c r="E1725">
        <v>58</v>
      </c>
      <c r="F1725">
        <v>21</v>
      </c>
      <c r="G1725">
        <v>37</v>
      </c>
      <c r="H1725" t="s">
        <v>3493</v>
      </c>
      <c r="I1725" t="s">
        <v>3490</v>
      </c>
      <c r="J1725" t="s">
        <v>2902</v>
      </c>
    </row>
    <row r="1726" spans="1:10" x14ac:dyDescent="0.25">
      <c r="A1726" t="s">
        <v>2100</v>
      </c>
      <c r="B1726" t="s">
        <v>159</v>
      </c>
      <c r="C1726">
        <v>6</v>
      </c>
      <c r="D1726" t="s">
        <v>3122</v>
      </c>
      <c r="E1726">
        <v>40</v>
      </c>
      <c r="F1726">
        <v>14</v>
      </c>
      <c r="G1726">
        <v>26</v>
      </c>
      <c r="H1726" t="s">
        <v>3491</v>
      </c>
      <c r="I1726" t="s">
        <v>3492</v>
      </c>
      <c r="J1726" t="s">
        <v>2902</v>
      </c>
    </row>
    <row r="1727" spans="1:10" x14ac:dyDescent="0.25">
      <c r="A1727" t="s">
        <v>2105</v>
      </c>
      <c r="B1727" t="s">
        <v>63</v>
      </c>
      <c r="C1727">
        <v>6</v>
      </c>
      <c r="D1727" t="s">
        <v>3414</v>
      </c>
      <c r="E1727">
        <v>69</v>
      </c>
      <c r="F1727">
        <v>27</v>
      </c>
      <c r="G1727">
        <v>42</v>
      </c>
      <c r="H1727" t="s">
        <v>3489</v>
      </c>
      <c r="I1727" t="s">
        <v>3490</v>
      </c>
      <c r="J1727" t="s">
        <v>2932</v>
      </c>
    </row>
    <row r="1728" spans="1:10" x14ac:dyDescent="0.25">
      <c r="A1728" t="s">
        <v>2105</v>
      </c>
      <c r="B1728" t="s">
        <v>63</v>
      </c>
      <c r="C1728">
        <v>6</v>
      </c>
      <c r="D1728" t="s">
        <v>3416</v>
      </c>
      <c r="E1728">
        <v>62</v>
      </c>
      <c r="F1728">
        <v>19</v>
      </c>
      <c r="G1728">
        <v>43</v>
      </c>
      <c r="H1728" t="s">
        <v>3489</v>
      </c>
      <c r="I1728" t="s">
        <v>3490</v>
      </c>
      <c r="J1728" t="s">
        <v>2932</v>
      </c>
    </row>
    <row r="1729" spans="1:10" x14ac:dyDescent="0.25">
      <c r="A1729" t="s">
        <v>2105</v>
      </c>
      <c r="B1729" t="s">
        <v>63</v>
      </c>
      <c r="C1729">
        <v>6</v>
      </c>
      <c r="D1729" t="s">
        <v>3418</v>
      </c>
      <c r="E1729">
        <v>47</v>
      </c>
      <c r="F1729">
        <v>25</v>
      </c>
      <c r="G1729">
        <v>22</v>
      </c>
      <c r="H1729" t="s">
        <v>3491</v>
      </c>
      <c r="I1729" t="s">
        <v>3492</v>
      </c>
      <c r="J1729" t="s">
        <v>2932</v>
      </c>
    </row>
    <row r="1730" spans="1:10" x14ac:dyDescent="0.25">
      <c r="A1730" t="s">
        <v>2105</v>
      </c>
      <c r="B1730" t="s">
        <v>63</v>
      </c>
      <c r="C1730">
        <v>6</v>
      </c>
      <c r="D1730" t="s">
        <v>3420</v>
      </c>
      <c r="E1730">
        <v>67</v>
      </c>
      <c r="F1730">
        <v>20</v>
      </c>
      <c r="G1730">
        <v>47</v>
      </c>
      <c r="H1730" t="s">
        <v>3489</v>
      </c>
      <c r="I1730" t="s">
        <v>3490</v>
      </c>
      <c r="J1730" t="s">
        <v>2932</v>
      </c>
    </row>
    <row r="1731" spans="1:10" x14ac:dyDescent="0.25">
      <c r="A1731" t="s">
        <v>2105</v>
      </c>
      <c r="B1731" t="s">
        <v>63</v>
      </c>
      <c r="C1731">
        <v>6</v>
      </c>
      <c r="D1731" t="s">
        <v>3422</v>
      </c>
      <c r="E1731">
        <v>54</v>
      </c>
      <c r="F1731">
        <v>26</v>
      </c>
      <c r="G1731">
        <v>28</v>
      </c>
      <c r="H1731" t="s">
        <v>3493</v>
      </c>
      <c r="I1731" t="s">
        <v>3490</v>
      </c>
      <c r="J1731" t="s">
        <v>2932</v>
      </c>
    </row>
    <row r="1732" spans="1:10" x14ac:dyDescent="0.25">
      <c r="A1732" t="s">
        <v>2110</v>
      </c>
      <c r="B1732" t="s">
        <v>30</v>
      </c>
      <c r="C1732">
        <v>8</v>
      </c>
      <c r="D1732" t="s">
        <v>3354</v>
      </c>
      <c r="E1732">
        <v>66</v>
      </c>
      <c r="F1732">
        <v>10</v>
      </c>
      <c r="G1732">
        <v>56</v>
      </c>
      <c r="H1732" t="s">
        <v>3489</v>
      </c>
      <c r="I1732" t="s">
        <v>3490</v>
      </c>
      <c r="J1732" t="s">
        <v>2895</v>
      </c>
    </row>
    <row r="1733" spans="1:10" x14ac:dyDescent="0.25">
      <c r="A1733" t="s">
        <v>2110</v>
      </c>
      <c r="B1733" t="s">
        <v>30</v>
      </c>
      <c r="C1733">
        <v>8</v>
      </c>
      <c r="D1733" t="s">
        <v>3356</v>
      </c>
      <c r="E1733">
        <v>42</v>
      </c>
      <c r="F1733">
        <v>14</v>
      </c>
      <c r="G1733">
        <v>28</v>
      </c>
      <c r="H1733" t="s">
        <v>3491</v>
      </c>
      <c r="I1733" t="s">
        <v>3492</v>
      </c>
      <c r="J1733" t="s">
        <v>2895</v>
      </c>
    </row>
    <row r="1734" spans="1:10" x14ac:dyDescent="0.25">
      <c r="A1734" t="s">
        <v>2110</v>
      </c>
      <c r="B1734" t="s">
        <v>30</v>
      </c>
      <c r="C1734">
        <v>8</v>
      </c>
      <c r="D1734" t="s">
        <v>3358</v>
      </c>
      <c r="E1734">
        <v>72</v>
      </c>
      <c r="F1734">
        <v>21</v>
      </c>
      <c r="G1734">
        <v>51</v>
      </c>
      <c r="H1734" t="s">
        <v>3494</v>
      </c>
      <c r="I1734" t="s">
        <v>3490</v>
      </c>
      <c r="J1734" t="s">
        <v>2895</v>
      </c>
    </row>
    <row r="1735" spans="1:10" x14ac:dyDescent="0.25">
      <c r="A1735" t="s">
        <v>2110</v>
      </c>
      <c r="B1735" t="s">
        <v>30</v>
      </c>
      <c r="C1735">
        <v>8</v>
      </c>
      <c r="D1735" t="s">
        <v>3360</v>
      </c>
      <c r="E1735">
        <v>75</v>
      </c>
      <c r="F1735">
        <v>10</v>
      </c>
      <c r="G1735">
        <v>65</v>
      </c>
      <c r="H1735" t="s">
        <v>3494</v>
      </c>
      <c r="I1735" t="s">
        <v>3490</v>
      </c>
      <c r="J1735" t="s">
        <v>2895</v>
      </c>
    </row>
    <row r="1736" spans="1:10" x14ac:dyDescent="0.25">
      <c r="A1736" t="s">
        <v>2110</v>
      </c>
      <c r="B1736" t="s">
        <v>30</v>
      </c>
      <c r="C1736">
        <v>8</v>
      </c>
      <c r="D1736" t="s">
        <v>3362</v>
      </c>
      <c r="E1736">
        <v>49</v>
      </c>
      <c r="F1736">
        <v>28</v>
      </c>
      <c r="G1736">
        <v>21</v>
      </c>
      <c r="H1736" t="s">
        <v>3491</v>
      </c>
      <c r="I1736" t="s">
        <v>3492</v>
      </c>
      <c r="J1736" t="s">
        <v>2895</v>
      </c>
    </row>
    <row r="1737" spans="1:10" x14ac:dyDescent="0.25">
      <c r="A1737" t="s">
        <v>2116</v>
      </c>
      <c r="B1737" t="s">
        <v>75</v>
      </c>
      <c r="C1737">
        <v>8</v>
      </c>
      <c r="D1737" t="s">
        <v>3054</v>
      </c>
      <c r="E1737">
        <v>35</v>
      </c>
      <c r="F1737">
        <v>11</v>
      </c>
      <c r="G1737">
        <v>24</v>
      </c>
      <c r="H1737" t="s">
        <v>3491</v>
      </c>
      <c r="I1737" t="s">
        <v>3492</v>
      </c>
      <c r="J1737" t="s">
        <v>2961</v>
      </c>
    </row>
    <row r="1738" spans="1:10" x14ac:dyDescent="0.25">
      <c r="A1738" t="s">
        <v>2116</v>
      </c>
      <c r="B1738" t="s">
        <v>75</v>
      </c>
      <c r="C1738">
        <v>8</v>
      </c>
      <c r="D1738" t="s">
        <v>3056</v>
      </c>
      <c r="E1738">
        <v>75</v>
      </c>
      <c r="F1738">
        <v>30</v>
      </c>
      <c r="G1738">
        <v>45</v>
      </c>
      <c r="H1738" t="s">
        <v>3494</v>
      </c>
      <c r="I1738" t="s">
        <v>3490</v>
      </c>
      <c r="J1738" t="s">
        <v>2961</v>
      </c>
    </row>
    <row r="1739" spans="1:10" x14ac:dyDescent="0.25">
      <c r="A1739" t="s">
        <v>2116</v>
      </c>
      <c r="B1739" t="s">
        <v>75</v>
      </c>
      <c r="C1739">
        <v>8</v>
      </c>
      <c r="D1739" t="s">
        <v>3058</v>
      </c>
      <c r="E1739">
        <v>82</v>
      </c>
      <c r="F1739">
        <v>17</v>
      </c>
      <c r="G1739">
        <v>65</v>
      </c>
      <c r="H1739" t="s">
        <v>196</v>
      </c>
      <c r="I1739" t="s">
        <v>3490</v>
      </c>
      <c r="J1739" t="s">
        <v>2961</v>
      </c>
    </row>
    <row r="1740" spans="1:10" x14ac:dyDescent="0.25">
      <c r="A1740" t="s">
        <v>2116</v>
      </c>
      <c r="B1740" t="s">
        <v>75</v>
      </c>
      <c r="C1740">
        <v>8</v>
      </c>
      <c r="D1740" t="s">
        <v>3060</v>
      </c>
      <c r="E1740">
        <v>66</v>
      </c>
      <c r="F1740">
        <v>20</v>
      </c>
      <c r="G1740">
        <v>46</v>
      </c>
      <c r="H1740" t="s">
        <v>3489</v>
      </c>
      <c r="I1740" t="s">
        <v>3490</v>
      </c>
      <c r="J1740" t="s">
        <v>2961</v>
      </c>
    </row>
    <row r="1741" spans="1:10" x14ac:dyDescent="0.25">
      <c r="A1741" t="s">
        <v>2116</v>
      </c>
      <c r="B1741" t="s">
        <v>75</v>
      </c>
      <c r="C1741">
        <v>8</v>
      </c>
      <c r="D1741" t="s">
        <v>3062</v>
      </c>
      <c r="E1741">
        <v>41</v>
      </c>
      <c r="F1741">
        <v>18</v>
      </c>
      <c r="G1741">
        <v>23</v>
      </c>
      <c r="H1741" t="s">
        <v>3491</v>
      </c>
      <c r="I1741" t="s">
        <v>3492</v>
      </c>
      <c r="J1741" t="s">
        <v>2961</v>
      </c>
    </row>
    <row r="1742" spans="1:10" x14ac:dyDescent="0.25">
      <c r="A1742" t="s">
        <v>2122</v>
      </c>
      <c r="B1742" t="s">
        <v>212</v>
      </c>
      <c r="C1742">
        <v>8</v>
      </c>
      <c r="D1742" t="s">
        <v>3474</v>
      </c>
      <c r="E1742">
        <v>54</v>
      </c>
      <c r="F1742">
        <v>24</v>
      </c>
      <c r="G1742">
        <v>30</v>
      </c>
      <c r="H1742" t="s">
        <v>3493</v>
      </c>
      <c r="I1742" t="s">
        <v>3490</v>
      </c>
      <c r="J1742" t="s">
        <v>3001</v>
      </c>
    </row>
    <row r="1743" spans="1:10" x14ac:dyDescent="0.25">
      <c r="A1743" t="s">
        <v>2122</v>
      </c>
      <c r="B1743" t="s">
        <v>212</v>
      </c>
      <c r="C1743">
        <v>8</v>
      </c>
      <c r="D1743" t="s">
        <v>3476</v>
      </c>
      <c r="E1743">
        <v>44</v>
      </c>
      <c r="F1743">
        <v>16</v>
      </c>
      <c r="G1743">
        <v>28</v>
      </c>
      <c r="H1743" t="s">
        <v>3491</v>
      </c>
      <c r="I1743" t="s">
        <v>3492</v>
      </c>
      <c r="J1743" t="s">
        <v>3001</v>
      </c>
    </row>
    <row r="1744" spans="1:10" x14ac:dyDescent="0.25">
      <c r="A1744" t="s">
        <v>2122</v>
      </c>
      <c r="B1744" t="s">
        <v>212</v>
      </c>
      <c r="C1744">
        <v>8</v>
      </c>
      <c r="D1744" t="s">
        <v>3478</v>
      </c>
      <c r="E1744">
        <v>68</v>
      </c>
      <c r="F1744">
        <v>18</v>
      </c>
      <c r="G1744">
        <v>50</v>
      </c>
      <c r="H1744" t="s">
        <v>3489</v>
      </c>
      <c r="I1744" t="s">
        <v>3490</v>
      </c>
      <c r="J1744" t="s">
        <v>3001</v>
      </c>
    </row>
    <row r="1745" spans="1:10" x14ac:dyDescent="0.25">
      <c r="A1745" t="s">
        <v>2122</v>
      </c>
      <c r="B1745" t="s">
        <v>212</v>
      </c>
      <c r="C1745">
        <v>8</v>
      </c>
      <c r="D1745" t="s">
        <v>3480</v>
      </c>
      <c r="E1745">
        <v>67</v>
      </c>
      <c r="F1745">
        <v>15</v>
      </c>
      <c r="G1745">
        <v>52</v>
      </c>
      <c r="H1745" t="s">
        <v>3489</v>
      </c>
      <c r="I1745" t="s">
        <v>3490</v>
      </c>
      <c r="J1745" t="s">
        <v>3001</v>
      </c>
    </row>
    <row r="1746" spans="1:10" x14ac:dyDescent="0.25">
      <c r="A1746" t="s">
        <v>2122</v>
      </c>
      <c r="B1746" t="s">
        <v>212</v>
      </c>
      <c r="C1746">
        <v>8</v>
      </c>
      <c r="D1746" t="s">
        <v>3482</v>
      </c>
      <c r="E1746">
        <v>70</v>
      </c>
      <c r="F1746">
        <v>15</v>
      </c>
      <c r="G1746">
        <v>55</v>
      </c>
      <c r="H1746" t="s">
        <v>3494</v>
      </c>
      <c r="I1746" t="s">
        <v>3490</v>
      </c>
      <c r="J1746" t="s">
        <v>3001</v>
      </c>
    </row>
    <row r="1747" spans="1:10" x14ac:dyDescent="0.25">
      <c r="A1747" t="s">
        <v>2127</v>
      </c>
      <c r="B1747" t="s">
        <v>159</v>
      </c>
      <c r="C1747">
        <v>4</v>
      </c>
      <c r="D1747" t="s">
        <v>3094</v>
      </c>
      <c r="E1747">
        <v>69</v>
      </c>
      <c r="F1747">
        <v>29</v>
      </c>
      <c r="G1747">
        <v>40</v>
      </c>
      <c r="H1747" t="s">
        <v>3489</v>
      </c>
      <c r="I1747" t="s">
        <v>3490</v>
      </c>
      <c r="J1747" t="s">
        <v>2902</v>
      </c>
    </row>
    <row r="1748" spans="1:10" x14ac:dyDescent="0.25">
      <c r="A1748" t="s">
        <v>2127</v>
      </c>
      <c r="B1748" t="s">
        <v>159</v>
      </c>
      <c r="C1748">
        <v>4</v>
      </c>
      <c r="D1748" t="s">
        <v>3096</v>
      </c>
      <c r="E1748">
        <v>38</v>
      </c>
      <c r="F1748">
        <v>18</v>
      </c>
      <c r="G1748">
        <v>20</v>
      </c>
      <c r="H1748" t="s">
        <v>3491</v>
      </c>
      <c r="I1748" t="s">
        <v>3492</v>
      </c>
      <c r="J1748" t="s">
        <v>2902</v>
      </c>
    </row>
    <row r="1749" spans="1:10" x14ac:dyDescent="0.25">
      <c r="A1749" t="s">
        <v>2127</v>
      </c>
      <c r="B1749" t="s">
        <v>159</v>
      </c>
      <c r="C1749">
        <v>4</v>
      </c>
      <c r="D1749" t="s">
        <v>3098</v>
      </c>
      <c r="E1749">
        <v>36</v>
      </c>
      <c r="F1749">
        <v>11</v>
      </c>
      <c r="G1749">
        <v>25</v>
      </c>
      <c r="H1749" t="s">
        <v>3491</v>
      </c>
      <c r="I1749" t="s">
        <v>3492</v>
      </c>
      <c r="J1749" t="s">
        <v>2902</v>
      </c>
    </row>
    <row r="1750" spans="1:10" x14ac:dyDescent="0.25">
      <c r="A1750" t="s">
        <v>2127</v>
      </c>
      <c r="B1750" t="s">
        <v>159</v>
      </c>
      <c r="C1750">
        <v>4</v>
      </c>
      <c r="D1750" t="s">
        <v>3100</v>
      </c>
      <c r="E1750">
        <v>78</v>
      </c>
      <c r="F1750">
        <v>25</v>
      </c>
      <c r="G1750">
        <v>53</v>
      </c>
      <c r="H1750" t="s">
        <v>3494</v>
      </c>
      <c r="I1750" t="s">
        <v>3490</v>
      </c>
      <c r="J1750" t="s">
        <v>2902</v>
      </c>
    </row>
    <row r="1751" spans="1:10" x14ac:dyDescent="0.25">
      <c r="A1751" t="s">
        <v>2127</v>
      </c>
      <c r="B1751" t="s">
        <v>159</v>
      </c>
      <c r="C1751">
        <v>4</v>
      </c>
      <c r="D1751" t="s">
        <v>3102</v>
      </c>
      <c r="E1751">
        <v>83</v>
      </c>
      <c r="F1751">
        <v>30</v>
      </c>
      <c r="G1751">
        <v>53</v>
      </c>
      <c r="H1751" t="s">
        <v>196</v>
      </c>
      <c r="I1751" t="s">
        <v>3490</v>
      </c>
      <c r="J1751" t="s">
        <v>2902</v>
      </c>
    </row>
    <row r="1752" spans="1:10" x14ac:dyDescent="0.25">
      <c r="A1752" t="s">
        <v>2132</v>
      </c>
      <c r="B1752" t="s">
        <v>75</v>
      </c>
      <c r="C1752">
        <v>8</v>
      </c>
      <c r="D1752" t="s">
        <v>3054</v>
      </c>
      <c r="E1752">
        <v>45</v>
      </c>
      <c r="F1752">
        <v>15</v>
      </c>
      <c r="G1752">
        <v>30</v>
      </c>
      <c r="H1752" t="s">
        <v>3491</v>
      </c>
      <c r="I1752" t="s">
        <v>3492</v>
      </c>
      <c r="J1752" t="s">
        <v>2961</v>
      </c>
    </row>
    <row r="1753" spans="1:10" x14ac:dyDescent="0.25">
      <c r="A1753" t="s">
        <v>2132</v>
      </c>
      <c r="B1753" t="s">
        <v>75</v>
      </c>
      <c r="C1753">
        <v>8</v>
      </c>
      <c r="D1753" t="s">
        <v>3056</v>
      </c>
      <c r="E1753">
        <v>83</v>
      </c>
      <c r="F1753">
        <v>18</v>
      </c>
      <c r="G1753">
        <v>65</v>
      </c>
      <c r="H1753" t="s">
        <v>196</v>
      </c>
      <c r="I1753" t="s">
        <v>3490</v>
      </c>
      <c r="J1753" t="s">
        <v>2961</v>
      </c>
    </row>
    <row r="1754" spans="1:10" x14ac:dyDescent="0.25">
      <c r="A1754" t="s">
        <v>2132</v>
      </c>
      <c r="B1754" t="s">
        <v>75</v>
      </c>
      <c r="C1754">
        <v>8</v>
      </c>
      <c r="D1754" t="s">
        <v>3058</v>
      </c>
      <c r="E1754">
        <v>59</v>
      </c>
      <c r="F1754">
        <v>24</v>
      </c>
      <c r="G1754">
        <v>35</v>
      </c>
      <c r="H1754" t="s">
        <v>3493</v>
      </c>
      <c r="I1754" t="s">
        <v>3490</v>
      </c>
      <c r="J1754" t="s">
        <v>2961</v>
      </c>
    </row>
    <row r="1755" spans="1:10" x14ac:dyDescent="0.25">
      <c r="A1755" t="s">
        <v>2132</v>
      </c>
      <c r="B1755" t="s">
        <v>75</v>
      </c>
      <c r="C1755">
        <v>8</v>
      </c>
      <c r="D1755" t="s">
        <v>3060</v>
      </c>
      <c r="E1755">
        <v>40</v>
      </c>
      <c r="F1755">
        <v>12</v>
      </c>
      <c r="G1755">
        <v>28</v>
      </c>
      <c r="H1755" t="s">
        <v>3491</v>
      </c>
      <c r="I1755" t="s">
        <v>3492</v>
      </c>
      <c r="J1755" t="s">
        <v>2961</v>
      </c>
    </row>
    <row r="1756" spans="1:10" x14ac:dyDescent="0.25">
      <c r="A1756" t="s">
        <v>2132</v>
      </c>
      <c r="B1756" t="s">
        <v>75</v>
      </c>
      <c r="C1756">
        <v>8</v>
      </c>
      <c r="D1756" t="s">
        <v>3062</v>
      </c>
      <c r="E1756">
        <v>47</v>
      </c>
      <c r="F1756">
        <v>23</v>
      </c>
      <c r="G1756">
        <v>24</v>
      </c>
      <c r="H1756" t="s">
        <v>3491</v>
      </c>
      <c r="I1756" t="s">
        <v>3492</v>
      </c>
      <c r="J1756" t="s">
        <v>2961</v>
      </c>
    </row>
    <row r="1757" spans="1:10" x14ac:dyDescent="0.25">
      <c r="A1757" t="s">
        <v>2138</v>
      </c>
      <c r="B1757" t="s">
        <v>122</v>
      </c>
      <c r="C1757">
        <v>8</v>
      </c>
      <c r="D1757" t="s">
        <v>3294</v>
      </c>
      <c r="E1757">
        <v>76</v>
      </c>
      <c r="F1757">
        <v>22</v>
      </c>
      <c r="G1757">
        <v>54</v>
      </c>
      <c r="H1757" t="s">
        <v>3494</v>
      </c>
      <c r="I1757" t="s">
        <v>3490</v>
      </c>
      <c r="J1757" t="s">
        <v>2919</v>
      </c>
    </row>
    <row r="1758" spans="1:10" x14ac:dyDescent="0.25">
      <c r="A1758" t="s">
        <v>2138</v>
      </c>
      <c r="B1758" t="s">
        <v>122</v>
      </c>
      <c r="C1758">
        <v>8</v>
      </c>
      <c r="D1758" t="s">
        <v>3296</v>
      </c>
      <c r="E1758">
        <v>41</v>
      </c>
      <c r="F1758">
        <v>21</v>
      </c>
      <c r="G1758">
        <v>20</v>
      </c>
      <c r="H1758" t="s">
        <v>3491</v>
      </c>
      <c r="I1758" t="s">
        <v>3492</v>
      </c>
      <c r="J1758" t="s">
        <v>2919</v>
      </c>
    </row>
    <row r="1759" spans="1:10" x14ac:dyDescent="0.25">
      <c r="A1759" t="s">
        <v>2138</v>
      </c>
      <c r="B1759" t="s">
        <v>122</v>
      </c>
      <c r="C1759">
        <v>8</v>
      </c>
      <c r="D1759" t="s">
        <v>3298</v>
      </c>
      <c r="E1759">
        <v>49</v>
      </c>
      <c r="F1759">
        <v>25</v>
      </c>
      <c r="G1759">
        <v>24</v>
      </c>
      <c r="H1759" t="s">
        <v>3491</v>
      </c>
      <c r="I1759" t="s">
        <v>3492</v>
      </c>
      <c r="J1759" t="s">
        <v>2919</v>
      </c>
    </row>
    <row r="1760" spans="1:10" x14ac:dyDescent="0.25">
      <c r="A1760" t="s">
        <v>2138</v>
      </c>
      <c r="B1760" t="s">
        <v>122</v>
      </c>
      <c r="C1760">
        <v>8</v>
      </c>
      <c r="D1760" t="s">
        <v>3300</v>
      </c>
      <c r="E1760">
        <v>81</v>
      </c>
      <c r="F1760">
        <v>11</v>
      </c>
      <c r="G1760">
        <v>70</v>
      </c>
      <c r="H1760" t="s">
        <v>196</v>
      </c>
      <c r="I1760" t="s">
        <v>3490</v>
      </c>
      <c r="J1760" t="s">
        <v>2919</v>
      </c>
    </row>
    <row r="1761" spans="1:10" x14ac:dyDescent="0.25">
      <c r="A1761" t="s">
        <v>2138</v>
      </c>
      <c r="B1761" t="s">
        <v>122</v>
      </c>
      <c r="C1761">
        <v>8</v>
      </c>
      <c r="D1761" t="s">
        <v>3302</v>
      </c>
      <c r="E1761">
        <v>76</v>
      </c>
      <c r="F1761">
        <v>21</v>
      </c>
      <c r="G1761">
        <v>55</v>
      </c>
      <c r="H1761" t="s">
        <v>3494</v>
      </c>
      <c r="I1761" t="s">
        <v>3490</v>
      </c>
      <c r="J1761" t="s">
        <v>2919</v>
      </c>
    </row>
    <row r="1762" spans="1:10" x14ac:dyDescent="0.25">
      <c r="A1762" t="s">
        <v>2143</v>
      </c>
      <c r="B1762" t="s">
        <v>105</v>
      </c>
      <c r="C1762">
        <v>4</v>
      </c>
      <c r="D1762" t="s">
        <v>3154</v>
      </c>
      <c r="E1762">
        <v>94</v>
      </c>
      <c r="F1762">
        <v>30</v>
      </c>
      <c r="G1762">
        <v>64</v>
      </c>
      <c r="H1762" t="s">
        <v>3495</v>
      </c>
      <c r="I1762" t="s">
        <v>3490</v>
      </c>
      <c r="J1762" t="s">
        <v>2908</v>
      </c>
    </row>
    <row r="1763" spans="1:10" x14ac:dyDescent="0.25">
      <c r="A1763" t="s">
        <v>2143</v>
      </c>
      <c r="B1763" t="s">
        <v>105</v>
      </c>
      <c r="C1763">
        <v>4</v>
      </c>
      <c r="D1763" t="s">
        <v>3156</v>
      </c>
      <c r="E1763">
        <v>36</v>
      </c>
      <c r="F1763">
        <v>11</v>
      </c>
      <c r="G1763">
        <v>25</v>
      </c>
      <c r="H1763" t="s">
        <v>3491</v>
      </c>
      <c r="I1763" t="s">
        <v>3492</v>
      </c>
      <c r="J1763" t="s">
        <v>2908</v>
      </c>
    </row>
    <row r="1764" spans="1:10" x14ac:dyDescent="0.25">
      <c r="A1764" t="s">
        <v>2143</v>
      </c>
      <c r="B1764" t="s">
        <v>105</v>
      </c>
      <c r="C1764">
        <v>4</v>
      </c>
      <c r="D1764" t="s">
        <v>3158</v>
      </c>
      <c r="E1764">
        <v>69</v>
      </c>
      <c r="F1764">
        <v>13</v>
      </c>
      <c r="G1764">
        <v>56</v>
      </c>
      <c r="H1764" t="s">
        <v>3489</v>
      </c>
      <c r="I1764" t="s">
        <v>3490</v>
      </c>
      <c r="J1764" t="s">
        <v>2908</v>
      </c>
    </row>
    <row r="1765" spans="1:10" x14ac:dyDescent="0.25">
      <c r="A1765" t="s">
        <v>2143</v>
      </c>
      <c r="B1765" t="s">
        <v>105</v>
      </c>
      <c r="C1765">
        <v>4</v>
      </c>
      <c r="D1765" t="s">
        <v>3160</v>
      </c>
      <c r="E1765">
        <v>41</v>
      </c>
      <c r="F1765">
        <v>21</v>
      </c>
      <c r="G1765">
        <v>20</v>
      </c>
      <c r="H1765" t="s">
        <v>3491</v>
      </c>
      <c r="I1765" t="s">
        <v>3492</v>
      </c>
      <c r="J1765" t="s">
        <v>2908</v>
      </c>
    </row>
    <row r="1766" spans="1:10" x14ac:dyDescent="0.25">
      <c r="A1766" t="s">
        <v>2143</v>
      </c>
      <c r="B1766" t="s">
        <v>105</v>
      </c>
      <c r="C1766">
        <v>4</v>
      </c>
      <c r="D1766" t="s">
        <v>3162</v>
      </c>
      <c r="E1766">
        <v>60</v>
      </c>
      <c r="F1766">
        <v>29</v>
      </c>
      <c r="G1766">
        <v>31</v>
      </c>
      <c r="H1766" t="s">
        <v>3489</v>
      </c>
      <c r="I1766" t="s">
        <v>3490</v>
      </c>
      <c r="J1766" t="s">
        <v>2908</v>
      </c>
    </row>
    <row r="1767" spans="1:10" x14ac:dyDescent="0.25">
      <c r="A1767" t="s">
        <v>2148</v>
      </c>
      <c r="B1767" t="s">
        <v>212</v>
      </c>
      <c r="C1767">
        <v>8</v>
      </c>
      <c r="D1767" t="s">
        <v>3474</v>
      </c>
      <c r="E1767">
        <v>50</v>
      </c>
      <c r="F1767">
        <v>24</v>
      </c>
      <c r="G1767">
        <v>26</v>
      </c>
      <c r="H1767" t="s">
        <v>3493</v>
      </c>
      <c r="I1767" t="s">
        <v>3490</v>
      </c>
      <c r="J1767" t="s">
        <v>3001</v>
      </c>
    </row>
    <row r="1768" spans="1:10" x14ac:dyDescent="0.25">
      <c r="A1768" t="s">
        <v>2148</v>
      </c>
      <c r="B1768" t="s">
        <v>212</v>
      </c>
      <c r="C1768">
        <v>8</v>
      </c>
      <c r="D1768" t="s">
        <v>3476</v>
      </c>
      <c r="E1768">
        <v>52</v>
      </c>
      <c r="F1768">
        <v>12</v>
      </c>
      <c r="G1768">
        <v>40</v>
      </c>
      <c r="H1768" t="s">
        <v>3493</v>
      </c>
      <c r="I1768" t="s">
        <v>3490</v>
      </c>
      <c r="J1768" t="s">
        <v>3001</v>
      </c>
    </row>
    <row r="1769" spans="1:10" x14ac:dyDescent="0.25">
      <c r="A1769" t="s">
        <v>2148</v>
      </c>
      <c r="B1769" t="s">
        <v>212</v>
      </c>
      <c r="C1769">
        <v>8</v>
      </c>
      <c r="D1769" t="s">
        <v>3478</v>
      </c>
      <c r="E1769">
        <v>62</v>
      </c>
      <c r="F1769">
        <v>15</v>
      </c>
      <c r="G1769">
        <v>47</v>
      </c>
      <c r="H1769" t="s">
        <v>3489</v>
      </c>
      <c r="I1769" t="s">
        <v>3490</v>
      </c>
      <c r="J1769" t="s">
        <v>3001</v>
      </c>
    </row>
    <row r="1770" spans="1:10" x14ac:dyDescent="0.25">
      <c r="A1770" t="s">
        <v>2148</v>
      </c>
      <c r="B1770" t="s">
        <v>212</v>
      </c>
      <c r="C1770">
        <v>8</v>
      </c>
      <c r="D1770" t="s">
        <v>3480</v>
      </c>
      <c r="E1770">
        <v>79</v>
      </c>
      <c r="F1770">
        <v>12</v>
      </c>
      <c r="G1770">
        <v>67</v>
      </c>
      <c r="H1770" t="s">
        <v>3494</v>
      </c>
      <c r="I1770" t="s">
        <v>3490</v>
      </c>
      <c r="J1770" t="s">
        <v>3001</v>
      </c>
    </row>
    <row r="1771" spans="1:10" x14ac:dyDescent="0.25">
      <c r="A1771" t="s">
        <v>2148</v>
      </c>
      <c r="B1771" t="s">
        <v>212</v>
      </c>
      <c r="C1771">
        <v>8</v>
      </c>
      <c r="D1771" t="s">
        <v>3482</v>
      </c>
      <c r="E1771">
        <v>78</v>
      </c>
      <c r="F1771">
        <v>11</v>
      </c>
      <c r="G1771">
        <v>67</v>
      </c>
      <c r="H1771" t="s">
        <v>3494</v>
      </c>
      <c r="I1771" t="s">
        <v>3490</v>
      </c>
      <c r="J1771" t="s">
        <v>3001</v>
      </c>
    </row>
    <row r="1772" spans="1:10" x14ac:dyDescent="0.25">
      <c r="A1772" t="s">
        <v>2153</v>
      </c>
      <c r="B1772" t="s">
        <v>30</v>
      </c>
      <c r="C1772">
        <v>6</v>
      </c>
      <c r="D1772" t="s">
        <v>3354</v>
      </c>
      <c r="E1772">
        <v>55</v>
      </c>
      <c r="F1772">
        <v>21</v>
      </c>
      <c r="G1772">
        <v>34</v>
      </c>
      <c r="H1772" t="s">
        <v>3493</v>
      </c>
      <c r="I1772" t="s">
        <v>3490</v>
      </c>
      <c r="J1772" t="s">
        <v>2895</v>
      </c>
    </row>
    <row r="1773" spans="1:10" x14ac:dyDescent="0.25">
      <c r="A1773" t="s">
        <v>2153</v>
      </c>
      <c r="B1773" t="s">
        <v>30</v>
      </c>
      <c r="C1773">
        <v>6</v>
      </c>
      <c r="D1773" t="s">
        <v>3356</v>
      </c>
      <c r="E1773">
        <v>47</v>
      </c>
      <c r="F1773">
        <v>24</v>
      </c>
      <c r="G1773">
        <v>23</v>
      </c>
      <c r="H1773" t="s">
        <v>3491</v>
      </c>
      <c r="I1773" t="s">
        <v>3492</v>
      </c>
      <c r="J1773" t="s">
        <v>2895</v>
      </c>
    </row>
    <row r="1774" spans="1:10" x14ac:dyDescent="0.25">
      <c r="A1774" t="s">
        <v>2153</v>
      </c>
      <c r="B1774" t="s">
        <v>30</v>
      </c>
      <c r="C1774">
        <v>6</v>
      </c>
      <c r="D1774" t="s">
        <v>3358</v>
      </c>
      <c r="E1774">
        <v>56</v>
      </c>
      <c r="F1774">
        <v>28</v>
      </c>
      <c r="G1774">
        <v>28</v>
      </c>
      <c r="H1774" t="s">
        <v>3493</v>
      </c>
      <c r="I1774" t="s">
        <v>3490</v>
      </c>
      <c r="J1774" t="s">
        <v>2895</v>
      </c>
    </row>
    <row r="1775" spans="1:10" x14ac:dyDescent="0.25">
      <c r="A1775" t="s">
        <v>2153</v>
      </c>
      <c r="B1775" t="s">
        <v>30</v>
      </c>
      <c r="C1775">
        <v>6</v>
      </c>
      <c r="D1775" t="s">
        <v>3360</v>
      </c>
      <c r="E1775">
        <v>38</v>
      </c>
      <c r="F1775">
        <v>16</v>
      </c>
      <c r="G1775">
        <v>22</v>
      </c>
      <c r="H1775" t="s">
        <v>3491</v>
      </c>
      <c r="I1775" t="s">
        <v>3492</v>
      </c>
      <c r="J1775" t="s">
        <v>2895</v>
      </c>
    </row>
    <row r="1776" spans="1:10" x14ac:dyDescent="0.25">
      <c r="A1776" t="s">
        <v>2153</v>
      </c>
      <c r="B1776" t="s">
        <v>30</v>
      </c>
      <c r="C1776">
        <v>6</v>
      </c>
      <c r="D1776" t="s">
        <v>3362</v>
      </c>
      <c r="E1776">
        <v>60</v>
      </c>
      <c r="F1776">
        <v>11</v>
      </c>
      <c r="G1776">
        <v>49</v>
      </c>
      <c r="H1776" t="s">
        <v>3489</v>
      </c>
      <c r="I1776" t="s">
        <v>3490</v>
      </c>
      <c r="J1776" t="s">
        <v>2895</v>
      </c>
    </row>
    <row r="1777" spans="1:10" x14ac:dyDescent="0.25">
      <c r="A1777" t="s">
        <v>2158</v>
      </c>
      <c r="B1777" t="s">
        <v>95</v>
      </c>
      <c r="C1777">
        <v>6</v>
      </c>
      <c r="D1777" t="s">
        <v>3234</v>
      </c>
      <c r="E1777">
        <v>59</v>
      </c>
      <c r="F1777">
        <v>12</v>
      </c>
      <c r="G1777">
        <v>47</v>
      </c>
      <c r="H1777" t="s">
        <v>3493</v>
      </c>
      <c r="I1777" t="s">
        <v>3490</v>
      </c>
      <c r="J1777" t="s">
        <v>2889</v>
      </c>
    </row>
    <row r="1778" spans="1:10" x14ac:dyDescent="0.25">
      <c r="A1778" t="s">
        <v>2158</v>
      </c>
      <c r="B1778" t="s">
        <v>95</v>
      </c>
      <c r="C1778">
        <v>6</v>
      </c>
      <c r="D1778" t="s">
        <v>3236</v>
      </c>
      <c r="E1778">
        <v>68</v>
      </c>
      <c r="F1778">
        <v>28</v>
      </c>
      <c r="G1778">
        <v>40</v>
      </c>
      <c r="H1778" t="s">
        <v>3489</v>
      </c>
      <c r="I1778" t="s">
        <v>3490</v>
      </c>
      <c r="J1778" t="s">
        <v>2889</v>
      </c>
    </row>
    <row r="1779" spans="1:10" x14ac:dyDescent="0.25">
      <c r="A1779" t="s">
        <v>2158</v>
      </c>
      <c r="B1779" t="s">
        <v>95</v>
      </c>
      <c r="C1779">
        <v>6</v>
      </c>
      <c r="D1779" t="s">
        <v>3238</v>
      </c>
      <c r="E1779">
        <v>30</v>
      </c>
      <c r="F1779">
        <v>10</v>
      </c>
      <c r="G1779">
        <v>20</v>
      </c>
      <c r="H1779" t="s">
        <v>3491</v>
      </c>
      <c r="I1779" t="s">
        <v>3492</v>
      </c>
      <c r="J1779" t="s">
        <v>2889</v>
      </c>
    </row>
    <row r="1780" spans="1:10" x14ac:dyDescent="0.25">
      <c r="A1780" t="s">
        <v>2158</v>
      </c>
      <c r="B1780" t="s">
        <v>95</v>
      </c>
      <c r="C1780">
        <v>6</v>
      </c>
      <c r="D1780" t="s">
        <v>3240</v>
      </c>
      <c r="E1780">
        <v>61</v>
      </c>
      <c r="F1780">
        <v>25</v>
      </c>
      <c r="G1780">
        <v>36</v>
      </c>
      <c r="H1780" t="s">
        <v>3489</v>
      </c>
      <c r="I1780" t="s">
        <v>3490</v>
      </c>
      <c r="J1780" t="s">
        <v>2889</v>
      </c>
    </row>
    <row r="1781" spans="1:10" x14ac:dyDescent="0.25">
      <c r="A1781" t="s">
        <v>2158</v>
      </c>
      <c r="B1781" t="s">
        <v>95</v>
      </c>
      <c r="C1781">
        <v>6</v>
      </c>
      <c r="D1781" t="s">
        <v>3242</v>
      </c>
      <c r="E1781">
        <v>55</v>
      </c>
      <c r="F1781">
        <v>30</v>
      </c>
      <c r="G1781">
        <v>25</v>
      </c>
      <c r="H1781" t="s">
        <v>3493</v>
      </c>
      <c r="I1781" t="s">
        <v>3490</v>
      </c>
      <c r="J1781" t="s">
        <v>2889</v>
      </c>
    </row>
    <row r="1782" spans="1:10" x14ac:dyDescent="0.25">
      <c r="A1782" t="s">
        <v>2163</v>
      </c>
      <c r="B1782" t="s">
        <v>159</v>
      </c>
      <c r="C1782">
        <v>6</v>
      </c>
      <c r="D1782" t="s">
        <v>3114</v>
      </c>
      <c r="E1782">
        <v>82</v>
      </c>
      <c r="F1782">
        <v>26</v>
      </c>
      <c r="G1782">
        <v>56</v>
      </c>
      <c r="H1782" t="s">
        <v>196</v>
      </c>
      <c r="I1782" t="s">
        <v>3490</v>
      </c>
      <c r="J1782" t="s">
        <v>2902</v>
      </c>
    </row>
    <row r="1783" spans="1:10" x14ac:dyDescent="0.25">
      <c r="A1783" t="s">
        <v>2163</v>
      </c>
      <c r="B1783" t="s">
        <v>159</v>
      </c>
      <c r="C1783">
        <v>6</v>
      </c>
      <c r="D1783" t="s">
        <v>3116</v>
      </c>
      <c r="E1783">
        <v>74</v>
      </c>
      <c r="F1783">
        <v>19</v>
      </c>
      <c r="G1783">
        <v>55</v>
      </c>
      <c r="H1783" t="s">
        <v>3494</v>
      </c>
      <c r="I1783" t="s">
        <v>3490</v>
      </c>
      <c r="J1783" t="s">
        <v>2902</v>
      </c>
    </row>
    <row r="1784" spans="1:10" x14ac:dyDescent="0.25">
      <c r="A1784" t="s">
        <v>2163</v>
      </c>
      <c r="B1784" t="s">
        <v>159</v>
      </c>
      <c r="C1784">
        <v>6</v>
      </c>
      <c r="D1784" t="s">
        <v>3118</v>
      </c>
      <c r="E1784">
        <v>84</v>
      </c>
      <c r="F1784">
        <v>20</v>
      </c>
      <c r="G1784">
        <v>64</v>
      </c>
      <c r="H1784" t="s">
        <v>196</v>
      </c>
      <c r="I1784" t="s">
        <v>3490</v>
      </c>
      <c r="J1784" t="s">
        <v>2902</v>
      </c>
    </row>
    <row r="1785" spans="1:10" x14ac:dyDescent="0.25">
      <c r="A1785" t="s">
        <v>2163</v>
      </c>
      <c r="B1785" t="s">
        <v>159</v>
      </c>
      <c r="C1785">
        <v>6</v>
      </c>
      <c r="D1785" t="s">
        <v>3120</v>
      </c>
      <c r="E1785">
        <v>53</v>
      </c>
      <c r="F1785">
        <v>19</v>
      </c>
      <c r="G1785">
        <v>34</v>
      </c>
      <c r="H1785" t="s">
        <v>3493</v>
      </c>
      <c r="I1785" t="s">
        <v>3490</v>
      </c>
      <c r="J1785" t="s">
        <v>2902</v>
      </c>
    </row>
    <row r="1786" spans="1:10" x14ac:dyDescent="0.25">
      <c r="A1786" t="s">
        <v>2163</v>
      </c>
      <c r="B1786" t="s">
        <v>159</v>
      </c>
      <c r="C1786">
        <v>6</v>
      </c>
      <c r="D1786" t="s">
        <v>3122</v>
      </c>
      <c r="E1786">
        <v>59</v>
      </c>
      <c r="F1786">
        <v>30</v>
      </c>
      <c r="G1786">
        <v>29</v>
      </c>
      <c r="H1786" t="s">
        <v>3493</v>
      </c>
      <c r="I1786" t="s">
        <v>3490</v>
      </c>
      <c r="J1786" t="s">
        <v>2902</v>
      </c>
    </row>
    <row r="1787" spans="1:10" x14ac:dyDescent="0.25">
      <c r="A1787" t="s">
        <v>2168</v>
      </c>
      <c r="B1787" t="s">
        <v>122</v>
      </c>
      <c r="C1787">
        <v>8</v>
      </c>
      <c r="D1787" t="s">
        <v>3294</v>
      </c>
      <c r="E1787">
        <v>81</v>
      </c>
      <c r="F1787">
        <v>28</v>
      </c>
      <c r="G1787">
        <v>53</v>
      </c>
      <c r="H1787" t="s">
        <v>196</v>
      </c>
      <c r="I1787" t="s">
        <v>3490</v>
      </c>
      <c r="J1787" t="s">
        <v>2919</v>
      </c>
    </row>
    <row r="1788" spans="1:10" x14ac:dyDescent="0.25">
      <c r="A1788" t="s">
        <v>2168</v>
      </c>
      <c r="B1788" t="s">
        <v>122</v>
      </c>
      <c r="C1788">
        <v>8</v>
      </c>
      <c r="D1788" t="s">
        <v>3296</v>
      </c>
      <c r="E1788">
        <v>70</v>
      </c>
      <c r="F1788">
        <v>24</v>
      </c>
      <c r="G1788">
        <v>46</v>
      </c>
      <c r="H1788" t="s">
        <v>3494</v>
      </c>
      <c r="I1788" t="s">
        <v>3490</v>
      </c>
      <c r="J1788" t="s">
        <v>2919</v>
      </c>
    </row>
    <row r="1789" spans="1:10" x14ac:dyDescent="0.25">
      <c r="A1789" t="s">
        <v>2168</v>
      </c>
      <c r="B1789" t="s">
        <v>122</v>
      </c>
      <c r="C1789">
        <v>8</v>
      </c>
      <c r="D1789" t="s">
        <v>3298</v>
      </c>
      <c r="E1789">
        <v>83</v>
      </c>
      <c r="F1789">
        <v>28</v>
      </c>
      <c r="G1789">
        <v>55</v>
      </c>
      <c r="H1789" t="s">
        <v>196</v>
      </c>
      <c r="I1789" t="s">
        <v>3490</v>
      </c>
      <c r="J1789" t="s">
        <v>2919</v>
      </c>
    </row>
    <row r="1790" spans="1:10" x14ac:dyDescent="0.25">
      <c r="A1790" t="s">
        <v>2168</v>
      </c>
      <c r="B1790" t="s">
        <v>122</v>
      </c>
      <c r="C1790">
        <v>8</v>
      </c>
      <c r="D1790" t="s">
        <v>3300</v>
      </c>
      <c r="E1790">
        <v>61</v>
      </c>
      <c r="F1790">
        <v>28</v>
      </c>
      <c r="G1790">
        <v>33</v>
      </c>
      <c r="H1790" t="s">
        <v>3489</v>
      </c>
      <c r="I1790" t="s">
        <v>3490</v>
      </c>
      <c r="J1790" t="s">
        <v>2919</v>
      </c>
    </row>
    <row r="1791" spans="1:10" x14ac:dyDescent="0.25">
      <c r="A1791" t="s">
        <v>2168</v>
      </c>
      <c r="B1791" t="s">
        <v>122</v>
      </c>
      <c r="C1791">
        <v>8</v>
      </c>
      <c r="D1791" t="s">
        <v>3302</v>
      </c>
      <c r="E1791">
        <v>65</v>
      </c>
      <c r="F1791">
        <v>23</v>
      </c>
      <c r="G1791">
        <v>42</v>
      </c>
      <c r="H1791" t="s">
        <v>3489</v>
      </c>
      <c r="I1791" t="s">
        <v>3490</v>
      </c>
      <c r="J1791" t="s">
        <v>2919</v>
      </c>
    </row>
    <row r="1792" spans="1:10" x14ac:dyDescent="0.25">
      <c r="A1792" t="s">
        <v>2173</v>
      </c>
      <c r="B1792" t="s">
        <v>105</v>
      </c>
      <c r="C1792">
        <v>4</v>
      </c>
      <c r="D1792" t="s">
        <v>3154</v>
      </c>
      <c r="E1792">
        <v>72</v>
      </c>
      <c r="F1792">
        <v>14</v>
      </c>
      <c r="G1792">
        <v>58</v>
      </c>
      <c r="H1792" t="s">
        <v>3494</v>
      </c>
      <c r="I1792" t="s">
        <v>3490</v>
      </c>
      <c r="J1792" t="s">
        <v>2908</v>
      </c>
    </row>
    <row r="1793" spans="1:10" x14ac:dyDescent="0.25">
      <c r="A1793" t="s">
        <v>2173</v>
      </c>
      <c r="B1793" t="s">
        <v>105</v>
      </c>
      <c r="C1793">
        <v>4</v>
      </c>
      <c r="D1793" t="s">
        <v>3156</v>
      </c>
      <c r="E1793">
        <v>55</v>
      </c>
      <c r="F1793">
        <v>18</v>
      </c>
      <c r="G1793">
        <v>37</v>
      </c>
      <c r="H1793" t="s">
        <v>3493</v>
      </c>
      <c r="I1793" t="s">
        <v>3490</v>
      </c>
      <c r="J1793" t="s">
        <v>2908</v>
      </c>
    </row>
    <row r="1794" spans="1:10" x14ac:dyDescent="0.25">
      <c r="A1794" t="s">
        <v>2173</v>
      </c>
      <c r="B1794" t="s">
        <v>105</v>
      </c>
      <c r="C1794">
        <v>4</v>
      </c>
      <c r="D1794" t="s">
        <v>3158</v>
      </c>
      <c r="E1794">
        <v>94</v>
      </c>
      <c r="F1794">
        <v>25</v>
      </c>
      <c r="G1794">
        <v>69</v>
      </c>
      <c r="H1794" t="s">
        <v>3495</v>
      </c>
      <c r="I1794" t="s">
        <v>3490</v>
      </c>
      <c r="J1794" t="s">
        <v>2908</v>
      </c>
    </row>
    <row r="1795" spans="1:10" x14ac:dyDescent="0.25">
      <c r="A1795" t="s">
        <v>2173</v>
      </c>
      <c r="B1795" t="s">
        <v>105</v>
      </c>
      <c r="C1795">
        <v>4</v>
      </c>
      <c r="D1795" t="s">
        <v>3160</v>
      </c>
      <c r="E1795">
        <v>59</v>
      </c>
      <c r="F1795">
        <v>13</v>
      </c>
      <c r="G1795">
        <v>46</v>
      </c>
      <c r="H1795" t="s">
        <v>3493</v>
      </c>
      <c r="I1795" t="s">
        <v>3490</v>
      </c>
      <c r="J1795" t="s">
        <v>2908</v>
      </c>
    </row>
    <row r="1796" spans="1:10" x14ac:dyDescent="0.25">
      <c r="A1796" t="s">
        <v>2173</v>
      </c>
      <c r="B1796" t="s">
        <v>105</v>
      </c>
      <c r="C1796">
        <v>4</v>
      </c>
      <c r="D1796" t="s">
        <v>3162</v>
      </c>
      <c r="E1796">
        <v>71</v>
      </c>
      <c r="F1796">
        <v>12</v>
      </c>
      <c r="G1796">
        <v>59</v>
      </c>
      <c r="H1796" t="s">
        <v>3494</v>
      </c>
      <c r="I1796" t="s">
        <v>3490</v>
      </c>
      <c r="J1796" t="s">
        <v>2908</v>
      </c>
    </row>
    <row r="1797" spans="1:10" x14ac:dyDescent="0.25">
      <c r="A1797" t="s">
        <v>2178</v>
      </c>
      <c r="B1797" t="s">
        <v>122</v>
      </c>
      <c r="C1797">
        <v>8</v>
      </c>
      <c r="D1797" t="s">
        <v>3294</v>
      </c>
      <c r="E1797">
        <v>55</v>
      </c>
      <c r="F1797">
        <v>26</v>
      </c>
      <c r="G1797">
        <v>29</v>
      </c>
      <c r="H1797" t="s">
        <v>3493</v>
      </c>
      <c r="I1797" t="s">
        <v>3490</v>
      </c>
      <c r="J1797" t="s">
        <v>2919</v>
      </c>
    </row>
    <row r="1798" spans="1:10" x14ac:dyDescent="0.25">
      <c r="A1798" t="s">
        <v>2178</v>
      </c>
      <c r="B1798" t="s">
        <v>122</v>
      </c>
      <c r="C1798">
        <v>8</v>
      </c>
      <c r="D1798" t="s">
        <v>3296</v>
      </c>
      <c r="E1798">
        <v>57</v>
      </c>
      <c r="F1798">
        <v>25</v>
      </c>
      <c r="G1798">
        <v>32</v>
      </c>
      <c r="H1798" t="s">
        <v>3493</v>
      </c>
      <c r="I1798" t="s">
        <v>3490</v>
      </c>
      <c r="J1798" t="s">
        <v>2919</v>
      </c>
    </row>
    <row r="1799" spans="1:10" x14ac:dyDescent="0.25">
      <c r="A1799" t="s">
        <v>2178</v>
      </c>
      <c r="B1799" t="s">
        <v>122</v>
      </c>
      <c r="C1799">
        <v>8</v>
      </c>
      <c r="D1799" t="s">
        <v>3298</v>
      </c>
      <c r="E1799">
        <v>73</v>
      </c>
      <c r="F1799">
        <v>19</v>
      </c>
      <c r="G1799">
        <v>54</v>
      </c>
      <c r="H1799" t="s">
        <v>3494</v>
      </c>
      <c r="I1799" t="s">
        <v>3490</v>
      </c>
      <c r="J1799" t="s">
        <v>2919</v>
      </c>
    </row>
    <row r="1800" spans="1:10" x14ac:dyDescent="0.25">
      <c r="A1800" t="s">
        <v>2178</v>
      </c>
      <c r="B1800" t="s">
        <v>122</v>
      </c>
      <c r="C1800">
        <v>8</v>
      </c>
      <c r="D1800" t="s">
        <v>3300</v>
      </c>
      <c r="E1800">
        <v>45</v>
      </c>
      <c r="F1800">
        <v>12</v>
      </c>
      <c r="G1800">
        <v>33</v>
      </c>
      <c r="H1800" t="s">
        <v>3491</v>
      </c>
      <c r="I1800" t="s">
        <v>3492</v>
      </c>
      <c r="J1800" t="s">
        <v>2919</v>
      </c>
    </row>
    <row r="1801" spans="1:10" x14ac:dyDescent="0.25">
      <c r="A1801" t="s">
        <v>2178</v>
      </c>
      <c r="B1801" t="s">
        <v>122</v>
      </c>
      <c r="C1801">
        <v>8</v>
      </c>
      <c r="D1801" t="s">
        <v>3302</v>
      </c>
      <c r="E1801">
        <v>34</v>
      </c>
      <c r="F1801">
        <v>12</v>
      </c>
      <c r="G1801">
        <v>22</v>
      </c>
      <c r="H1801" t="s">
        <v>3491</v>
      </c>
      <c r="I1801" t="s">
        <v>3492</v>
      </c>
      <c r="J1801" t="s">
        <v>2919</v>
      </c>
    </row>
    <row r="1802" spans="1:10" x14ac:dyDescent="0.25">
      <c r="A1802" t="s">
        <v>2183</v>
      </c>
      <c r="B1802" t="s">
        <v>212</v>
      </c>
      <c r="C1802">
        <v>4</v>
      </c>
      <c r="D1802" t="s">
        <v>3454</v>
      </c>
      <c r="E1802">
        <v>59</v>
      </c>
      <c r="F1802">
        <v>18</v>
      </c>
      <c r="G1802">
        <v>41</v>
      </c>
      <c r="H1802" t="s">
        <v>3493</v>
      </c>
      <c r="I1802" t="s">
        <v>3490</v>
      </c>
      <c r="J1802" t="s">
        <v>3001</v>
      </c>
    </row>
    <row r="1803" spans="1:10" x14ac:dyDescent="0.25">
      <c r="A1803" t="s">
        <v>2183</v>
      </c>
      <c r="B1803" t="s">
        <v>212</v>
      </c>
      <c r="C1803">
        <v>4</v>
      </c>
      <c r="D1803" t="s">
        <v>3456</v>
      </c>
      <c r="E1803">
        <v>40</v>
      </c>
      <c r="F1803">
        <v>11</v>
      </c>
      <c r="G1803">
        <v>29</v>
      </c>
      <c r="H1803" t="s">
        <v>3491</v>
      </c>
      <c r="I1803" t="s">
        <v>3492</v>
      </c>
      <c r="J1803" t="s">
        <v>3001</v>
      </c>
    </row>
    <row r="1804" spans="1:10" x14ac:dyDescent="0.25">
      <c r="A1804" t="s">
        <v>2183</v>
      </c>
      <c r="B1804" t="s">
        <v>212</v>
      </c>
      <c r="C1804">
        <v>4</v>
      </c>
      <c r="D1804" t="s">
        <v>3458</v>
      </c>
      <c r="E1804">
        <v>90</v>
      </c>
      <c r="F1804">
        <v>21</v>
      </c>
      <c r="G1804">
        <v>69</v>
      </c>
      <c r="H1804" t="s">
        <v>3495</v>
      </c>
      <c r="I1804" t="s">
        <v>3490</v>
      </c>
      <c r="J1804" t="s">
        <v>3001</v>
      </c>
    </row>
    <row r="1805" spans="1:10" x14ac:dyDescent="0.25">
      <c r="A1805" t="s">
        <v>2183</v>
      </c>
      <c r="B1805" t="s">
        <v>212</v>
      </c>
      <c r="C1805">
        <v>4</v>
      </c>
      <c r="D1805" t="s">
        <v>3460</v>
      </c>
      <c r="E1805">
        <v>89</v>
      </c>
      <c r="F1805">
        <v>27</v>
      </c>
      <c r="G1805">
        <v>62</v>
      </c>
      <c r="H1805" t="s">
        <v>196</v>
      </c>
      <c r="I1805" t="s">
        <v>3490</v>
      </c>
      <c r="J1805" t="s">
        <v>3001</v>
      </c>
    </row>
    <row r="1806" spans="1:10" x14ac:dyDescent="0.25">
      <c r="A1806" t="s">
        <v>2183</v>
      </c>
      <c r="B1806" t="s">
        <v>212</v>
      </c>
      <c r="C1806">
        <v>4</v>
      </c>
      <c r="D1806" t="s">
        <v>3462</v>
      </c>
      <c r="E1806">
        <v>74</v>
      </c>
      <c r="F1806">
        <v>29</v>
      </c>
      <c r="G1806">
        <v>45</v>
      </c>
      <c r="H1806" t="s">
        <v>3494</v>
      </c>
      <c r="I1806" t="s">
        <v>3490</v>
      </c>
      <c r="J1806" t="s">
        <v>3001</v>
      </c>
    </row>
    <row r="1807" spans="1:10" x14ac:dyDescent="0.25">
      <c r="A1807" t="s">
        <v>2188</v>
      </c>
      <c r="B1807" t="s">
        <v>95</v>
      </c>
      <c r="C1807">
        <v>8</v>
      </c>
      <c r="D1807" t="s">
        <v>3234</v>
      </c>
      <c r="E1807">
        <v>80</v>
      </c>
      <c r="F1807">
        <v>17</v>
      </c>
      <c r="G1807">
        <v>63</v>
      </c>
      <c r="H1807" t="s">
        <v>196</v>
      </c>
      <c r="I1807" t="s">
        <v>3490</v>
      </c>
      <c r="J1807" t="s">
        <v>2889</v>
      </c>
    </row>
    <row r="1808" spans="1:10" x14ac:dyDescent="0.25">
      <c r="A1808" t="s">
        <v>2188</v>
      </c>
      <c r="B1808" t="s">
        <v>95</v>
      </c>
      <c r="C1808">
        <v>8</v>
      </c>
      <c r="D1808" t="s">
        <v>3236</v>
      </c>
      <c r="E1808">
        <v>39</v>
      </c>
      <c r="F1808">
        <v>15</v>
      </c>
      <c r="G1808">
        <v>24</v>
      </c>
      <c r="H1808" t="s">
        <v>3491</v>
      </c>
      <c r="I1808" t="s">
        <v>3492</v>
      </c>
      <c r="J1808" t="s">
        <v>2889</v>
      </c>
    </row>
    <row r="1809" spans="1:10" x14ac:dyDescent="0.25">
      <c r="A1809" t="s">
        <v>2188</v>
      </c>
      <c r="B1809" t="s">
        <v>95</v>
      </c>
      <c r="C1809">
        <v>8</v>
      </c>
      <c r="D1809" t="s">
        <v>3238</v>
      </c>
      <c r="E1809">
        <v>62</v>
      </c>
      <c r="F1809">
        <v>24</v>
      </c>
      <c r="G1809">
        <v>38</v>
      </c>
      <c r="H1809" t="s">
        <v>3489</v>
      </c>
      <c r="I1809" t="s">
        <v>3490</v>
      </c>
      <c r="J1809" t="s">
        <v>2889</v>
      </c>
    </row>
    <row r="1810" spans="1:10" x14ac:dyDescent="0.25">
      <c r="A1810" t="s">
        <v>2188</v>
      </c>
      <c r="B1810" t="s">
        <v>95</v>
      </c>
      <c r="C1810">
        <v>8</v>
      </c>
      <c r="D1810" t="s">
        <v>3240</v>
      </c>
      <c r="E1810">
        <v>86</v>
      </c>
      <c r="F1810">
        <v>16</v>
      </c>
      <c r="G1810">
        <v>70</v>
      </c>
      <c r="H1810" t="s">
        <v>196</v>
      </c>
      <c r="I1810" t="s">
        <v>3490</v>
      </c>
      <c r="J1810" t="s">
        <v>2889</v>
      </c>
    </row>
    <row r="1811" spans="1:10" x14ac:dyDescent="0.25">
      <c r="A1811" t="s">
        <v>2188</v>
      </c>
      <c r="B1811" t="s">
        <v>95</v>
      </c>
      <c r="C1811">
        <v>8</v>
      </c>
      <c r="D1811" t="s">
        <v>3242</v>
      </c>
      <c r="E1811">
        <v>69</v>
      </c>
      <c r="F1811">
        <v>21</v>
      </c>
      <c r="G1811">
        <v>48</v>
      </c>
      <c r="H1811" t="s">
        <v>3489</v>
      </c>
      <c r="I1811" t="s">
        <v>3490</v>
      </c>
      <c r="J1811" t="s">
        <v>2889</v>
      </c>
    </row>
    <row r="1812" spans="1:10" x14ac:dyDescent="0.25">
      <c r="A1812" t="s">
        <v>2193</v>
      </c>
      <c r="B1812" t="s">
        <v>122</v>
      </c>
      <c r="C1812">
        <v>8</v>
      </c>
      <c r="D1812" t="s">
        <v>3294</v>
      </c>
      <c r="E1812">
        <v>71</v>
      </c>
      <c r="F1812">
        <v>18</v>
      </c>
      <c r="G1812">
        <v>53</v>
      </c>
      <c r="H1812" t="s">
        <v>3494</v>
      </c>
      <c r="I1812" t="s">
        <v>3490</v>
      </c>
      <c r="J1812" t="s">
        <v>2919</v>
      </c>
    </row>
    <row r="1813" spans="1:10" x14ac:dyDescent="0.25">
      <c r="A1813" t="s">
        <v>2193</v>
      </c>
      <c r="B1813" t="s">
        <v>122</v>
      </c>
      <c r="C1813">
        <v>8</v>
      </c>
      <c r="D1813" t="s">
        <v>3296</v>
      </c>
      <c r="E1813">
        <v>58</v>
      </c>
      <c r="F1813">
        <v>17</v>
      </c>
      <c r="G1813">
        <v>41</v>
      </c>
      <c r="H1813" t="s">
        <v>3493</v>
      </c>
      <c r="I1813" t="s">
        <v>3490</v>
      </c>
      <c r="J1813" t="s">
        <v>2919</v>
      </c>
    </row>
    <row r="1814" spans="1:10" x14ac:dyDescent="0.25">
      <c r="A1814" t="s">
        <v>2193</v>
      </c>
      <c r="B1814" t="s">
        <v>122</v>
      </c>
      <c r="C1814">
        <v>8</v>
      </c>
      <c r="D1814" t="s">
        <v>3298</v>
      </c>
      <c r="E1814">
        <v>60</v>
      </c>
      <c r="F1814">
        <v>14</v>
      </c>
      <c r="G1814">
        <v>46</v>
      </c>
      <c r="H1814" t="s">
        <v>3489</v>
      </c>
      <c r="I1814" t="s">
        <v>3490</v>
      </c>
      <c r="J1814" t="s">
        <v>2919</v>
      </c>
    </row>
    <row r="1815" spans="1:10" x14ac:dyDescent="0.25">
      <c r="A1815" t="s">
        <v>2193</v>
      </c>
      <c r="B1815" t="s">
        <v>122</v>
      </c>
      <c r="C1815">
        <v>8</v>
      </c>
      <c r="D1815" t="s">
        <v>3300</v>
      </c>
      <c r="E1815">
        <v>49</v>
      </c>
      <c r="F1815">
        <v>26</v>
      </c>
      <c r="G1815">
        <v>23</v>
      </c>
      <c r="H1815" t="s">
        <v>3491</v>
      </c>
      <c r="I1815" t="s">
        <v>3492</v>
      </c>
      <c r="J1815" t="s">
        <v>2919</v>
      </c>
    </row>
    <row r="1816" spans="1:10" x14ac:dyDescent="0.25">
      <c r="A1816" t="s">
        <v>2193</v>
      </c>
      <c r="B1816" t="s">
        <v>122</v>
      </c>
      <c r="C1816">
        <v>8</v>
      </c>
      <c r="D1816" t="s">
        <v>3302</v>
      </c>
      <c r="E1816">
        <v>59</v>
      </c>
      <c r="F1816">
        <v>22</v>
      </c>
      <c r="G1816">
        <v>37</v>
      </c>
      <c r="H1816" t="s">
        <v>3493</v>
      </c>
      <c r="I1816" t="s">
        <v>3490</v>
      </c>
      <c r="J1816" t="s">
        <v>2919</v>
      </c>
    </row>
    <row r="1817" spans="1:10" x14ac:dyDescent="0.25">
      <c r="A1817" t="s">
        <v>2198</v>
      </c>
      <c r="B1817" t="s">
        <v>63</v>
      </c>
      <c r="C1817">
        <v>4</v>
      </c>
      <c r="D1817" t="s">
        <v>3394</v>
      </c>
      <c r="E1817">
        <v>74</v>
      </c>
      <c r="F1817">
        <v>27</v>
      </c>
      <c r="G1817">
        <v>47</v>
      </c>
      <c r="H1817" t="s">
        <v>3494</v>
      </c>
      <c r="I1817" t="s">
        <v>3490</v>
      </c>
      <c r="J1817" t="s">
        <v>2932</v>
      </c>
    </row>
    <row r="1818" spans="1:10" x14ac:dyDescent="0.25">
      <c r="A1818" t="s">
        <v>2198</v>
      </c>
      <c r="B1818" t="s">
        <v>63</v>
      </c>
      <c r="C1818">
        <v>4</v>
      </c>
      <c r="D1818" t="s">
        <v>3396</v>
      </c>
      <c r="E1818">
        <v>78</v>
      </c>
      <c r="F1818">
        <v>11</v>
      </c>
      <c r="G1818">
        <v>67</v>
      </c>
      <c r="H1818" t="s">
        <v>3494</v>
      </c>
      <c r="I1818" t="s">
        <v>3490</v>
      </c>
      <c r="J1818" t="s">
        <v>2932</v>
      </c>
    </row>
    <row r="1819" spans="1:10" x14ac:dyDescent="0.25">
      <c r="A1819" t="s">
        <v>2198</v>
      </c>
      <c r="B1819" t="s">
        <v>63</v>
      </c>
      <c r="C1819">
        <v>4</v>
      </c>
      <c r="D1819" t="s">
        <v>3398</v>
      </c>
      <c r="E1819">
        <v>71</v>
      </c>
      <c r="F1819">
        <v>23</v>
      </c>
      <c r="G1819">
        <v>48</v>
      </c>
      <c r="H1819" t="s">
        <v>3494</v>
      </c>
      <c r="I1819" t="s">
        <v>3490</v>
      </c>
      <c r="J1819" t="s">
        <v>2932</v>
      </c>
    </row>
    <row r="1820" spans="1:10" x14ac:dyDescent="0.25">
      <c r="A1820" t="s">
        <v>2198</v>
      </c>
      <c r="B1820" t="s">
        <v>63</v>
      </c>
      <c r="C1820">
        <v>4</v>
      </c>
      <c r="D1820" t="s">
        <v>3400</v>
      </c>
      <c r="E1820">
        <v>73</v>
      </c>
      <c r="F1820">
        <v>16</v>
      </c>
      <c r="G1820">
        <v>57</v>
      </c>
      <c r="H1820" t="s">
        <v>3494</v>
      </c>
      <c r="I1820" t="s">
        <v>3490</v>
      </c>
      <c r="J1820" t="s">
        <v>2932</v>
      </c>
    </row>
    <row r="1821" spans="1:10" x14ac:dyDescent="0.25">
      <c r="A1821" t="s">
        <v>2198</v>
      </c>
      <c r="B1821" t="s">
        <v>63</v>
      </c>
      <c r="C1821">
        <v>4</v>
      </c>
      <c r="D1821" t="s">
        <v>3402</v>
      </c>
      <c r="E1821">
        <v>61</v>
      </c>
      <c r="F1821">
        <v>27</v>
      </c>
      <c r="G1821">
        <v>34</v>
      </c>
      <c r="H1821" t="s">
        <v>3489</v>
      </c>
      <c r="I1821" t="s">
        <v>3490</v>
      </c>
      <c r="J1821" t="s">
        <v>2932</v>
      </c>
    </row>
    <row r="1822" spans="1:10" x14ac:dyDescent="0.25">
      <c r="A1822" t="s">
        <v>2203</v>
      </c>
      <c r="B1822" t="s">
        <v>75</v>
      </c>
      <c r="C1822">
        <v>8</v>
      </c>
      <c r="D1822" t="s">
        <v>3054</v>
      </c>
      <c r="E1822">
        <v>57</v>
      </c>
      <c r="F1822">
        <v>18</v>
      </c>
      <c r="G1822">
        <v>39</v>
      </c>
      <c r="H1822" t="s">
        <v>3493</v>
      </c>
      <c r="I1822" t="s">
        <v>3490</v>
      </c>
      <c r="J1822" t="s">
        <v>2961</v>
      </c>
    </row>
    <row r="1823" spans="1:10" x14ac:dyDescent="0.25">
      <c r="A1823" t="s">
        <v>2203</v>
      </c>
      <c r="B1823" t="s">
        <v>75</v>
      </c>
      <c r="C1823">
        <v>8</v>
      </c>
      <c r="D1823" t="s">
        <v>3056</v>
      </c>
      <c r="E1823">
        <v>79</v>
      </c>
      <c r="F1823">
        <v>27</v>
      </c>
      <c r="G1823">
        <v>52</v>
      </c>
      <c r="H1823" t="s">
        <v>3494</v>
      </c>
      <c r="I1823" t="s">
        <v>3490</v>
      </c>
      <c r="J1823" t="s">
        <v>2961</v>
      </c>
    </row>
    <row r="1824" spans="1:10" x14ac:dyDescent="0.25">
      <c r="A1824" t="s">
        <v>2203</v>
      </c>
      <c r="B1824" t="s">
        <v>75</v>
      </c>
      <c r="C1824">
        <v>8</v>
      </c>
      <c r="D1824" t="s">
        <v>3058</v>
      </c>
      <c r="E1824">
        <v>71</v>
      </c>
      <c r="F1824">
        <v>16</v>
      </c>
      <c r="G1824">
        <v>55</v>
      </c>
      <c r="H1824" t="s">
        <v>3494</v>
      </c>
      <c r="I1824" t="s">
        <v>3490</v>
      </c>
      <c r="J1824" t="s">
        <v>2961</v>
      </c>
    </row>
    <row r="1825" spans="1:10" x14ac:dyDescent="0.25">
      <c r="A1825" t="s">
        <v>2203</v>
      </c>
      <c r="B1825" t="s">
        <v>75</v>
      </c>
      <c r="C1825">
        <v>8</v>
      </c>
      <c r="D1825" t="s">
        <v>3060</v>
      </c>
      <c r="E1825">
        <v>50</v>
      </c>
      <c r="F1825">
        <v>19</v>
      </c>
      <c r="G1825">
        <v>31</v>
      </c>
      <c r="H1825" t="s">
        <v>3493</v>
      </c>
      <c r="I1825" t="s">
        <v>3490</v>
      </c>
      <c r="J1825" t="s">
        <v>2961</v>
      </c>
    </row>
    <row r="1826" spans="1:10" x14ac:dyDescent="0.25">
      <c r="A1826" t="s">
        <v>2203</v>
      </c>
      <c r="B1826" t="s">
        <v>75</v>
      </c>
      <c r="C1826">
        <v>8</v>
      </c>
      <c r="D1826" t="s">
        <v>3062</v>
      </c>
      <c r="E1826">
        <v>54</v>
      </c>
      <c r="F1826">
        <v>20</v>
      </c>
      <c r="G1826">
        <v>34</v>
      </c>
      <c r="H1826" t="s">
        <v>3493</v>
      </c>
      <c r="I1826" t="s">
        <v>3490</v>
      </c>
      <c r="J1826" t="s">
        <v>2961</v>
      </c>
    </row>
    <row r="1827" spans="1:10" x14ac:dyDescent="0.25">
      <c r="A1827" t="s">
        <v>2207</v>
      </c>
      <c r="B1827" t="s">
        <v>75</v>
      </c>
      <c r="C1827">
        <v>4</v>
      </c>
      <c r="D1827" t="s">
        <v>3034</v>
      </c>
      <c r="E1827">
        <v>82</v>
      </c>
      <c r="F1827">
        <v>22</v>
      </c>
      <c r="G1827">
        <v>60</v>
      </c>
      <c r="H1827" t="s">
        <v>196</v>
      </c>
      <c r="I1827" t="s">
        <v>3490</v>
      </c>
      <c r="J1827" t="s">
        <v>2961</v>
      </c>
    </row>
    <row r="1828" spans="1:10" x14ac:dyDescent="0.25">
      <c r="A1828" t="s">
        <v>2207</v>
      </c>
      <c r="B1828" t="s">
        <v>75</v>
      </c>
      <c r="C1828">
        <v>4</v>
      </c>
      <c r="D1828" t="s">
        <v>3036</v>
      </c>
      <c r="E1828">
        <v>64</v>
      </c>
      <c r="F1828">
        <v>19</v>
      </c>
      <c r="G1828">
        <v>45</v>
      </c>
      <c r="H1828" t="s">
        <v>3489</v>
      </c>
      <c r="I1828" t="s">
        <v>3490</v>
      </c>
      <c r="J1828" t="s">
        <v>2961</v>
      </c>
    </row>
    <row r="1829" spans="1:10" x14ac:dyDescent="0.25">
      <c r="A1829" t="s">
        <v>2207</v>
      </c>
      <c r="B1829" t="s">
        <v>75</v>
      </c>
      <c r="C1829">
        <v>4</v>
      </c>
      <c r="D1829" t="s">
        <v>3038</v>
      </c>
      <c r="E1829">
        <v>68</v>
      </c>
      <c r="F1829">
        <v>14</v>
      </c>
      <c r="G1829">
        <v>54</v>
      </c>
      <c r="H1829" t="s">
        <v>3489</v>
      </c>
      <c r="I1829" t="s">
        <v>3490</v>
      </c>
      <c r="J1829" t="s">
        <v>2961</v>
      </c>
    </row>
    <row r="1830" spans="1:10" x14ac:dyDescent="0.25">
      <c r="A1830" t="s">
        <v>2207</v>
      </c>
      <c r="B1830" t="s">
        <v>75</v>
      </c>
      <c r="C1830">
        <v>4</v>
      </c>
      <c r="D1830" t="s">
        <v>3040</v>
      </c>
      <c r="E1830">
        <v>52</v>
      </c>
      <c r="F1830">
        <v>11</v>
      </c>
      <c r="G1830">
        <v>41</v>
      </c>
      <c r="H1830" t="s">
        <v>3493</v>
      </c>
      <c r="I1830" t="s">
        <v>3490</v>
      </c>
      <c r="J1830" t="s">
        <v>2961</v>
      </c>
    </row>
    <row r="1831" spans="1:10" x14ac:dyDescent="0.25">
      <c r="A1831" t="s">
        <v>2207</v>
      </c>
      <c r="B1831" t="s">
        <v>75</v>
      </c>
      <c r="C1831">
        <v>4</v>
      </c>
      <c r="D1831" t="s">
        <v>3042</v>
      </c>
      <c r="E1831">
        <v>43</v>
      </c>
      <c r="F1831">
        <v>20</v>
      </c>
      <c r="G1831">
        <v>23</v>
      </c>
      <c r="H1831" t="s">
        <v>3491</v>
      </c>
      <c r="I1831" t="s">
        <v>3492</v>
      </c>
      <c r="J1831" t="s">
        <v>2961</v>
      </c>
    </row>
    <row r="1832" spans="1:10" x14ac:dyDescent="0.25">
      <c r="A1832" t="s">
        <v>2213</v>
      </c>
      <c r="B1832" t="s">
        <v>30</v>
      </c>
      <c r="C1832">
        <v>6</v>
      </c>
      <c r="D1832" t="s">
        <v>3354</v>
      </c>
      <c r="E1832">
        <v>72</v>
      </c>
      <c r="F1832">
        <v>24</v>
      </c>
      <c r="G1832">
        <v>48</v>
      </c>
      <c r="H1832" t="s">
        <v>3494</v>
      </c>
      <c r="I1832" t="s">
        <v>3490</v>
      </c>
      <c r="J1832" t="s">
        <v>2895</v>
      </c>
    </row>
    <row r="1833" spans="1:10" x14ac:dyDescent="0.25">
      <c r="A1833" t="s">
        <v>2213</v>
      </c>
      <c r="B1833" t="s">
        <v>30</v>
      </c>
      <c r="C1833">
        <v>6</v>
      </c>
      <c r="D1833" t="s">
        <v>3356</v>
      </c>
      <c r="E1833">
        <v>83</v>
      </c>
      <c r="F1833">
        <v>18</v>
      </c>
      <c r="G1833">
        <v>65</v>
      </c>
      <c r="H1833" t="s">
        <v>196</v>
      </c>
      <c r="I1833" t="s">
        <v>3490</v>
      </c>
      <c r="J1833" t="s">
        <v>2895</v>
      </c>
    </row>
    <row r="1834" spans="1:10" x14ac:dyDescent="0.25">
      <c r="A1834" t="s">
        <v>2213</v>
      </c>
      <c r="B1834" t="s">
        <v>30</v>
      </c>
      <c r="C1834">
        <v>6</v>
      </c>
      <c r="D1834" t="s">
        <v>3358</v>
      </c>
      <c r="E1834">
        <v>56</v>
      </c>
      <c r="F1834">
        <v>11</v>
      </c>
      <c r="G1834">
        <v>45</v>
      </c>
      <c r="H1834" t="s">
        <v>3493</v>
      </c>
      <c r="I1834" t="s">
        <v>3490</v>
      </c>
      <c r="J1834" t="s">
        <v>2895</v>
      </c>
    </row>
    <row r="1835" spans="1:10" x14ac:dyDescent="0.25">
      <c r="A1835" t="s">
        <v>2213</v>
      </c>
      <c r="B1835" t="s">
        <v>30</v>
      </c>
      <c r="C1835">
        <v>6</v>
      </c>
      <c r="D1835" t="s">
        <v>3360</v>
      </c>
      <c r="E1835">
        <v>69</v>
      </c>
      <c r="F1835">
        <v>21</v>
      </c>
      <c r="G1835">
        <v>48</v>
      </c>
      <c r="H1835" t="s">
        <v>3489</v>
      </c>
      <c r="I1835" t="s">
        <v>3490</v>
      </c>
      <c r="J1835" t="s">
        <v>2895</v>
      </c>
    </row>
    <row r="1836" spans="1:10" x14ac:dyDescent="0.25">
      <c r="A1836" t="s">
        <v>2213</v>
      </c>
      <c r="B1836" t="s">
        <v>30</v>
      </c>
      <c r="C1836">
        <v>6</v>
      </c>
      <c r="D1836" t="s">
        <v>3362</v>
      </c>
      <c r="E1836">
        <v>70</v>
      </c>
      <c r="F1836">
        <v>29</v>
      </c>
      <c r="G1836">
        <v>41</v>
      </c>
      <c r="H1836" t="s">
        <v>3494</v>
      </c>
      <c r="I1836" t="s">
        <v>3490</v>
      </c>
      <c r="J1836" t="s">
        <v>2895</v>
      </c>
    </row>
    <row r="1837" spans="1:10" x14ac:dyDescent="0.25">
      <c r="A1837" t="s">
        <v>2218</v>
      </c>
      <c r="B1837" t="s">
        <v>212</v>
      </c>
      <c r="C1837">
        <v>8</v>
      </c>
      <c r="D1837" t="s">
        <v>3474</v>
      </c>
      <c r="E1837">
        <v>46</v>
      </c>
      <c r="F1837">
        <v>21</v>
      </c>
      <c r="G1837">
        <v>25</v>
      </c>
      <c r="H1837" t="s">
        <v>3491</v>
      </c>
      <c r="I1837" t="s">
        <v>3492</v>
      </c>
      <c r="J1837" t="s">
        <v>3001</v>
      </c>
    </row>
    <row r="1838" spans="1:10" x14ac:dyDescent="0.25">
      <c r="A1838" t="s">
        <v>2218</v>
      </c>
      <c r="B1838" t="s">
        <v>212</v>
      </c>
      <c r="C1838">
        <v>8</v>
      </c>
      <c r="D1838" t="s">
        <v>3476</v>
      </c>
      <c r="E1838">
        <v>66</v>
      </c>
      <c r="F1838">
        <v>21</v>
      </c>
      <c r="G1838">
        <v>45</v>
      </c>
      <c r="H1838" t="s">
        <v>3489</v>
      </c>
      <c r="I1838" t="s">
        <v>3490</v>
      </c>
      <c r="J1838" t="s">
        <v>3001</v>
      </c>
    </row>
    <row r="1839" spans="1:10" x14ac:dyDescent="0.25">
      <c r="A1839" t="s">
        <v>2218</v>
      </c>
      <c r="B1839" t="s">
        <v>212</v>
      </c>
      <c r="C1839">
        <v>8</v>
      </c>
      <c r="D1839" t="s">
        <v>3478</v>
      </c>
      <c r="E1839">
        <v>48</v>
      </c>
      <c r="F1839">
        <v>15</v>
      </c>
      <c r="G1839">
        <v>33</v>
      </c>
      <c r="H1839" t="s">
        <v>3491</v>
      </c>
      <c r="I1839" t="s">
        <v>3492</v>
      </c>
      <c r="J1839" t="s">
        <v>3001</v>
      </c>
    </row>
    <row r="1840" spans="1:10" x14ac:dyDescent="0.25">
      <c r="A1840" t="s">
        <v>2218</v>
      </c>
      <c r="B1840" t="s">
        <v>212</v>
      </c>
      <c r="C1840">
        <v>8</v>
      </c>
      <c r="D1840" t="s">
        <v>3480</v>
      </c>
      <c r="E1840">
        <v>59</v>
      </c>
      <c r="F1840">
        <v>28</v>
      </c>
      <c r="G1840">
        <v>31</v>
      </c>
      <c r="H1840" t="s">
        <v>3493</v>
      </c>
      <c r="I1840" t="s">
        <v>3490</v>
      </c>
      <c r="J1840" t="s">
        <v>3001</v>
      </c>
    </row>
    <row r="1841" spans="1:10" x14ac:dyDescent="0.25">
      <c r="A1841" t="s">
        <v>2218</v>
      </c>
      <c r="B1841" t="s">
        <v>212</v>
      </c>
      <c r="C1841">
        <v>8</v>
      </c>
      <c r="D1841" t="s">
        <v>3482</v>
      </c>
      <c r="E1841">
        <v>68</v>
      </c>
      <c r="F1841">
        <v>10</v>
      </c>
      <c r="G1841">
        <v>58</v>
      </c>
      <c r="H1841" t="s">
        <v>3489</v>
      </c>
      <c r="I1841" t="s">
        <v>3490</v>
      </c>
      <c r="J1841" t="s">
        <v>3001</v>
      </c>
    </row>
    <row r="1842" spans="1:10" x14ac:dyDescent="0.25">
      <c r="A1842" t="s">
        <v>2223</v>
      </c>
      <c r="B1842" t="s">
        <v>122</v>
      </c>
      <c r="C1842">
        <v>8</v>
      </c>
      <c r="D1842" t="s">
        <v>3294</v>
      </c>
      <c r="E1842">
        <v>65</v>
      </c>
      <c r="F1842">
        <v>11</v>
      </c>
      <c r="G1842">
        <v>54</v>
      </c>
      <c r="H1842" t="s">
        <v>3489</v>
      </c>
      <c r="I1842" t="s">
        <v>3490</v>
      </c>
      <c r="J1842" t="s">
        <v>2919</v>
      </c>
    </row>
    <row r="1843" spans="1:10" x14ac:dyDescent="0.25">
      <c r="A1843" t="s">
        <v>2223</v>
      </c>
      <c r="B1843" t="s">
        <v>122</v>
      </c>
      <c r="C1843">
        <v>8</v>
      </c>
      <c r="D1843" t="s">
        <v>3296</v>
      </c>
      <c r="E1843">
        <v>89</v>
      </c>
      <c r="F1843">
        <v>20</v>
      </c>
      <c r="G1843">
        <v>69</v>
      </c>
      <c r="H1843" t="s">
        <v>196</v>
      </c>
      <c r="I1843" t="s">
        <v>3490</v>
      </c>
      <c r="J1843" t="s">
        <v>2919</v>
      </c>
    </row>
    <row r="1844" spans="1:10" x14ac:dyDescent="0.25">
      <c r="A1844" t="s">
        <v>2223</v>
      </c>
      <c r="B1844" t="s">
        <v>122</v>
      </c>
      <c r="C1844">
        <v>8</v>
      </c>
      <c r="D1844" t="s">
        <v>3298</v>
      </c>
      <c r="E1844">
        <v>46</v>
      </c>
      <c r="F1844">
        <v>20</v>
      </c>
      <c r="G1844">
        <v>26</v>
      </c>
      <c r="H1844" t="s">
        <v>3491</v>
      </c>
      <c r="I1844" t="s">
        <v>3492</v>
      </c>
      <c r="J1844" t="s">
        <v>2919</v>
      </c>
    </row>
    <row r="1845" spans="1:10" x14ac:dyDescent="0.25">
      <c r="A1845" t="s">
        <v>2223</v>
      </c>
      <c r="B1845" t="s">
        <v>122</v>
      </c>
      <c r="C1845">
        <v>8</v>
      </c>
      <c r="D1845" t="s">
        <v>3300</v>
      </c>
      <c r="E1845">
        <v>62</v>
      </c>
      <c r="F1845">
        <v>11</v>
      </c>
      <c r="G1845">
        <v>51</v>
      </c>
      <c r="H1845" t="s">
        <v>3489</v>
      </c>
      <c r="I1845" t="s">
        <v>3490</v>
      </c>
      <c r="J1845" t="s">
        <v>2919</v>
      </c>
    </row>
    <row r="1846" spans="1:10" x14ac:dyDescent="0.25">
      <c r="A1846" t="s">
        <v>2223</v>
      </c>
      <c r="B1846" t="s">
        <v>122</v>
      </c>
      <c r="C1846">
        <v>8</v>
      </c>
      <c r="D1846" t="s">
        <v>3302</v>
      </c>
      <c r="E1846">
        <v>94</v>
      </c>
      <c r="F1846">
        <v>30</v>
      </c>
      <c r="G1846">
        <v>64</v>
      </c>
      <c r="H1846" t="s">
        <v>3495</v>
      </c>
      <c r="I1846" t="s">
        <v>3490</v>
      </c>
      <c r="J1846" t="s">
        <v>2919</v>
      </c>
    </row>
    <row r="1847" spans="1:10" x14ac:dyDescent="0.25">
      <c r="A1847" t="s">
        <v>2228</v>
      </c>
      <c r="B1847" t="s">
        <v>105</v>
      </c>
      <c r="C1847">
        <v>4</v>
      </c>
      <c r="D1847" t="s">
        <v>3154</v>
      </c>
      <c r="E1847">
        <v>85</v>
      </c>
      <c r="F1847">
        <v>19</v>
      </c>
      <c r="G1847">
        <v>66</v>
      </c>
      <c r="H1847" t="s">
        <v>196</v>
      </c>
      <c r="I1847" t="s">
        <v>3490</v>
      </c>
      <c r="J1847" t="s">
        <v>2908</v>
      </c>
    </row>
    <row r="1848" spans="1:10" x14ac:dyDescent="0.25">
      <c r="A1848" t="s">
        <v>2228</v>
      </c>
      <c r="B1848" t="s">
        <v>105</v>
      </c>
      <c r="C1848">
        <v>4</v>
      </c>
      <c r="D1848" t="s">
        <v>3156</v>
      </c>
      <c r="E1848">
        <v>72</v>
      </c>
      <c r="F1848">
        <v>10</v>
      </c>
      <c r="G1848">
        <v>62</v>
      </c>
      <c r="H1848" t="s">
        <v>3494</v>
      </c>
      <c r="I1848" t="s">
        <v>3490</v>
      </c>
      <c r="J1848" t="s">
        <v>2908</v>
      </c>
    </row>
    <row r="1849" spans="1:10" x14ac:dyDescent="0.25">
      <c r="A1849" t="s">
        <v>2228</v>
      </c>
      <c r="B1849" t="s">
        <v>105</v>
      </c>
      <c r="C1849">
        <v>4</v>
      </c>
      <c r="D1849" t="s">
        <v>3158</v>
      </c>
      <c r="E1849">
        <v>55</v>
      </c>
      <c r="F1849">
        <v>29</v>
      </c>
      <c r="G1849">
        <v>26</v>
      </c>
      <c r="H1849" t="s">
        <v>3493</v>
      </c>
      <c r="I1849" t="s">
        <v>3490</v>
      </c>
      <c r="J1849" t="s">
        <v>2908</v>
      </c>
    </row>
    <row r="1850" spans="1:10" x14ac:dyDescent="0.25">
      <c r="A1850" t="s">
        <v>2228</v>
      </c>
      <c r="B1850" t="s">
        <v>105</v>
      </c>
      <c r="C1850">
        <v>4</v>
      </c>
      <c r="D1850" t="s">
        <v>3160</v>
      </c>
      <c r="E1850">
        <v>43</v>
      </c>
      <c r="F1850">
        <v>17</v>
      </c>
      <c r="G1850">
        <v>26</v>
      </c>
      <c r="H1850" t="s">
        <v>3491</v>
      </c>
      <c r="I1850" t="s">
        <v>3492</v>
      </c>
      <c r="J1850" t="s">
        <v>2908</v>
      </c>
    </row>
    <row r="1851" spans="1:10" x14ac:dyDescent="0.25">
      <c r="A1851" t="s">
        <v>2228</v>
      </c>
      <c r="B1851" t="s">
        <v>105</v>
      </c>
      <c r="C1851">
        <v>4</v>
      </c>
      <c r="D1851" t="s">
        <v>3162</v>
      </c>
      <c r="E1851">
        <v>38</v>
      </c>
      <c r="F1851">
        <v>12</v>
      </c>
      <c r="G1851">
        <v>26</v>
      </c>
      <c r="H1851" t="s">
        <v>3491</v>
      </c>
      <c r="I1851" t="s">
        <v>3492</v>
      </c>
      <c r="J1851" t="s">
        <v>2908</v>
      </c>
    </row>
    <row r="1852" spans="1:10" x14ac:dyDescent="0.25">
      <c r="A1852" t="s">
        <v>2233</v>
      </c>
      <c r="B1852" t="s">
        <v>75</v>
      </c>
      <c r="C1852">
        <v>4</v>
      </c>
      <c r="D1852" t="s">
        <v>3034</v>
      </c>
      <c r="E1852">
        <v>93</v>
      </c>
      <c r="F1852">
        <v>24</v>
      </c>
      <c r="G1852">
        <v>69</v>
      </c>
      <c r="H1852" t="s">
        <v>3495</v>
      </c>
      <c r="I1852" t="s">
        <v>3490</v>
      </c>
      <c r="J1852" t="s">
        <v>2961</v>
      </c>
    </row>
    <row r="1853" spans="1:10" x14ac:dyDescent="0.25">
      <c r="A1853" t="s">
        <v>2233</v>
      </c>
      <c r="B1853" t="s">
        <v>75</v>
      </c>
      <c r="C1853">
        <v>4</v>
      </c>
      <c r="D1853" t="s">
        <v>3036</v>
      </c>
      <c r="E1853">
        <v>70</v>
      </c>
      <c r="F1853">
        <v>26</v>
      </c>
      <c r="G1853">
        <v>44</v>
      </c>
      <c r="H1853" t="s">
        <v>3494</v>
      </c>
      <c r="I1853" t="s">
        <v>3490</v>
      </c>
      <c r="J1853" t="s">
        <v>2961</v>
      </c>
    </row>
    <row r="1854" spans="1:10" x14ac:dyDescent="0.25">
      <c r="A1854" t="s">
        <v>2233</v>
      </c>
      <c r="B1854" t="s">
        <v>75</v>
      </c>
      <c r="C1854">
        <v>4</v>
      </c>
      <c r="D1854" t="s">
        <v>3038</v>
      </c>
      <c r="E1854">
        <v>71</v>
      </c>
      <c r="F1854">
        <v>13</v>
      </c>
      <c r="G1854">
        <v>58</v>
      </c>
      <c r="H1854" t="s">
        <v>3494</v>
      </c>
      <c r="I1854" t="s">
        <v>3490</v>
      </c>
      <c r="J1854" t="s">
        <v>2961</v>
      </c>
    </row>
    <row r="1855" spans="1:10" x14ac:dyDescent="0.25">
      <c r="A1855" t="s">
        <v>2233</v>
      </c>
      <c r="B1855" t="s">
        <v>75</v>
      </c>
      <c r="C1855">
        <v>4</v>
      </c>
      <c r="D1855" t="s">
        <v>3040</v>
      </c>
      <c r="E1855">
        <v>39</v>
      </c>
      <c r="F1855">
        <v>10</v>
      </c>
      <c r="G1855">
        <v>29</v>
      </c>
      <c r="H1855" t="s">
        <v>3491</v>
      </c>
      <c r="I1855" t="s">
        <v>3492</v>
      </c>
      <c r="J1855" t="s">
        <v>2961</v>
      </c>
    </row>
    <row r="1856" spans="1:10" x14ac:dyDescent="0.25">
      <c r="A1856" t="s">
        <v>2233</v>
      </c>
      <c r="B1856" t="s">
        <v>75</v>
      </c>
      <c r="C1856">
        <v>4</v>
      </c>
      <c r="D1856" t="s">
        <v>3042</v>
      </c>
      <c r="E1856">
        <v>58</v>
      </c>
      <c r="F1856">
        <v>20</v>
      </c>
      <c r="G1856">
        <v>38</v>
      </c>
      <c r="H1856" t="s">
        <v>3493</v>
      </c>
      <c r="I1856" t="s">
        <v>3490</v>
      </c>
      <c r="J1856" t="s">
        <v>2961</v>
      </c>
    </row>
    <row r="1857" spans="1:10" x14ac:dyDescent="0.25">
      <c r="A1857" t="s">
        <v>2238</v>
      </c>
      <c r="B1857" t="s">
        <v>159</v>
      </c>
      <c r="C1857">
        <v>8</v>
      </c>
      <c r="D1857" t="s">
        <v>3114</v>
      </c>
      <c r="E1857">
        <v>87</v>
      </c>
      <c r="F1857">
        <v>24</v>
      </c>
      <c r="G1857">
        <v>63</v>
      </c>
      <c r="H1857" t="s">
        <v>196</v>
      </c>
      <c r="I1857" t="s">
        <v>3490</v>
      </c>
      <c r="J1857" t="s">
        <v>2902</v>
      </c>
    </row>
    <row r="1858" spans="1:10" x14ac:dyDescent="0.25">
      <c r="A1858" t="s">
        <v>2238</v>
      </c>
      <c r="B1858" t="s">
        <v>159</v>
      </c>
      <c r="C1858">
        <v>8</v>
      </c>
      <c r="D1858" t="s">
        <v>3116</v>
      </c>
      <c r="E1858">
        <v>45</v>
      </c>
      <c r="F1858">
        <v>22</v>
      </c>
      <c r="G1858">
        <v>23</v>
      </c>
      <c r="H1858" t="s">
        <v>3491</v>
      </c>
      <c r="I1858" t="s">
        <v>3492</v>
      </c>
      <c r="J1858" t="s">
        <v>2902</v>
      </c>
    </row>
    <row r="1859" spans="1:10" x14ac:dyDescent="0.25">
      <c r="A1859" t="s">
        <v>2238</v>
      </c>
      <c r="B1859" t="s">
        <v>159</v>
      </c>
      <c r="C1859">
        <v>8</v>
      </c>
      <c r="D1859" t="s">
        <v>3118</v>
      </c>
      <c r="E1859">
        <v>45</v>
      </c>
      <c r="F1859">
        <v>15</v>
      </c>
      <c r="G1859">
        <v>30</v>
      </c>
      <c r="H1859" t="s">
        <v>3491</v>
      </c>
      <c r="I1859" t="s">
        <v>3492</v>
      </c>
      <c r="J1859" t="s">
        <v>2902</v>
      </c>
    </row>
    <row r="1860" spans="1:10" x14ac:dyDescent="0.25">
      <c r="A1860" t="s">
        <v>2238</v>
      </c>
      <c r="B1860" t="s">
        <v>159</v>
      </c>
      <c r="C1860">
        <v>8</v>
      </c>
      <c r="D1860" t="s">
        <v>3120</v>
      </c>
      <c r="E1860">
        <v>51</v>
      </c>
      <c r="F1860">
        <v>30</v>
      </c>
      <c r="G1860">
        <v>21</v>
      </c>
      <c r="H1860" t="s">
        <v>3493</v>
      </c>
      <c r="I1860" t="s">
        <v>3490</v>
      </c>
      <c r="J1860" t="s">
        <v>2902</v>
      </c>
    </row>
    <row r="1861" spans="1:10" x14ac:dyDescent="0.25">
      <c r="A1861" t="s">
        <v>2238</v>
      </c>
      <c r="B1861" t="s">
        <v>159</v>
      </c>
      <c r="C1861">
        <v>8</v>
      </c>
      <c r="D1861" t="s">
        <v>3122</v>
      </c>
      <c r="E1861">
        <v>87</v>
      </c>
      <c r="F1861">
        <v>22</v>
      </c>
      <c r="G1861">
        <v>65</v>
      </c>
      <c r="H1861" t="s">
        <v>196</v>
      </c>
      <c r="I1861" t="s">
        <v>3490</v>
      </c>
      <c r="J1861" t="s">
        <v>2902</v>
      </c>
    </row>
    <row r="1862" spans="1:10" x14ac:dyDescent="0.25">
      <c r="A1862" t="s">
        <v>2243</v>
      </c>
      <c r="B1862" t="s">
        <v>75</v>
      </c>
      <c r="C1862">
        <v>8</v>
      </c>
      <c r="D1862" t="s">
        <v>3054</v>
      </c>
      <c r="E1862">
        <v>72</v>
      </c>
      <c r="F1862">
        <v>29</v>
      </c>
      <c r="G1862">
        <v>43</v>
      </c>
      <c r="H1862" t="s">
        <v>3494</v>
      </c>
      <c r="I1862" t="s">
        <v>3490</v>
      </c>
      <c r="J1862" t="s">
        <v>2961</v>
      </c>
    </row>
    <row r="1863" spans="1:10" x14ac:dyDescent="0.25">
      <c r="A1863" t="s">
        <v>2243</v>
      </c>
      <c r="B1863" t="s">
        <v>75</v>
      </c>
      <c r="C1863">
        <v>8</v>
      </c>
      <c r="D1863" t="s">
        <v>3056</v>
      </c>
      <c r="E1863">
        <v>57</v>
      </c>
      <c r="F1863">
        <v>17</v>
      </c>
      <c r="G1863">
        <v>40</v>
      </c>
      <c r="H1863" t="s">
        <v>3493</v>
      </c>
      <c r="I1863" t="s">
        <v>3490</v>
      </c>
      <c r="J1863" t="s">
        <v>2961</v>
      </c>
    </row>
    <row r="1864" spans="1:10" x14ac:dyDescent="0.25">
      <c r="A1864" t="s">
        <v>2243</v>
      </c>
      <c r="B1864" t="s">
        <v>75</v>
      </c>
      <c r="C1864">
        <v>8</v>
      </c>
      <c r="D1864" t="s">
        <v>3058</v>
      </c>
      <c r="E1864">
        <v>82</v>
      </c>
      <c r="F1864">
        <v>18</v>
      </c>
      <c r="G1864">
        <v>64</v>
      </c>
      <c r="H1864" t="s">
        <v>196</v>
      </c>
      <c r="I1864" t="s">
        <v>3490</v>
      </c>
      <c r="J1864" t="s">
        <v>2961</v>
      </c>
    </row>
    <row r="1865" spans="1:10" x14ac:dyDescent="0.25">
      <c r="A1865" t="s">
        <v>2243</v>
      </c>
      <c r="B1865" t="s">
        <v>75</v>
      </c>
      <c r="C1865">
        <v>8</v>
      </c>
      <c r="D1865" t="s">
        <v>3060</v>
      </c>
      <c r="E1865">
        <v>75</v>
      </c>
      <c r="F1865">
        <v>12</v>
      </c>
      <c r="G1865">
        <v>63</v>
      </c>
      <c r="H1865" t="s">
        <v>3494</v>
      </c>
      <c r="I1865" t="s">
        <v>3490</v>
      </c>
      <c r="J1865" t="s">
        <v>2961</v>
      </c>
    </row>
    <row r="1866" spans="1:10" x14ac:dyDescent="0.25">
      <c r="A1866" t="s">
        <v>2243</v>
      </c>
      <c r="B1866" t="s">
        <v>75</v>
      </c>
      <c r="C1866">
        <v>8</v>
      </c>
      <c r="D1866" t="s">
        <v>3062</v>
      </c>
      <c r="E1866">
        <v>35</v>
      </c>
      <c r="F1866">
        <v>15</v>
      </c>
      <c r="G1866">
        <v>20</v>
      </c>
      <c r="H1866" t="s">
        <v>3491</v>
      </c>
      <c r="I1866" t="s">
        <v>3492</v>
      </c>
      <c r="J1866" t="s">
        <v>2961</v>
      </c>
    </row>
    <row r="1867" spans="1:10" x14ac:dyDescent="0.25">
      <c r="A1867" t="s">
        <v>2249</v>
      </c>
      <c r="B1867" t="s">
        <v>63</v>
      </c>
      <c r="C1867">
        <v>8</v>
      </c>
      <c r="D1867" t="s">
        <v>3414</v>
      </c>
      <c r="E1867">
        <v>74</v>
      </c>
      <c r="F1867">
        <v>12</v>
      </c>
      <c r="G1867">
        <v>62</v>
      </c>
      <c r="H1867" t="s">
        <v>3494</v>
      </c>
      <c r="I1867" t="s">
        <v>3490</v>
      </c>
      <c r="J1867" t="s">
        <v>2932</v>
      </c>
    </row>
    <row r="1868" spans="1:10" x14ac:dyDescent="0.25">
      <c r="A1868" t="s">
        <v>2249</v>
      </c>
      <c r="B1868" t="s">
        <v>63</v>
      </c>
      <c r="C1868">
        <v>8</v>
      </c>
      <c r="D1868" t="s">
        <v>3416</v>
      </c>
      <c r="E1868">
        <v>45</v>
      </c>
      <c r="F1868">
        <v>14</v>
      </c>
      <c r="G1868">
        <v>31</v>
      </c>
      <c r="H1868" t="s">
        <v>3491</v>
      </c>
      <c r="I1868" t="s">
        <v>3492</v>
      </c>
      <c r="J1868" t="s">
        <v>2932</v>
      </c>
    </row>
    <row r="1869" spans="1:10" x14ac:dyDescent="0.25">
      <c r="A1869" t="s">
        <v>2249</v>
      </c>
      <c r="B1869" t="s">
        <v>63</v>
      </c>
      <c r="C1869">
        <v>8</v>
      </c>
      <c r="D1869" t="s">
        <v>3418</v>
      </c>
      <c r="E1869">
        <v>64</v>
      </c>
      <c r="F1869">
        <v>24</v>
      </c>
      <c r="G1869">
        <v>40</v>
      </c>
      <c r="H1869" t="s">
        <v>3489</v>
      </c>
      <c r="I1869" t="s">
        <v>3490</v>
      </c>
      <c r="J1869" t="s">
        <v>2932</v>
      </c>
    </row>
    <row r="1870" spans="1:10" x14ac:dyDescent="0.25">
      <c r="A1870" t="s">
        <v>2249</v>
      </c>
      <c r="B1870" t="s">
        <v>63</v>
      </c>
      <c r="C1870">
        <v>8</v>
      </c>
      <c r="D1870" t="s">
        <v>3420</v>
      </c>
      <c r="E1870">
        <v>70</v>
      </c>
      <c r="F1870">
        <v>28</v>
      </c>
      <c r="G1870">
        <v>42</v>
      </c>
      <c r="H1870" t="s">
        <v>3494</v>
      </c>
      <c r="I1870" t="s">
        <v>3490</v>
      </c>
      <c r="J1870" t="s">
        <v>2932</v>
      </c>
    </row>
    <row r="1871" spans="1:10" x14ac:dyDescent="0.25">
      <c r="A1871" t="s">
        <v>2249</v>
      </c>
      <c r="B1871" t="s">
        <v>63</v>
      </c>
      <c r="C1871">
        <v>8</v>
      </c>
      <c r="D1871" t="s">
        <v>3422</v>
      </c>
      <c r="E1871">
        <v>31</v>
      </c>
      <c r="F1871">
        <v>11</v>
      </c>
      <c r="G1871">
        <v>20</v>
      </c>
      <c r="H1871" t="s">
        <v>3491</v>
      </c>
      <c r="I1871" t="s">
        <v>3492</v>
      </c>
      <c r="J1871" t="s">
        <v>2932</v>
      </c>
    </row>
    <row r="1872" spans="1:10" x14ac:dyDescent="0.25">
      <c r="A1872" t="s">
        <v>2254</v>
      </c>
      <c r="B1872" t="s">
        <v>212</v>
      </c>
      <c r="C1872">
        <v>6</v>
      </c>
      <c r="D1872" t="s">
        <v>3474</v>
      </c>
      <c r="E1872">
        <v>61</v>
      </c>
      <c r="F1872">
        <v>15</v>
      </c>
      <c r="G1872">
        <v>46</v>
      </c>
      <c r="H1872" t="s">
        <v>3489</v>
      </c>
      <c r="I1872" t="s">
        <v>3490</v>
      </c>
      <c r="J1872" t="s">
        <v>3001</v>
      </c>
    </row>
    <row r="1873" spans="1:10" x14ac:dyDescent="0.25">
      <c r="A1873" t="s">
        <v>2254</v>
      </c>
      <c r="B1873" t="s">
        <v>212</v>
      </c>
      <c r="C1873">
        <v>6</v>
      </c>
      <c r="D1873" t="s">
        <v>3476</v>
      </c>
      <c r="E1873">
        <v>36</v>
      </c>
      <c r="F1873">
        <v>11</v>
      </c>
      <c r="G1873">
        <v>25</v>
      </c>
      <c r="H1873" t="s">
        <v>3491</v>
      </c>
      <c r="I1873" t="s">
        <v>3492</v>
      </c>
      <c r="J1873" t="s">
        <v>3001</v>
      </c>
    </row>
    <row r="1874" spans="1:10" x14ac:dyDescent="0.25">
      <c r="A1874" t="s">
        <v>2254</v>
      </c>
      <c r="B1874" t="s">
        <v>212</v>
      </c>
      <c r="C1874">
        <v>6</v>
      </c>
      <c r="D1874" t="s">
        <v>3478</v>
      </c>
      <c r="E1874">
        <v>47</v>
      </c>
      <c r="F1874">
        <v>20</v>
      </c>
      <c r="G1874">
        <v>27</v>
      </c>
      <c r="H1874" t="s">
        <v>3491</v>
      </c>
      <c r="I1874" t="s">
        <v>3492</v>
      </c>
      <c r="J1874" t="s">
        <v>3001</v>
      </c>
    </row>
    <row r="1875" spans="1:10" x14ac:dyDescent="0.25">
      <c r="A1875" t="s">
        <v>2254</v>
      </c>
      <c r="B1875" t="s">
        <v>212</v>
      </c>
      <c r="C1875">
        <v>6</v>
      </c>
      <c r="D1875" t="s">
        <v>3480</v>
      </c>
      <c r="E1875">
        <v>53</v>
      </c>
      <c r="F1875">
        <v>20</v>
      </c>
      <c r="G1875">
        <v>33</v>
      </c>
      <c r="H1875" t="s">
        <v>3493</v>
      </c>
      <c r="I1875" t="s">
        <v>3490</v>
      </c>
      <c r="J1875" t="s">
        <v>3001</v>
      </c>
    </row>
    <row r="1876" spans="1:10" x14ac:dyDescent="0.25">
      <c r="A1876" t="s">
        <v>2254</v>
      </c>
      <c r="B1876" t="s">
        <v>212</v>
      </c>
      <c r="C1876">
        <v>6</v>
      </c>
      <c r="D1876" t="s">
        <v>3482</v>
      </c>
      <c r="E1876">
        <v>57</v>
      </c>
      <c r="F1876">
        <v>15</v>
      </c>
      <c r="G1876">
        <v>42</v>
      </c>
      <c r="H1876" t="s">
        <v>3493</v>
      </c>
      <c r="I1876" t="s">
        <v>3490</v>
      </c>
      <c r="J1876" t="s">
        <v>3001</v>
      </c>
    </row>
    <row r="1877" spans="1:10" x14ac:dyDescent="0.25">
      <c r="A1877" t="s">
        <v>2259</v>
      </c>
      <c r="B1877" t="s">
        <v>122</v>
      </c>
      <c r="C1877">
        <v>8</v>
      </c>
      <c r="D1877" t="s">
        <v>3294</v>
      </c>
      <c r="E1877">
        <v>93</v>
      </c>
      <c r="F1877">
        <v>30</v>
      </c>
      <c r="G1877">
        <v>63</v>
      </c>
      <c r="H1877" t="s">
        <v>3495</v>
      </c>
      <c r="I1877" t="s">
        <v>3490</v>
      </c>
      <c r="J1877" t="s">
        <v>2919</v>
      </c>
    </row>
    <row r="1878" spans="1:10" x14ac:dyDescent="0.25">
      <c r="A1878" t="s">
        <v>2259</v>
      </c>
      <c r="B1878" t="s">
        <v>122</v>
      </c>
      <c r="C1878">
        <v>8</v>
      </c>
      <c r="D1878" t="s">
        <v>3296</v>
      </c>
      <c r="E1878">
        <v>64</v>
      </c>
      <c r="F1878">
        <v>28</v>
      </c>
      <c r="G1878">
        <v>36</v>
      </c>
      <c r="H1878" t="s">
        <v>3489</v>
      </c>
      <c r="I1878" t="s">
        <v>3490</v>
      </c>
      <c r="J1878" t="s">
        <v>2919</v>
      </c>
    </row>
    <row r="1879" spans="1:10" x14ac:dyDescent="0.25">
      <c r="A1879" t="s">
        <v>2259</v>
      </c>
      <c r="B1879" t="s">
        <v>122</v>
      </c>
      <c r="C1879">
        <v>8</v>
      </c>
      <c r="D1879" t="s">
        <v>3298</v>
      </c>
      <c r="E1879">
        <v>84</v>
      </c>
      <c r="F1879">
        <v>24</v>
      </c>
      <c r="G1879">
        <v>60</v>
      </c>
      <c r="H1879" t="s">
        <v>196</v>
      </c>
      <c r="I1879" t="s">
        <v>3490</v>
      </c>
      <c r="J1879" t="s">
        <v>2919</v>
      </c>
    </row>
    <row r="1880" spans="1:10" x14ac:dyDescent="0.25">
      <c r="A1880" t="s">
        <v>2259</v>
      </c>
      <c r="B1880" t="s">
        <v>122</v>
      </c>
      <c r="C1880">
        <v>8</v>
      </c>
      <c r="D1880" t="s">
        <v>3300</v>
      </c>
      <c r="E1880">
        <v>70</v>
      </c>
      <c r="F1880">
        <v>29</v>
      </c>
      <c r="G1880">
        <v>41</v>
      </c>
      <c r="H1880" t="s">
        <v>3494</v>
      </c>
      <c r="I1880" t="s">
        <v>3490</v>
      </c>
      <c r="J1880" t="s">
        <v>2919</v>
      </c>
    </row>
    <row r="1881" spans="1:10" x14ac:dyDescent="0.25">
      <c r="A1881" t="s">
        <v>2259</v>
      </c>
      <c r="B1881" t="s">
        <v>122</v>
      </c>
      <c r="C1881">
        <v>8</v>
      </c>
      <c r="D1881" t="s">
        <v>3302</v>
      </c>
      <c r="E1881">
        <v>59</v>
      </c>
      <c r="F1881">
        <v>11</v>
      </c>
      <c r="G1881">
        <v>48</v>
      </c>
      <c r="H1881" t="s">
        <v>3493</v>
      </c>
      <c r="I1881" t="s">
        <v>3490</v>
      </c>
      <c r="J1881" t="s">
        <v>2919</v>
      </c>
    </row>
    <row r="1882" spans="1:10" x14ac:dyDescent="0.25">
      <c r="A1882" t="s">
        <v>2263</v>
      </c>
      <c r="B1882" t="s">
        <v>30</v>
      </c>
      <c r="C1882">
        <v>6</v>
      </c>
      <c r="D1882" t="s">
        <v>3354</v>
      </c>
      <c r="E1882">
        <v>41</v>
      </c>
      <c r="F1882">
        <v>19</v>
      </c>
      <c r="G1882">
        <v>22</v>
      </c>
      <c r="H1882" t="s">
        <v>3491</v>
      </c>
      <c r="I1882" t="s">
        <v>3492</v>
      </c>
      <c r="J1882" t="s">
        <v>2895</v>
      </c>
    </row>
    <row r="1883" spans="1:10" x14ac:dyDescent="0.25">
      <c r="A1883" t="s">
        <v>2263</v>
      </c>
      <c r="B1883" t="s">
        <v>30</v>
      </c>
      <c r="C1883">
        <v>6</v>
      </c>
      <c r="D1883" t="s">
        <v>3356</v>
      </c>
      <c r="E1883">
        <v>51</v>
      </c>
      <c r="F1883">
        <v>25</v>
      </c>
      <c r="G1883">
        <v>26</v>
      </c>
      <c r="H1883" t="s">
        <v>3493</v>
      </c>
      <c r="I1883" t="s">
        <v>3490</v>
      </c>
      <c r="J1883" t="s">
        <v>2895</v>
      </c>
    </row>
    <row r="1884" spans="1:10" x14ac:dyDescent="0.25">
      <c r="A1884" t="s">
        <v>2263</v>
      </c>
      <c r="B1884" t="s">
        <v>30</v>
      </c>
      <c r="C1884">
        <v>6</v>
      </c>
      <c r="D1884" t="s">
        <v>3358</v>
      </c>
      <c r="E1884">
        <v>89</v>
      </c>
      <c r="F1884">
        <v>24</v>
      </c>
      <c r="G1884">
        <v>65</v>
      </c>
      <c r="H1884" t="s">
        <v>196</v>
      </c>
      <c r="I1884" t="s">
        <v>3490</v>
      </c>
      <c r="J1884" t="s">
        <v>2895</v>
      </c>
    </row>
    <row r="1885" spans="1:10" x14ac:dyDescent="0.25">
      <c r="A1885" t="s">
        <v>2263</v>
      </c>
      <c r="B1885" t="s">
        <v>30</v>
      </c>
      <c r="C1885">
        <v>6</v>
      </c>
      <c r="D1885" t="s">
        <v>3360</v>
      </c>
      <c r="E1885">
        <v>44</v>
      </c>
      <c r="F1885">
        <v>16</v>
      </c>
      <c r="G1885">
        <v>28</v>
      </c>
      <c r="H1885" t="s">
        <v>3491</v>
      </c>
      <c r="I1885" t="s">
        <v>3492</v>
      </c>
      <c r="J1885" t="s">
        <v>2895</v>
      </c>
    </row>
    <row r="1886" spans="1:10" x14ac:dyDescent="0.25">
      <c r="A1886" t="s">
        <v>2263</v>
      </c>
      <c r="B1886" t="s">
        <v>30</v>
      </c>
      <c r="C1886">
        <v>6</v>
      </c>
      <c r="D1886" t="s">
        <v>3362</v>
      </c>
      <c r="E1886">
        <v>82</v>
      </c>
      <c r="F1886">
        <v>24</v>
      </c>
      <c r="G1886">
        <v>58</v>
      </c>
      <c r="H1886" t="s">
        <v>196</v>
      </c>
      <c r="I1886" t="s">
        <v>3490</v>
      </c>
      <c r="J1886" t="s">
        <v>2895</v>
      </c>
    </row>
    <row r="1887" spans="1:10" x14ac:dyDescent="0.25">
      <c r="A1887" t="s">
        <v>2267</v>
      </c>
      <c r="B1887" t="s">
        <v>122</v>
      </c>
      <c r="C1887">
        <v>8</v>
      </c>
      <c r="D1887" t="s">
        <v>3294</v>
      </c>
      <c r="E1887">
        <v>50</v>
      </c>
      <c r="F1887">
        <v>27</v>
      </c>
      <c r="G1887">
        <v>23</v>
      </c>
      <c r="H1887" t="s">
        <v>3493</v>
      </c>
      <c r="I1887" t="s">
        <v>3490</v>
      </c>
      <c r="J1887" t="s">
        <v>2919</v>
      </c>
    </row>
    <row r="1888" spans="1:10" x14ac:dyDescent="0.25">
      <c r="A1888" t="s">
        <v>2267</v>
      </c>
      <c r="B1888" t="s">
        <v>122</v>
      </c>
      <c r="C1888">
        <v>8</v>
      </c>
      <c r="D1888" t="s">
        <v>3296</v>
      </c>
      <c r="E1888">
        <v>86</v>
      </c>
      <c r="F1888">
        <v>21</v>
      </c>
      <c r="G1888">
        <v>65</v>
      </c>
      <c r="H1888" t="s">
        <v>196</v>
      </c>
      <c r="I1888" t="s">
        <v>3490</v>
      </c>
      <c r="J1888" t="s">
        <v>2919</v>
      </c>
    </row>
    <row r="1889" spans="1:10" x14ac:dyDescent="0.25">
      <c r="A1889" t="s">
        <v>2267</v>
      </c>
      <c r="B1889" t="s">
        <v>122</v>
      </c>
      <c r="C1889">
        <v>8</v>
      </c>
      <c r="D1889" t="s">
        <v>3298</v>
      </c>
      <c r="E1889">
        <v>91</v>
      </c>
      <c r="F1889">
        <v>28</v>
      </c>
      <c r="G1889">
        <v>63</v>
      </c>
      <c r="H1889" t="s">
        <v>3495</v>
      </c>
      <c r="I1889" t="s">
        <v>3490</v>
      </c>
      <c r="J1889" t="s">
        <v>2919</v>
      </c>
    </row>
    <row r="1890" spans="1:10" x14ac:dyDescent="0.25">
      <c r="A1890" t="s">
        <v>2267</v>
      </c>
      <c r="B1890" t="s">
        <v>122</v>
      </c>
      <c r="C1890">
        <v>8</v>
      </c>
      <c r="D1890" t="s">
        <v>3300</v>
      </c>
      <c r="E1890">
        <v>82</v>
      </c>
      <c r="F1890">
        <v>21</v>
      </c>
      <c r="G1890">
        <v>61</v>
      </c>
      <c r="H1890" t="s">
        <v>196</v>
      </c>
      <c r="I1890" t="s">
        <v>3490</v>
      </c>
      <c r="J1890" t="s">
        <v>2919</v>
      </c>
    </row>
    <row r="1891" spans="1:10" x14ac:dyDescent="0.25">
      <c r="A1891" t="s">
        <v>2267</v>
      </c>
      <c r="B1891" t="s">
        <v>122</v>
      </c>
      <c r="C1891">
        <v>8</v>
      </c>
      <c r="D1891" t="s">
        <v>3302</v>
      </c>
      <c r="E1891">
        <v>44</v>
      </c>
      <c r="F1891">
        <v>10</v>
      </c>
      <c r="G1891">
        <v>34</v>
      </c>
      <c r="H1891" t="s">
        <v>3491</v>
      </c>
      <c r="I1891" t="s">
        <v>3492</v>
      </c>
      <c r="J1891" t="s">
        <v>2919</v>
      </c>
    </row>
    <row r="1892" spans="1:10" x14ac:dyDescent="0.25">
      <c r="A1892" t="s">
        <v>2272</v>
      </c>
      <c r="B1892" t="s">
        <v>30</v>
      </c>
      <c r="C1892">
        <v>4</v>
      </c>
      <c r="D1892" t="s">
        <v>3334</v>
      </c>
      <c r="E1892">
        <v>35</v>
      </c>
      <c r="F1892">
        <v>12</v>
      </c>
      <c r="G1892">
        <v>23</v>
      </c>
      <c r="H1892" t="s">
        <v>3491</v>
      </c>
      <c r="I1892" t="s">
        <v>3492</v>
      </c>
      <c r="J1892" t="s">
        <v>2895</v>
      </c>
    </row>
    <row r="1893" spans="1:10" x14ac:dyDescent="0.25">
      <c r="A1893" t="s">
        <v>2272</v>
      </c>
      <c r="B1893" t="s">
        <v>30</v>
      </c>
      <c r="C1893">
        <v>4</v>
      </c>
      <c r="D1893" t="s">
        <v>3336</v>
      </c>
      <c r="E1893">
        <v>55</v>
      </c>
      <c r="F1893">
        <v>10</v>
      </c>
      <c r="G1893">
        <v>45</v>
      </c>
      <c r="H1893" t="s">
        <v>3493</v>
      </c>
      <c r="I1893" t="s">
        <v>3490</v>
      </c>
      <c r="J1893" t="s">
        <v>2895</v>
      </c>
    </row>
    <row r="1894" spans="1:10" x14ac:dyDescent="0.25">
      <c r="A1894" t="s">
        <v>2272</v>
      </c>
      <c r="B1894" t="s">
        <v>30</v>
      </c>
      <c r="C1894">
        <v>4</v>
      </c>
      <c r="D1894" t="s">
        <v>3338</v>
      </c>
      <c r="E1894">
        <v>82</v>
      </c>
      <c r="F1894">
        <v>19</v>
      </c>
      <c r="G1894">
        <v>63</v>
      </c>
      <c r="H1894" t="s">
        <v>196</v>
      </c>
      <c r="I1894" t="s">
        <v>3490</v>
      </c>
      <c r="J1894" t="s">
        <v>2895</v>
      </c>
    </row>
    <row r="1895" spans="1:10" x14ac:dyDescent="0.25">
      <c r="A1895" t="s">
        <v>2272</v>
      </c>
      <c r="B1895" t="s">
        <v>30</v>
      </c>
      <c r="C1895">
        <v>4</v>
      </c>
      <c r="D1895" t="s">
        <v>3340</v>
      </c>
      <c r="E1895">
        <v>62</v>
      </c>
      <c r="F1895">
        <v>29</v>
      </c>
      <c r="G1895">
        <v>33</v>
      </c>
      <c r="H1895" t="s">
        <v>3489</v>
      </c>
      <c r="I1895" t="s">
        <v>3490</v>
      </c>
      <c r="J1895" t="s">
        <v>2895</v>
      </c>
    </row>
    <row r="1896" spans="1:10" x14ac:dyDescent="0.25">
      <c r="A1896" t="s">
        <v>2272</v>
      </c>
      <c r="B1896" t="s">
        <v>30</v>
      </c>
      <c r="C1896">
        <v>4</v>
      </c>
      <c r="D1896" t="s">
        <v>3342</v>
      </c>
      <c r="E1896">
        <v>88</v>
      </c>
      <c r="F1896">
        <v>19</v>
      </c>
      <c r="G1896">
        <v>69</v>
      </c>
      <c r="H1896" t="s">
        <v>196</v>
      </c>
      <c r="I1896" t="s">
        <v>3490</v>
      </c>
      <c r="J1896" t="s">
        <v>2895</v>
      </c>
    </row>
    <row r="1897" spans="1:10" x14ac:dyDescent="0.25">
      <c r="A1897" t="s">
        <v>2277</v>
      </c>
      <c r="B1897" t="s">
        <v>30</v>
      </c>
      <c r="C1897">
        <v>4</v>
      </c>
      <c r="D1897" t="s">
        <v>3334</v>
      </c>
      <c r="E1897">
        <v>43</v>
      </c>
      <c r="F1897">
        <v>10</v>
      </c>
      <c r="G1897">
        <v>33</v>
      </c>
      <c r="H1897" t="s">
        <v>3491</v>
      </c>
      <c r="I1897" t="s">
        <v>3492</v>
      </c>
      <c r="J1897" t="s">
        <v>2895</v>
      </c>
    </row>
    <row r="1898" spans="1:10" x14ac:dyDescent="0.25">
      <c r="A1898" t="s">
        <v>2277</v>
      </c>
      <c r="B1898" t="s">
        <v>30</v>
      </c>
      <c r="C1898">
        <v>4</v>
      </c>
      <c r="D1898" t="s">
        <v>3336</v>
      </c>
      <c r="E1898">
        <v>55</v>
      </c>
      <c r="F1898">
        <v>28</v>
      </c>
      <c r="G1898">
        <v>27</v>
      </c>
      <c r="H1898" t="s">
        <v>3493</v>
      </c>
      <c r="I1898" t="s">
        <v>3490</v>
      </c>
      <c r="J1898" t="s">
        <v>2895</v>
      </c>
    </row>
    <row r="1899" spans="1:10" x14ac:dyDescent="0.25">
      <c r="A1899" t="s">
        <v>2277</v>
      </c>
      <c r="B1899" t="s">
        <v>30</v>
      </c>
      <c r="C1899">
        <v>4</v>
      </c>
      <c r="D1899" t="s">
        <v>3338</v>
      </c>
      <c r="E1899">
        <v>47</v>
      </c>
      <c r="F1899">
        <v>10</v>
      </c>
      <c r="G1899">
        <v>37</v>
      </c>
      <c r="H1899" t="s">
        <v>3491</v>
      </c>
      <c r="I1899" t="s">
        <v>3492</v>
      </c>
      <c r="J1899" t="s">
        <v>2895</v>
      </c>
    </row>
    <row r="1900" spans="1:10" x14ac:dyDescent="0.25">
      <c r="A1900" t="s">
        <v>2277</v>
      </c>
      <c r="B1900" t="s">
        <v>30</v>
      </c>
      <c r="C1900">
        <v>4</v>
      </c>
      <c r="D1900" t="s">
        <v>3340</v>
      </c>
      <c r="E1900">
        <v>49</v>
      </c>
      <c r="F1900">
        <v>21</v>
      </c>
      <c r="G1900">
        <v>28</v>
      </c>
      <c r="H1900" t="s">
        <v>3491</v>
      </c>
      <c r="I1900" t="s">
        <v>3492</v>
      </c>
      <c r="J1900" t="s">
        <v>2895</v>
      </c>
    </row>
    <row r="1901" spans="1:10" x14ac:dyDescent="0.25">
      <c r="A1901" t="s">
        <v>2277</v>
      </c>
      <c r="B1901" t="s">
        <v>30</v>
      </c>
      <c r="C1901">
        <v>4</v>
      </c>
      <c r="D1901" t="s">
        <v>3342</v>
      </c>
      <c r="E1901">
        <v>44</v>
      </c>
      <c r="F1901">
        <v>11</v>
      </c>
      <c r="G1901">
        <v>33</v>
      </c>
      <c r="H1901" t="s">
        <v>3491</v>
      </c>
      <c r="I1901" t="s">
        <v>3492</v>
      </c>
      <c r="J1901" t="s">
        <v>2895</v>
      </c>
    </row>
    <row r="1902" spans="1:10" x14ac:dyDescent="0.25">
      <c r="A1902" t="s">
        <v>2281</v>
      </c>
      <c r="B1902" t="s">
        <v>122</v>
      </c>
      <c r="C1902">
        <v>4</v>
      </c>
      <c r="D1902" t="s">
        <v>3274</v>
      </c>
      <c r="E1902">
        <v>45</v>
      </c>
      <c r="F1902">
        <v>23</v>
      </c>
      <c r="G1902">
        <v>22</v>
      </c>
      <c r="H1902" t="s">
        <v>3491</v>
      </c>
      <c r="I1902" t="s">
        <v>3492</v>
      </c>
      <c r="J1902" t="s">
        <v>2919</v>
      </c>
    </row>
    <row r="1903" spans="1:10" x14ac:dyDescent="0.25">
      <c r="A1903" t="s">
        <v>2281</v>
      </c>
      <c r="B1903" t="s">
        <v>122</v>
      </c>
      <c r="C1903">
        <v>4</v>
      </c>
      <c r="D1903" t="s">
        <v>3276</v>
      </c>
      <c r="E1903">
        <v>85</v>
      </c>
      <c r="F1903">
        <v>26</v>
      </c>
      <c r="G1903">
        <v>59</v>
      </c>
      <c r="H1903" t="s">
        <v>196</v>
      </c>
      <c r="I1903" t="s">
        <v>3490</v>
      </c>
      <c r="J1903" t="s">
        <v>2919</v>
      </c>
    </row>
    <row r="1904" spans="1:10" x14ac:dyDescent="0.25">
      <c r="A1904" t="s">
        <v>2281</v>
      </c>
      <c r="B1904" t="s">
        <v>122</v>
      </c>
      <c r="C1904">
        <v>4</v>
      </c>
      <c r="D1904" t="s">
        <v>3278</v>
      </c>
      <c r="E1904">
        <v>43</v>
      </c>
      <c r="F1904">
        <v>19</v>
      </c>
      <c r="G1904">
        <v>24</v>
      </c>
      <c r="H1904" t="s">
        <v>3491</v>
      </c>
      <c r="I1904" t="s">
        <v>3492</v>
      </c>
      <c r="J1904" t="s">
        <v>2919</v>
      </c>
    </row>
    <row r="1905" spans="1:10" x14ac:dyDescent="0.25">
      <c r="A1905" t="s">
        <v>2281</v>
      </c>
      <c r="B1905" t="s">
        <v>122</v>
      </c>
      <c r="C1905">
        <v>4</v>
      </c>
      <c r="D1905" t="s">
        <v>3280</v>
      </c>
      <c r="E1905">
        <v>66</v>
      </c>
      <c r="F1905">
        <v>12</v>
      </c>
      <c r="G1905">
        <v>54</v>
      </c>
      <c r="H1905" t="s">
        <v>3489</v>
      </c>
      <c r="I1905" t="s">
        <v>3490</v>
      </c>
      <c r="J1905" t="s">
        <v>2919</v>
      </c>
    </row>
    <row r="1906" spans="1:10" x14ac:dyDescent="0.25">
      <c r="A1906" t="s">
        <v>2281</v>
      </c>
      <c r="B1906" t="s">
        <v>122</v>
      </c>
      <c r="C1906">
        <v>4</v>
      </c>
      <c r="D1906" t="s">
        <v>3282</v>
      </c>
      <c r="E1906">
        <v>79</v>
      </c>
      <c r="F1906">
        <v>19</v>
      </c>
      <c r="G1906">
        <v>60</v>
      </c>
      <c r="H1906" t="s">
        <v>3494</v>
      </c>
      <c r="I1906" t="s">
        <v>3490</v>
      </c>
      <c r="J1906" t="s">
        <v>2919</v>
      </c>
    </row>
    <row r="1907" spans="1:10" x14ac:dyDescent="0.25">
      <c r="A1907" t="s">
        <v>2286</v>
      </c>
      <c r="B1907" t="s">
        <v>105</v>
      </c>
      <c r="C1907">
        <v>8</v>
      </c>
      <c r="D1907" t="s">
        <v>3174</v>
      </c>
      <c r="E1907">
        <v>55</v>
      </c>
      <c r="F1907">
        <v>29</v>
      </c>
      <c r="G1907">
        <v>26</v>
      </c>
      <c r="H1907" t="s">
        <v>3493</v>
      </c>
      <c r="I1907" t="s">
        <v>3490</v>
      </c>
      <c r="J1907" t="s">
        <v>2908</v>
      </c>
    </row>
    <row r="1908" spans="1:10" x14ac:dyDescent="0.25">
      <c r="A1908" t="s">
        <v>2286</v>
      </c>
      <c r="B1908" t="s">
        <v>105</v>
      </c>
      <c r="C1908">
        <v>8</v>
      </c>
      <c r="D1908" t="s">
        <v>3176</v>
      </c>
      <c r="E1908">
        <v>78</v>
      </c>
      <c r="F1908">
        <v>17</v>
      </c>
      <c r="G1908">
        <v>61</v>
      </c>
      <c r="H1908" t="s">
        <v>3494</v>
      </c>
      <c r="I1908" t="s">
        <v>3490</v>
      </c>
      <c r="J1908" t="s">
        <v>2908</v>
      </c>
    </row>
    <row r="1909" spans="1:10" x14ac:dyDescent="0.25">
      <c r="A1909" t="s">
        <v>2286</v>
      </c>
      <c r="B1909" t="s">
        <v>105</v>
      </c>
      <c r="C1909">
        <v>8</v>
      </c>
      <c r="D1909" t="s">
        <v>3178</v>
      </c>
      <c r="E1909">
        <v>79</v>
      </c>
      <c r="F1909">
        <v>20</v>
      </c>
      <c r="G1909">
        <v>59</v>
      </c>
      <c r="H1909" t="s">
        <v>3494</v>
      </c>
      <c r="I1909" t="s">
        <v>3490</v>
      </c>
      <c r="J1909" t="s">
        <v>2908</v>
      </c>
    </row>
    <row r="1910" spans="1:10" x14ac:dyDescent="0.25">
      <c r="A1910" t="s">
        <v>2286</v>
      </c>
      <c r="B1910" t="s">
        <v>105</v>
      </c>
      <c r="C1910">
        <v>8</v>
      </c>
      <c r="D1910" t="s">
        <v>3180</v>
      </c>
      <c r="E1910">
        <v>60</v>
      </c>
      <c r="F1910">
        <v>29</v>
      </c>
      <c r="G1910">
        <v>31</v>
      </c>
      <c r="H1910" t="s">
        <v>3489</v>
      </c>
      <c r="I1910" t="s">
        <v>3490</v>
      </c>
      <c r="J1910" t="s">
        <v>2908</v>
      </c>
    </row>
    <row r="1911" spans="1:10" x14ac:dyDescent="0.25">
      <c r="A1911" t="s">
        <v>2286</v>
      </c>
      <c r="B1911" t="s">
        <v>105</v>
      </c>
      <c r="C1911">
        <v>8</v>
      </c>
      <c r="D1911" t="s">
        <v>3182</v>
      </c>
      <c r="E1911">
        <v>69</v>
      </c>
      <c r="F1911">
        <v>27</v>
      </c>
      <c r="G1911">
        <v>42</v>
      </c>
      <c r="H1911" t="s">
        <v>3489</v>
      </c>
      <c r="I1911" t="s">
        <v>3490</v>
      </c>
      <c r="J1911" t="s">
        <v>2908</v>
      </c>
    </row>
    <row r="1912" spans="1:10" x14ac:dyDescent="0.25">
      <c r="A1912" t="s">
        <v>2291</v>
      </c>
      <c r="B1912" t="s">
        <v>95</v>
      </c>
      <c r="C1912">
        <v>8</v>
      </c>
      <c r="D1912" t="s">
        <v>3234</v>
      </c>
      <c r="E1912">
        <v>89</v>
      </c>
      <c r="F1912">
        <v>21</v>
      </c>
      <c r="G1912">
        <v>68</v>
      </c>
      <c r="H1912" t="s">
        <v>196</v>
      </c>
      <c r="I1912" t="s">
        <v>3490</v>
      </c>
      <c r="J1912" t="s">
        <v>2889</v>
      </c>
    </row>
    <row r="1913" spans="1:10" x14ac:dyDescent="0.25">
      <c r="A1913" t="s">
        <v>2291</v>
      </c>
      <c r="B1913" t="s">
        <v>95</v>
      </c>
      <c r="C1913">
        <v>8</v>
      </c>
      <c r="D1913" t="s">
        <v>3236</v>
      </c>
      <c r="E1913">
        <v>60</v>
      </c>
      <c r="F1913">
        <v>17</v>
      </c>
      <c r="G1913">
        <v>43</v>
      </c>
      <c r="H1913" t="s">
        <v>3489</v>
      </c>
      <c r="I1913" t="s">
        <v>3490</v>
      </c>
      <c r="J1913" t="s">
        <v>2889</v>
      </c>
    </row>
    <row r="1914" spans="1:10" x14ac:dyDescent="0.25">
      <c r="A1914" t="s">
        <v>2291</v>
      </c>
      <c r="B1914" t="s">
        <v>95</v>
      </c>
      <c r="C1914">
        <v>8</v>
      </c>
      <c r="D1914" t="s">
        <v>3238</v>
      </c>
      <c r="E1914">
        <v>69</v>
      </c>
      <c r="F1914">
        <v>28</v>
      </c>
      <c r="G1914">
        <v>41</v>
      </c>
      <c r="H1914" t="s">
        <v>3489</v>
      </c>
      <c r="I1914" t="s">
        <v>3490</v>
      </c>
      <c r="J1914" t="s">
        <v>2889</v>
      </c>
    </row>
    <row r="1915" spans="1:10" x14ac:dyDescent="0.25">
      <c r="A1915" t="s">
        <v>2291</v>
      </c>
      <c r="B1915" t="s">
        <v>95</v>
      </c>
      <c r="C1915">
        <v>8</v>
      </c>
      <c r="D1915" t="s">
        <v>3240</v>
      </c>
      <c r="E1915">
        <v>36</v>
      </c>
      <c r="F1915">
        <v>14</v>
      </c>
      <c r="G1915">
        <v>22</v>
      </c>
      <c r="H1915" t="s">
        <v>3491</v>
      </c>
      <c r="I1915" t="s">
        <v>3492</v>
      </c>
      <c r="J1915" t="s">
        <v>2889</v>
      </c>
    </row>
    <row r="1916" spans="1:10" x14ac:dyDescent="0.25">
      <c r="A1916" t="s">
        <v>2291</v>
      </c>
      <c r="B1916" t="s">
        <v>95</v>
      </c>
      <c r="C1916">
        <v>8</v>
      </c>
      <c r="D1916" t="s">
        <v>3242</v>
      </c>
      <c r="E1916">
        <v>65</v>
      </c>
      <c r="F1916">
        <v>21</v>
      </c>
      <c r="G1916">
        <v>44</v>
      </c>
      <c r="H1916" t="s">
        <v>3489</v>
      </c>
      <c r="I1916" t="s">
        <v>3490</v>
      </c>
      <c r="J1916" t="s">
        <v>2889</v>
      </c>
    </row>
    <row r="1917" spans="1:10" x14ac:dyDescent="0.25">
      <c r="A1917" t="s">
        <v>2296</v>
      </c>
      <c r="B1917" t="s">
        <v>30</v>
      </c>
      <c r="C1917">
        <v>8</v>
      </c>
      <c r="D1917" t="s">
        <v>3354</v>
      </c>
      <c r="E1917">
        <v>34</v>
      </c>
      <c r="F1917">
        <v>12</v>
      </c>
      <c r="G1917">
        <v>22</v>
      </c>
      <c r="H1917" t="s">
        <v>3491</v>
      </c>
      <c r="I1917" t="s">
        <v>3492</v>
      </c>
      <c r="J1917" t="s">
        <v>2895</v>
      </c>
    </row>
    <row r="1918" spans="1:10" x14ac:dyDescent="0.25">
      <c r="A1918" t="s">
        <v>2296</v>
      </c>
      <c r="B1918" t="s">
        <v>30</v>
      </c>
      <c r="C1918">
        <v>8</v>
      </c>
      <c r="D1918" t="s">
        <v>3356</v>
      </c>
      <c r="E1918">
        <v>57</v>
      </c>
      <c r="F1918">
        <v>11</v>
      </c>
      <c r="G1918">
        <v>46</v>
      </c>
      <c r="H1918" t="s">
        <v>3493</v>
      </c>
      <c r="I1918" t="s">
        <v>3490</v>
      </c>
      <c r="J1918" t="s">
        <v>2895</v>
      </c>
    </row>
    <row r="1919" spans="1:10" x14ac:dyDescent="0.25">
      <c r="A1919" t="s">
        <v>2296</v>
      </c>
      <c r="B1919" t="s">
        <v>30</v>
      </c>
      <c r="C1919">
        <v>8</v>
      </c>
      <c r="D1919" t="s">
        <v>3358</v>
      </c>
      <c r="E1919">
        <v>81</v>
      </c>
      <c r="F1919">
        <v>25</v>
      </c>
      <c r="G1919">
        <v>56</v>
      </c>
      <c r="H1919" t="s">
        <v>196</v>
      </c>
      <c r="I1919" t="s">
        <v>3490</v>
      </c>
      <c r="J1919" t="s">
        <v>2895</v>
      </c>
    </row>
    <row r="1920" spans="1:10" x14ac:dyDescent="0.25">
      <c r="A1920" t="s">
        <v>2296</v>
      </c>
      <c r="B1920" t="s">
        <v>30</v>
      </c>
      <c r="C1920">
        <v>8</v>
      </c>
      <c r="D1920" t="s">
        <v>3360</v>
      </c>
      <c r="E1920">
        <v>48</v>
      </c>
      <c r="F1920">
        <v>28</v>
      </c>
      <c r="G1920">
        <v>20</v>
      </c>
      <c r="H1920" t="s">
        <v>3491</v>
      </c>
      <c r="I1920" t="s">
        <v>3492</v>
      </c>
      <c r="J1920" t="s">
        <v>2895</v>
      </c>
    </row>
    <row r="1921" spans="1:10" x14ac:dyDescent="0.25">
      <c r="A1921" t="s">
        <v>2296</v>
      </c>
      <c r="B1921" t="s">
        <v>30</v>
      </c>
      <c r="C1921">
        <v>8</v>
      </c>
      <c r="D1921" t="s">
        <v>3362</v>
      </c>
      <c r="E1921">
        <v>51</v>
      </c>
      <c r="F1921">
        <v>30</v>
      </c>
      <c r="G1921">
        <v>21</v>
      </c>
      <c r="H1921" t="s">
        <v>3493</v>
      </c>
      <c r="I1921" t="s">
        <v>3490</v>
      </c>
      <c r="J1921" t="s">
        <v>2895</v>
      </c>
    </row>
    <row r="1922" spans="1:10" x14ac:dyDescent="0.25">
      <c r="A1922" t="s">
        <v>2301</v>
      </c>
      <c r="B1922" t="s">
        <v>63</v>
      </c>
      <c r="C1922">
        <v>8</v>
      </c>
      <c r="D1922" t="s">
        <v>3414</v>
      </c>
      <c r="E1922">
        <v>78</v>
      </c>
      <c r="F1922">
        <v>22</v>
      </c>
      <c r="G1922">
        <v>56</v>
      </c>
      <c r="H1922" t="s">
        <v>3494</v>
      </c>
      <c r="I1922" t="s">
        <v>3490</v>
      </c>
      <c r="J1922" t="s">
        <v>2932</v>
      </c>
    </row>
    <row r="1923" spans="1:10" x14ac:dyDescent="0.25">
      <c r="A1923" t="s">
        <v>2301</v>
      </c>
      <c r="B1923" t="s">
        <v>63</v>
      </c>
      <c r="C1923">
        <v>8</v>
      </c>
      <c r="D1923" t="s">
        <v>3416</v>
      </c>
      <c r="E1923">
        <v>78</v>
      </c>
      <c r="F1923">
        <v>23</v>
      </c>
      <c r="G1923">
        <v>55</v>
      </c>
      <c r="H1923" t="s">
        <v>3494</v>
      </c>
      <c r="I1923" t="s">
        <v>3490</v>
      </c>
      <c r="J1923" t="s">
        <v>2932</v>
      </c>
    </row>
    <row r="1924" spans="1:10" x14ac:dyDescent="0.25">
      <c r="A1924" t="s">
        <v>2301</v>
      </c>
      <c r="B1924" t="s">
        <v>63</v>
      </c>
      <c r="C1924">
        <v>8</v>
      </c>
      <c r="D1924" t="s">
        <v>3418</v>
      </c>
      <c r="E1924">
        <v>35</v>
      </c>
      <c r="F1924">
        <v>11</v>
      </c>
      <c r="G1924">
        <v>24</v>
      </c>
      <c r="H1924" t="s">
        <v>3491</v>
      </c>
      <c r="I1924" t="s">
        <v>3492</v>
      </c>
      <c r="J1924" t="s">
        <v>2932</v>
      </c>
    </row>
    <row r="1925" spans="1:10" x14ac:dyDescent="0.25">
      <c r="A1925" t="s">
        <v>2301</v>
      </c>
      <c r="B1925" t="s">
        <v>63</v>
      </c>
      <c r="C1925">
        <v>8</v>
      </c>
      <c r="D1925" t="s">
        <v>3420</v>
      </c>
      <c r="E1925">
        <v>71</v>
      </c>
      <c r="F1925">
        <v>27</v>
      </c>
      <c r="G1925">
        <v>44</v>
      </c>
      <c r="H1925" t="s">
        <v>3494</v>
      </c>
      <c r="I1925" t="s">
        <v>3490</v>
      </c>
      <c r="J1925" t="s">
        <v>2932</v>
      </c>
    </row>
    <row r="1926" spans="1:10" x14ac:dyDescent="0.25">
      <c r="A1926" t="s">
        <v>2301</v>
      </c>
      <c r="B1926" t="s">
        <v>63</v>
      </c>
      <c r="C1926">
        <v>8</v>
      </c>
      <c r="D1926" t="s">
        <v>3422</v>
      </c>
      <c r="E1926">
        <v>74</v>
      </c>
      <c r="F1926">
        <v>24</v>
      </c>
      <c r="G1926">
        <v>50</v>
      </c>
      <c r="H1926" t="s">
        <v>3494</v>
      </c>
      <c r="I1926" t="s">
        <v>3490</v>
      </c>
      <c r="J1926" t="s">
        <v>2932</v>
      </c>
    </row>
    <row r="1927" spans="1:10" x14ac:dyDescent="0.25">
      <c r="A1927" t="s">
        <v>2306</v>
      </c>
      <c r="B1927" t="s">
        <v>159</v>
      </c>
      <c r="C1927">
        <v>8</v>
      </c>
      <c r="D1927" t="s">
        <v>3114</v>
      </c>
      <c r="E1927">
        <v>40</v>
      </c>
      <c r="F1927">
        <v>18</v>
      </c>
      <c r="G1927">
        <v>22</v>
      </c>
      <c r="H1927" t="s">
        <v>3491</v>
      </c>
      <c r="I1927" t="s">
        <v>3492</v>
      </c>
      <c r="J1927" t="s">
        <v>2902</v>
      </c>
    </row>
    <row r="1928" spans="1:10" x14ac:dyDescent="0.25">
      <c r="A1928" t="s">
        <v>2306</v>
      </c>
      <c r="B1928" t="s">
        <v>159</v>
      </c>
      <c r="C1928">
        <v>8</v>
      </c>
      <c r="D1928" t="s">
        <v>3116</v>
      </c>
      <c r="E1928">
        <v>67</v>
      </c>
      <c r="F1928">
        <v>17</v>
      </c>
      <c r="G1928">
        <v>50</v>
      </c>
      <c r="H1928" t="s">
        <v>3489</v>
      </c>
      <c r="I1928" t="s">
        <v>3490</v>
      </c>
      <c r="J1928" t="s">
        <v>2902</v>
      </c>
    </row>
    <row r="1929" spans="1:10" x14ac:dyDescent="0.25">
      <c r="A1929" t="s">
        <v>2306</v>
      </c>
      <c r="B1929" t="s">
        <v>159</v>
      </c>
      <c r="C1929">
        <v>8</v>
      </c>
      <c r="D1929" t="s">
        <v>3118</v>
      </c>
      <c r="E1929">
        <v>63</v>
      </c>
      <c r="F1929">
        <v>26</v>
      </c>
      <c r="G1929">
        <v>37</v>
      </c>
      <c r="H1929" t="s">
        <v>3489</v>
      </c>
      <c r="I1929" t="s">
        <v>3490</v>
      </c>
      <c r="J1929" t="s">
        <v>2902</v>
      </c>
    </row>
    <row r="1930" spans="1:10" x14ac:dyDescent="0.25">
      <c r="A1930" t="s">
        <v>2306</v>
      </c>
      <c r="B1930" t="s">
        <v>159</v>
      </c>
      <c r="C1930">
        <v>8</v>
      </c>
      <c r="D1930" t="s">
        <v>3120</v>
      </c>
      <c r="E1930">
        <v>79</v>
      </c>
      <c r="F1930">
        <v>14</v>
      </c>
      <c r="G1930">
        <v>65</v>
      </c>
      <c r="H1930" t="s">
        <v>3494</v>
      </c>
      <c r="I1930" t="s">
        <v>3490</v>
      </c>
      <c r="J1930" t="s">
        <v>2902</v>
      </c>
    </row>
    <row r="1931" spans="1:10" x14ac:dyDescent="0.25">
      <c r="A1931" t="s">
        <v>2306</v>
      </c>
      <c r="B1931" t="s">
        <v>159</v>
      </c>
      <c r="C1931">
        <v>8</v>
      </c>
      <c r="D1931" t="s">
        <v>3122</v>
      </c>
      <c r="E1931">
        <v>78</v>
      </c>
      <c r="F1931">
        <v>16</v>
      </c>
      <c r="G1931">
        <v>62</v>
      </c>
      <c r="H1931" t="s">
        <v>3494</v>
      </c>
      <c r="I1931" t="s">
        <v>3490</v>
      </c>
      <c r="J1931" t="s">
        <v>2902</v>
      </c>
    </row>
    <row r="1932" spans="1:10" x14ac:dyDescent="0.25">
      <c r="A1932" t="s">
        <v>2311</v>
      </c>
      <c r="B1932" t="s">
        <v>30</v>
      </c>
      <c r="C1932">
        <v>8</v>
      </c>
      <c r="D1932" t="s">
        <v>3354</v>
      </c>
      <c r="E1932">
        <v>72</v>
      </c>
      <c r="F1932">
        <v>16</v>
      </c>
      <c r="G1932">
        <v>56</v>
      </c>
      <c r="H1932" t="s">
        <v>3494</v>
      </c>
      <c r="I1932" t="s">
        <v>3490</v>
      </c>
      <c r="J1932" t="s">
        <v>2895</v>
      </c>
    </row>
    <row r="1933" spans="1:10" x14ac:dyDescent="0.25">
      <c r="A1933" t="s">
        <v>2311</v>
      </c>
      <c r="B1933" t="s">
        <v>30</v>
      </c>
      <c r="C1933">
        <v>8</v>
      </c>
      <c r="D1933" t="s">
        <v>3356</v>
      </c>
      <c r="E1933">
        <v>58</v>
      </c>
      <c r="F1933">
        <v>19</v>
      </c>
      <c r="G1933">
        <v>39</v>
      </c>
      <c r="H1933" t="s">
        <v>3493</v>
      </c>
      <c r="I1933" t="s">
        <v>3490</v>
      </c>
      <c r="J1933" t="s">
        <v>2895</v>
      </c>
    </row>
    <row r="1934" spans="1:10" x14ac:dyDescent="0.25">
      <c r="A1934" t="s">
        <v>2311</v>
      </c>
      <c r="B1934" t="s">
        <v>30</v>
      </c>
      <c r="C1934">
        <v>8</v>
      </c>
      <c r="D1934" t="s">
        <v>3358</v>
      </c>
      <c r="E1934">
        <v>92</v>
      </c>
      <c r="F1934">
        <v>28</v>
      </c>
      <c r="G1934">
        <v>64</v>
      </c>
      <c r="H1934" t="s">
        <v>3495</v>
      </c>
      <c r="I1934" t="s">
        <v>3490</v>
      </c>
      <c r="J1934" t="s">
        <v>2895</v>
      </c>
    </row>
    <row r="1935" spans="1:10" x14ac:dyDescent="0.25">
      <c r="A1935" t="s">
        <v>2311</v>
      </c>
      <c r="B1935" t="s">
        <v>30</v>
      </c>
      <c r="C1935">
        <v>8</v>
      </c>
      <c r="D1935" t="s">
        <v>3360</v>
      </c>
      <c r="E1935">
        <v>55</v>
      </c>
      <c r="F1935">
        <v>21</v>
      </c>
      <c r="G1935">
        <v>34</v>
      </c>
      <c r="H1935" t="s">
        <v>3493</v>
      </c>
      <c r="I1935" t="s">
        <v>3490</v>
      </c>
      <c r="J1935" t="s">
        <v>2895</v>
      </c>
    </row>
    <row r="1936" spans="1:10" x14ac:dyDescent="0.25">
      <c r="A1936" t="s">
        <v>2311</v>
      </c>
      <c r="B1936" t="s">
        <v>30</v>
      </c>
      <c r="C1936">
        <v>8</v>
      </c>
      <c r="D1936" t="s">
        <v>3362</v>
      </c>
      <c r="E1936">
        <v>30</v>
      </c>
      <c r="F1936">
        <v>10</v>
      </c>
      <c r="G1936">
        <v>20</v>
      </c>
      <c r="H1936" t="s">
        <v>3491</v>
      </c>
      <c r="I1936" t="s">
        <v>3492</v>
      </c>
      <c r="J1936" t="s">
        <v>2895</v>
      </c>
    </row>
    <row r="1937" spans="1:10" x14ac:dyDescent="0.25">
      <c r="A1937" t="s">
        <v>2315</v>
      </c>
      <c r="B1937" t="s">
        <v>105</v>
      </c>
      <c r="C1937">
        <v>4</v>
      </c>
      <c r="D1937" t="s">
        <v>3154</v>
      </c>
      <c r="E1937">
        <v>73</v>
      </c>
      <c r="F1937">
        <v>22</v>
      </c>
      <c r="G1937">
        <v>51</v>
      </c>
      <c r="H1937" t="s">
        <v>3494</v>
      </c>
      <c r="I1937" t="s">
        <v>3490</v>
      </c>
      <c r="J1937" t="s">
        <v>2908</v>
      </c>
    </row>
    <row r="1938" spans="1:10" x14ac:dyDescent="0.25">
      <c r="A1938" t="s">
        <v>2315</v>
      </c>
      <c r="B1938" t="s">
        <v>105</v>
      </c>
      <c r="C1938">
        <v>4</v>
      </c>
      <c r="D1938" t="s">
        <v>3156</v>
      </c>
      <c r="E1938">
        <v>68</v>
      </c>
      <c r="F1938">
        <v>24</v>
      </c>
      <c r="G1938">
        <v>44</v>
      </c>
      <c r="H1938" t="s">
        <v>3489</v>
      </c>
      <c r="I1938" t="s">
        <v>3490</v>
      </c>
      <c r="J1938" t="s">
        <v>2908</v>
      </c>
    </row>
    <row r="1939" spans="1:10" x14ac:dyDescent="0.25">
      <c r="A1939" t="s">
        <v>2315</v>
      </c>
      <c r="B1939" t="s">
        <v>105</v>
      </c>
      <c r="C1939">
        <v>4</v>
      </c>
      <c r="D1939" t="s">
        <v>3158</v>
      </c>
      <c r="E1939">
        <v>56</v>
      </c>
      <c r="F1939">
        <v>15</v>
      </c>
      <c r="G1939">
        <v>41</v>
      </c>
      <c r="H1939" t="s">
        <v>3493</v>
      </c>
      <c r="I1939" t="s">
        <v>3490</v>
      </c>
      <c r="J1939" t="s">
        <v>2908</v>
      </c>
    </row>
    <row r="1940" spans="1:10" x14ac:dyDescent="0.25">
      <c r="A1940" t="s">
        <v>2315</v>
      </c>
      <c r="B1940" t="s">
        <v>105</v>
      </c>
      <c r="C1940">
        <v>4</v>
      </c>
      <c r="D1940" t="s">
        <v>3160</v>
      </c>
      <c r="E1940">
        <v>40</v>
      </c>
      <c r="F1940">
        <v>20</v>
      </c>
      <c r="G1940">
        <v>20</v>
      </c>
      <c r="H1940" t="s">
        <v>3491</v>
      </c>
      <c r="I1940" t="s">
        <v>3492</v>
      </c>
      <c r="J1940" t="s">
        <v>2908</v>
      </c>
    </row>
    <row r="1941" spans="1:10" x14ac:dyDescent="0.25">
      <c r="A1941" t="s">
        <v>2315</v>
      </c>
      <c r="B1941" t="s">
        <v>105</v>
      </c>
      <c r="C1941">
        <v>4</v>
      </c>
      <c r="D1941" t="s">
        <v>3162</v>
      </c>
      <c r="E1941">
        <v>46</v>
      </c>
      <c r="F1941">
        <v>16</v>
      </c>
      <c r="G1941">
        <v>30</v>
      </c>
      <c r="H1941" t="s">
        <v>3491</v>
      </c>
      <c r="I1941" t="s">
        <v>3492</v>
      </c>
      <c r="J1941" t="s">
        <v>2908</v>
      </c>
    </row>
    <row r="1942" spans="1:10" x14ac:dyDescent="0.25">
      <c r="A1942" t="s">
        <v>2320</v>
      </c>
      <c r="B1942" t="s">
        <v>30</v>
      </c>
      <c r="C1942">
        <v>6</v>
      </c>
      <c r="D1942" t="s">
        <v>3354</v>
      </c>
      <c r="E1942">
        <v>72</v>
      </c>
      <c r="F1942">
        <v>30</v>
      </c>
      <c r="G1942">
        <v>42</v>
      </c>
      <c r="H1942" t="s">
        <v>3494</v>
      </c>
      <c r="I1942" t="s">
        <v>3490</v>
      </c>
      <c r="J1942" t="s">
        <v>2895</v>
      </c>
    </row>
    <row r="1943" spans="1:10" x14ac:dyDescent="0.25">
      <c r="A1943" t="s">
        <v>2320</v>
      </c>
      <c r="B1943" t="s">
        <v>30</v>
      </c>
      <c r="C1943">
        <v>6</v>
      </c>
      <c r="D1943" t="s">
        <v>3356</v>
      </c>
      <c r="E1943">
        <v>34</v>
      </c>
      <c r="F1943">
        <v>10</v>
      </c>
      <c r="G1943">
        <v>24</v>
      </c>
      <c r="H1943" t="s">
        <v>3491</v>
      </c>
      <c r="I1943" t="s">
        <v>3492</v>
      </c>
      <c r="J1943" t="s">
        <v>2895</v>
      </c>
    </row>
    <row r="1944" spans="1:10" x14ac:dyDescent="0.25">
      <c r="A1944" t="s">
        <v>2320</v>
      </c>
      <c r="B1944" t="s">
        <v>30</v>
      </c>
      <c r="C1944">
        <v>6</v>
      </c>
      <c r="D1944" t="s">
        <v>3358</v>
      </c>
      <c r="E1944">
        <v>58</v>
      </c>
      <c r="F1944">
        <v>25</v>
      </c>
      <c r="G1944">
        <v>33</v>
      </c>
      <c r="H1944" t="s">
        <v>3493</v>
      </c>
      <c r="I1944" t="s">
        <v>3490</v>
      </c>
      <c r="J1944" t="s">
        <v>2895</v>
      </c>
    </row>
    <row r="1945" spans="1:10" x14ac:dyDescent="0.25">
      <c r="A1945" t="s">
        <v>2320</v>
      </c>
      <c r="B1945" t="s">
        <v>30</v>
      </c>
      <c r="C1945">
        <v>6</v>
      </c>
      <c r="D1945" t="s">
        <v>3360</v>
      </c>
      <c r="E1945">
        <v>62</v>
      </c>
      <c r="F1945">
        <v>22</v>
      </c>
      <c r="G1945">
        <v>40</v>
      </c>
      <c r="H1945" t="s">
        <v>3489</v>
      </c>
      <c r="I1945" t="s">
        <v>3490</v>
      </c>
      <c r="J1945" t="s">
        <v>2895</v>
      </c>
    </row>
    <row r="1946" spans="1:10" x14ac:dyDescent="0.25">
      <c r="A1946" t="s">
        <v>2320</v>
      </c>
      <c r="B1946" t="s">
        <v>30</v>
      </c>
      <c r="C1946">
        <v>6</v>
      </c>
      <c r="D1946" t="s">
        <v>3362</v>
      </c>
      <c r="E1946">
        <v>46</v>
      </c>
      <c r="F1946">
        <v>18</v>
      </c>
      <c r="G1946">
        <v>28</v>
      </c>
      <c r="H1946" t="s">
        <v>3491</v>
      </c>
      <c r="I1946" t="s">
        <v>3492</v>
      </c>
      <c r="J1946" t="s">
        <v>2895</v>
      </c>
    </row>
    <row r="1947" spans="1:10" x14ac:dyDescent="0.25">
      <c r="A1947" t="s">
        <v>2325</v>
      </c>
      <c r="B1947" t="s">
        <v>63</v>
      </c>
      <c r="C1947">
        <v>4</v>
      </c>
      <c r="D1947" t="s">
        <v>3394</v>
      </c>
      <c r="E1947">
        <v>53</v>
      </c>
      <c r="F1947">
        <v>22</v>
      </c>
      <c r="G1947">
        <v>31</v>
      </c>
      <c r="H1947" t="s">
        <v>3493</v>
      </c>
      <c r="I1947" t="s">
        <v>3490</v>
      </c>
      <c r="J1947" t="s">
        <v>2932</v>
      </c>
    </row>
    <row r="1948" spans="1:10" x14ac:dyDescent="0.25">
      <c r="A1948" t="s">
        <v>2325</v>
      </c>
      <c r="B1948" t="s">
        <v>63</v>
      </c>
      <c r="C1948">
        <v>4</v>
      </c>
      <c r="D1948" t="s">
        <v>3396</v>
      </c>
      <c r="E1948">
        <v>45</v>
      </c>
      <c r="F1948">
        <v>19</v>
      </c>
      <c r="G1948">
        <v>26</v>
      </c>
      <c r="H1948" t="s">
        <v>3491</v>
      </c>
      <c r="I1948" t="s">
        <v>3492</v>
      </c>
      <c r="J1948" t="s">
        <v>2932</v>
      </c>
    </row>
    <row r="1949" spans="1:10" x14ac:dyDescent="0.25">
      <c r="A1949" t="s">
        <v>2325</v>
      </c>
      <c r="B1949" t="s">
        <v>63</v>
      </c>
      <c r="C1949">
        <v>4</v>
      </c>
      <c r="D1949" t="s">
        <v>3398</v>
      </c>
      <c r="E1949">
        <v>78</v>
      </c>
      <c r="F1949">
        <v>24</v>
      </c>
      <c r="G1949">
        <v>54</v>
      </c>
      <c r="H1949" t="s">
        <v>3494</v>
      </c>
      <c r="I1949" t="s">
        <v>3490</v>
      </c>
      <c r="J1949" t="s">
        <v>2932</v>
      </c>
    </row>
    <row r="1950" spans="1:10" x14ac:dyDescent="0.25">
      <c r="A1950" t="s">
        <v>2325</v>
      </c>
      <c r="B1950" t="s">
        <v>63</v>
      </c>
      <c r="C1950">
        <v>4</v>
      </c>
      <c r="D1950" t="s">
        <v>3400</v>
      </c>
      <c r="E1950">
        <v>49</v>
      </c>
      <c r="F1950">
        <v>18</v>
      </c>
      <c r="G1950">
        <v>31</v>
      </c>
      <c r="H1950" t="s">
        <v>3491</v>
      </c>
      <c r="I1950" t="s">
        <v>3492</v>
      </c>
      <c r="J1950" t="s">
        <v>2932</v>
      </c>
    </row>
    <row r="1951" spans="1:10" x14ac:dyDescent="0.25">
      <c r="A1951" t="s">
        <v>2325</v>
      </c>
      <c r="B1951" t="s">
        <v>63</v>
      </c>
      <c r="C1951">
        <v>4</v>
      </c>
      <c r="D1951" t="s">
        <v>3402</v>
      </c>
      <c r="E1951">
        <v>51</v>
      </c>
      <c r="F1951">
        <v>28</v>
      </c>
      <c r="G1951">
        <v>23</v>
      </c>
      <c r="H1951" t="s">
        <v>3493</v>
      </c>
      <c r="I1951" t="s">
        <v>3490</v>
      </c>
      <c r="J1951" t="s">
        <v>2932</v>
      </c>
    </row>
    <row r="1952" spans="1:10" x14ac:dyDescent="0.25">
      <c r="A1952" t="s">
        <v>2330</v>
      </c>
      <c r="B1952" t="s">
        <v>95</v>
      </c>
      <c r="C1952">
        <v>4</v>
      </c>
      <c r="D1952" t="s">
        <v>3214</v>
      </c>
      <c r="E1952">
        <v>61</v>
      </c>
      <c r="F1952">
        <v>30</v>
      </c>
      <c r="G1952">
        <v>31</v>
      </c>
      <c r="H1952" t="s">
        <v>3489</v>
      </c>
      <c r="I1952" t="s">
        <v>3490</v>
      </c>
      <c r="J1952" t="s">
        <v>2889</v>
      </c>
    </row>
    <row r="1953" spans="1:10" x14ac:dyDescent="0.25">
      <c r="A1953" t="s">
        <v>2330</v>
      </c>
      <c r="B1953" t="s">
        <v>95</v>
      </c>
      <c r="C1953">
        <v>4</v>
      </c>
      <c r="D1953" t="s">
        <v>3216</v>
      </c>
      <c r="E1953">
        <v>92</v>
      </c>
      <c r="F1953">
        <v>28</v>
      </c>
      <c r="G1953">
        <v>64</v>
      </c>
      <c r="H1953" t="s">
        <v>3495</v>
      </c>
      <c r="I1953" t="s">
        <v>3490</v>
      </c>
      <c r="J1953" t="s">
        <v>2889</v>
      </c>
    </row>
    <row r="1954" spans="1:10" x14ac:dyDescent="0.25">
      <c r="A1954" t="s">
        <v>2330</v>
      </c>
      <c r="B1954" t="s">
        <v>95</v>
      </c>
      <c r="C1954">
        <v>4</v>
      </c>
      <c r="D1954" t="s">
        <v>3218</v>
      </c>
      <c r="E1954">
        <v>48</v>
      </c>
      <c r="F1954">
        <v>14</v>
      </c>
      <c r="G1954">
        <v>34</v>
      </c>
      <c r="H1954" t="s">
        <v>3491</v>
      </c>
      <c r="I1954" t="s">
        <v>3492</v>
      </c>
      <c r="J1954" t="s">
        <v>2889</v>
      </c>
    </row>
    <row r="1955" spans="1:10" x14ac:dyDescent="0.25">
      <c r="A1955" t="s">
        <v>2330</v>
      </c>
      <c r="B1955" t="s">
        <v>95</v>
      </c>
      <c r="C1955">
        <v>4</v>
      </c>
      <c r="D1955" t="s">
        <v>3220</v>
      </c>
      <c r="E1955">
        <v>56</v>
      </c>
      <c r="F1955">
        <v>17</v>
      </c>
      <c r="G1955">
        <v>39</v>
      </c>
      <c r="H1955" t="s">
        <v>3493</v>
      </c>
      <c r="I1955" t="s">
        <v>3490</v>
      </c>
      <c r="J1955" t="s">
        <v>2889</v>
      </c>
    </row>
    <row r="1956" spans="1:10" x14ac:dyDescent="0.25">
      <c r="A1956" t="s">
        <v>2330</v>
      </c>
      <c r="B1956" t="s">
        <v>95</v>
      </c>
      <c r="C1956">
        <v>4</v>
      </c>
      <c r="D1956" t="s">
        <v>3222</v>
      </c>
      <c r="E1956">
        <v>46</v>
      </c>
      <c r="F1956">
        <v>20</v>
      </c>
      <c r="G1956">
        <v>26</v>
      </c>
      <c r="H1956" t="s">
        <v>3491</v>
      </c>
      <c r="I1956" t="s">
        <v>3492</v>
      </c>
      <c r="J1956" t="s">
        <v>2889</v>
      </c>
    </row>
    <row r="1957" spans="1:10" x14ac:dyDescent="0.25">
      <c r="A1957" t="s">
        <v>2335</v>
      </c>
      <c r="B1957" t="s">
        <v>95</v>
      </c>
      <c r="C1957">
        <v>6</v>
      </c>
      <c r="D1957" t="s">
        <v>3234</v>
      </c>
      <c r="E1957">
        <v>32</v>
      </c>
      <c r="F1957">
        <v>12</v>
      </c>
      <c r="G1957">
        <v>20</v>
      </c>
      <c r="H1957" t="s">
        <v>3491</v>
      </c>
      <c r="I1957" t="s">
        <v>3492</v>
      </c>
      <c r="J1957" t="s">
        <v>2889</v>
      </c>
    </row>
    <row r="1958" spans="1:10" x14ac:dyDescent="0.25">
      <c r="A1958" t="s">
        <v>2335</v>
      </c>
      <c r="B1958" t="s">
        <v>95</v>
      </c>
      <c r="C1958">
        <v>6</v>
      </c>
      <c r="D1958" t="s">
        <v>3236</v>
      </c>
      <c r="E1958">
        <v>67</v>
      </c>
      <c r="F1958">
        <v>11</v>
      </c>
      <c r="G1958">
        <v>56</v>
      </c>
      <c r="H1958" t="s">
        <v>3489</v>
      </c>
      <c r="I1958" t="s">
        <v>3490</v>
      </c>
      <c r="J1958" t="s">
        <v>2889</v>
      </c>
    </row>
    <row r="1959" spans="1:10" x14ac:dyDescent="0.25">
      <c r="A1959" t="s">
        <v>2335</v>
      </c>
      <c r="B1959" t="s">
        <v>95</v>
      </c>
      <c r="C1959">
        <v>6</v>
      </c>
      <c r="D1959" t="s">
        <v>3238</v>
      </c>
      <c r="E1959">
        <v>72</v>
      </c>
      <c r="F1959">
        <v>11</v>
      </c>
      <c r="G1959">
        <v>61</v>
      </c>
      <c r="H1959" t="s">
        <v>3494</v>
      </c>
      <c r="I1959" t="s">
        <v>3490</v>
      </c>
      <c r="J1959" t="s">
        <v>2889</v>
      </c>
    </row>
    <row r="1960" spans="1:10" x14ac:dyDescent="0.25">
      <c r="A1960" t="s">
        <v>2335</v>
      </c>
      <c r="B1960" t="s">
        <v>95</v>
      </c>
      <c r="C1960">
        <v>6</v>
      </c>
      <c r="D1960" t="s">
        <v>3240</v>
      </c>
      <c r="E1960">
        <v>86</v>
      </c>
      <c r="F1960">
        <v>23</v>
      </c>
      <c r="G1960">
        <v>63</v>
      </c>
      <c r="H1960" t="s">
        <v>196</v>
      </c>
      <c r="I1960" t="s">
        <v>3490</v>
      </c>
      <c r="J1960" t="s">
        <v>2889</v>
      </c>
    </row>
    <row r="1961" spans="1:10" x14ac:dyDescent="0.25">
      <c r="A1961" t="s">
        <v>2335</v>
      </c>
      <c r="B1961" t="s">
        <v>95</v>
      </c>
      <c r="C1961">
        <v>6</v>
      </c>
      <c r="D1961" t="s">
        <v>3242</v>
      </c>
      <c r="E1961">
        <v>53</v>
      </c>
      <c r="F1961">
        <v>11</v>
      </c>
      <c r="G1961">
        <v>42</v>
      </c>
      <c r="H1961" t="s">
        <v>3493</v>
      </c>
      <c r="I1961" t="s">
        <v>3490</v>
      </c>
      <c r="J1961" t="s">
        <v>2889</v>
      </c>
    </row>
    <row r="1962" spans="1:10" x14ac:dyDescent="0.25">
      <c r="A1962" t="s">
        <v>2340</v>
      </c>
      <c r="B1962" t="s">
        <v>30</v>
      </c>
      <c r="C1962">
        <v>8</v>
      </c>
      <c r="D1962" t="s">
        <v>3354</v>
      </c>
      <c r="E1962">
        <v>37</v>
      </c>
      <c r="F1962">
        <v>17</v>
      </c>
      <c r="G1962">
        <v>20</v>
      </c>
      <c r="H1962" t="s">
        <v>3491</v>
      </c>
      <c r="I1962" t="s">
        <v>3492</v>
      </c>
      <c r="J1962" t="s">
        <v>2895</v>
      </c>
    </row>
    <row r="1963" spans="1:10" x14ac:dyDescent="0.25">
      <c r="A1963" t="s">
        <v>2340</v>
      </c>
      <c r="B1963" t="s">
        <v>30</v>
      </c>
      <c r="C1963">
        <v>8</v>
      </c>
      <c r="D1963" t="s">
        <v>3356</v>
      </c>
      <c r="E1963">
        <v>98</v>
      </c>
      <c r="F1963">
        <v>30</v>
      </c>
      <c r="G1963">
        <v>68</v>
      </c>
      <c r="H1963" t="s">
        <v>3495</v>
      </c>
      <c r="I1963" t="s">
        <v>3490</v>
      </c>
      <c r="J1963" t="s">
        <v>2895</v>
      </c>
    </row>
    <row r="1964" spans="1:10" x14ac:dyDescent="0.25">
      <c r="A1964" t="s">
        <v>2340</v>
      </c>
      <c r="B1964" t="s">
        <v>30</v>
      </c>
      <c r="C1964">
        <v>8</v>
      </c>
      <c r="D1964" t="s">
        <v>3358</v>
      </c>
      <c r="E1964">
        <v>82</v>
      </c>
      <c r="F1964">
        <v>27</v>
      </c>
      <c r="G1964">
        <v>55</v>
      </c>
      <c r="H1964" t="s">
        <v>196</v>
      </c>
      <c r="I1964" t="s">
        <v>3490</v>
      </c>
      <c r="J1964" t="s">
        <v>2895</v>
      </c>
    </row>
    <row r="1965" spans="1:10" x14ac:dyDescent="0.25">
      <c r="A1965" t="s">
        <v>2340</v>
      </c>
      <c r="B1965" t="s">
        <v>30</v>
      </c>
      <c r="C1965">
        <v>8</v>
      </c>
      <c r="D1965" t="s">
        <v>3360</v>
      </c>
      <c r="E1965">
        <v>75</v>
      </c>
      <c r="F1965">
        <v>23</v>
      </c>
      <c r="G1965">
        <v>52</v>
      </c>
      <c r="H1965" t="s">
        <v>3494</v>
      </c>
      <c r="I1965" t="s">
        <v>3490</v>
      </c>
      <c r="J1965" t="s">
        <v>2895</v>
      </c>
    </row>
    <row r="1966" spans="1:10" x14ac:dyDescent="0.25">
      <c r="A1966" t="s">
        <v>2340</v>
      </c>
      <c r="B1966" t="s">
        <v>30</v>
      </c>
      <c r="C1966">
        <v>8</v>
      </c>
      <c r="D1966" t="s">
        <v>3362</v>
      </c>
      <c r="E1966">
        <v>53</v>
      </c>
      <c r="F1966">
        <v>18</v>
      </c>
      <c r="G1966">
        <v>35</v>
      </c>
      <c r="H1966" t="s">
        <v>3493</v>
      </c>
      <c r="I1966" t="s">
        <v>3490</v>
      </c>
      <c r="J1966" t="s">
        <v>2895</v>
      </c>
    </row>
    <row r="1967" spans="1:10" x14ac:dyDescent="0.25">
      <c r="A1967" t="s">
        <v>2345</v>
      </c>
      <c r="B1967" t="s">
        <v>212</v>
      </c>
      <c r="C1967">
        <v>4</v>
      </c>
      <c r="D1967" t="s">
        <v>3454</v>
      </c>
      <c r="E1967">
        <v>39</v>
      </c>
      <c r="F1967">
        <v>10</v>
      </c>
      <c r="G1967">
        <v>29</v>
      </c>
      <c r="H1967" t="s">
        <v>3491</v>
      </c>
      <c r="I1967" t="s">
        <v>3492</v>
      </c>
      <c r="J1967" t="s">
        <v>3001</v>
      </c>
    </row>
    <row r="1968" spans="1:10" x14ac:dyDescent="0.25">
      <c r="A1968" t="s">
        <v>2345</v>
      </c>
      <c r="B1968" t="s">
        <v>212</v>
      </c>
      <c r="C1968">
        <v>4</v>
      </c>
      <c r="D1968" t="s">
        <v>3456</v>
      </c>
      <c r="E1968">
        <v>38</v>
      </c>
      <c r="F1968">
        <v>13</v>
      </c>
      <c r="G1968">
        <v>25</v>
      </c>
      <c r="H1968" t="s">
        <v>3491</v>
      </c>
      <c r="I1968" t="s">
        <v>3492</v>
      </c>
      <c r="J1968" t="s">
        <v>3001</v>
      </c>
    </row>
    <row r="1969" spans="1:10" x14ac:dyDescent="0.25">
      <c r="A1969" t="s">
        <v>2345</v>
      </c>
      <c r="B1969" t="s">
        <v>212</v>
      </c>
      <c r="C1969">
        <v>4</v>
      </c>
      <c r="D1969" t="s">
        <v>3458</v>
      </c>
      <c r="E1969">
        <v>67</v>
      </c>
      <c r="F1969">
        <v>22</v>
      </c>
      <c r="G1969">
        <v>45</v>
      </c>
      <c r="H1969" t="s">
        <v>3489</v>
      </c>
      <c r="I1969" t="s">
        <v>3490</v>
      </c>
      <c r="J1969" t="s">
        <v>3001</v>
      </c>
    </row>
    <row r="1970" spans="1:10" x14ac:dyDescent="0.25">
      <c r="A1970" t="s">
        <v>2345</v>
      </c>
      <c r="B1970" t="s">
        <v>212</v>
      </c>
      <c r="C1970">
        <v>4</v>
      </c>
      <c r="D1970" t="s">
        <v>3460</v>
      </c>
      <c r="E1970">
        <v>58</v>
      </c>
      <c r="F1970">
        <v>24</v>
      </c>
      <c r="G1970">
        <v>34</v>
      </c>
      <c r="H1970" t="s">
        <v>3493</v>
      </c>
      <c r="I1970" t="s">
        <v>3490</v>
      </c>
      <c r="J1970" t="s">
        <v>3001</v>
      </c>
    </row>
    <row r="1971" spans="1:10" x14ac:dyDescent="0.25">
      <c r="A1971" t="s">
        <v>2345</v>
      </c>
      <c r="B1971" t="s">
        <v>212</v>
      </c>
      <c r="C1971">
        <v>4</v>
      </c>
      <c r="D1971" t="s">
        <v>3462</v>
      </c>
      <c r="E1971">
        <v>73</v>
      </c>
      <c r="F1971">
        <v>14</v>
      </c>
      <c r="G1971">
        <v>59</v>
      </c>
      <c r="H1971" t="s">
        <v>3494</v>
      </c>
      <c r="I1971" t="s">
        <v>3490</v>
      </c>
      <c r="J1971" t="s">
        <v>3001</v>
      </c>
    </row>
    <row r="1972" spans="1:10" x14ac:dyDescent="0.25">
      <c r="A1972" t="s">
        <v>2350</v>
      </c>
      <c r="B1972" t="s">
        <v>75</v>
      </c>
      <c r="C1972">
        <v>6</v>
      </c>
      <c r="D1972" t="s">
        <v>3054</v>
      </c>
      <c r="E1972">
        <v>48</v>
      </c>
      <c r="F1972">
        <v>10</v>
      </c>
      <c r="G1972">
        <v>38</v>
      </c>
      <c r="H1972" t="s">
        <v>3491</v>
      </c>
      <c r="I1972" t="s">
        <v>3492</v>
      </c>
      <c r="J1972" t="s">
        <v>2961</v>
      </c>
    </row>
    <row r="1973" spans="1:10" x14ac:dyDescent="0.25">
      <c r="A1973" t="s">
        <v>2350</v>
      </c>
      <c r="B1973" t="s">
        <v>75</v>
      </c>
      <c r="C1973">
        <v>6</v>
      </c>
      <c r="D1973" t="s">
        <v>3056</v>
      </c>
      <c r="E1973">
        <v>69</v>
      </c>
      <c r="F1973">
        <v>20</v>
      </c>
      <c r="G1973">
        <v>49</v>
      </c>
      <c r="H1973" t="s">
        <v>3489</v>
      </c>
      <c r="I1973" t="s">
        <v>3490</v>
      </c>
      <c r="J1973" t="s">
        <v>2961</v>
      </c>
    </row>
    <row r="1974" spans="1:10" x14ac:dyDescent="0.25">
      <c r="A1974" t="s">
        <v>2350</v>
      </c>
      <c r="B1974" t="s">
        <v>75</v>
      </c>
      <c r="C1974">
        <v>6</v>
      </c>
      <c r="D1974" t="s">
        <v>3058</v>
      </c>
      <c r="E1974">
        <v>88</v>
      </c>
      <c r="F1974">
        <v>20</v>
      </c>
      <c r="G1974">
        <v>68</v>
      </c>
      <c r="H1974" t="s">
        <v>196</v>
      </c>
      <c r="I1974" t="s">
        <v>3490</v>
      </c>
      <c r="J1974" t="s">
        <v>2961</v>
      </c>
    </row>
    <row r="1975" spans="1:10" x14ac:dyDescent="0.25">
      <c r="A1975" t="s">
        <v>2350</v>
      </c>
      <c r="B1975" t="s">
        <v>75</v>
      </c>
      <c r="C1975">
        <v>6</v>
      </c>
      <c r="D1975" t="s">
        <v>3060</v>
      </c>
      <c r="E1975">
        <v>83</v>
      </c>
      <c r="F1975">
        <v>28</v>
      </c>
      <c r="G1975">
        <v>55</v>
      </c>
      <c r="H1975" t="s">
        <v>196</v>
      </c>
      <c r="I1975" t="s">
        <v>3490</v>
      </c>
      <c r="J1975" t="s">
        <v>2961</v>
      </c>
    </row>
    <row r="1976" spans="1:10" x14ac:dyDescent="0.25">
      <c r="A1976" t="s">
        <v>2350</v>
      </c>
      <c r="B1976" t="s">
        <v>75</v>
      </c>
      <c r="C1976">
        <v>6</v>
      </c>
      <c r="D1976" t="s">
        <v>3062</v>
      </c>
      <c r="E1976">
        <v>75</v>
      </c>
      <c r="F1976">
        <v>27</v>
      </c>
      <c r="G1976">
        <v>48</v>
      </c>
      <c r="H1976" t="s">
        <v>3494</v>
      </c>
      <c r="I1976" t="s">
        <v>3490</v>
      </c>
      <c r="J1976" t="s">
        <v>2961</v>
      </c>
    </row>
    <row r="1977" spans="1:10" x14ac:dyDescent="0.25">
      <c r="A1977" t="s">
        <v>2356</v>
      </c>
      <c r="B1977" t="s">
        <v>63</v>
      </c>
      <c r="C1977">
        <v>6</v>
      </c>
      <c r="D1977" t="s">
        <v>3414</v>
      </c>
      <c r="E1977">
        <v>76</v>
      </c>
      <c r="F1977">
        <v>20</v>
      </c>
      <c r="G1977">
        <v>56</v>
      </c>
      <c r="H1977" t="s">
        <v>3494</v>
      </c>
      <c r="I1977" t="s">
        <v>3490</v>
      </c>
      <c r="J1977" t="s">
        <v>2932</v>
      </c>
    </row>
    <row r="1978" spans="1:10" x14ac:dyDescent="0.25">
      <c r="A1978" t="s">
        <v>2356</v>
      </c>
      <c r="B1978" t="s">
        <v>63</v>
      </c>
      <c r="C1978">
        <v>6</v>
      </c>
      <c r="D1978" t="s">
        <v>3416</v>
      </c>
      <c r="E1978">
        <v>40</v>
      </c>
      <c r="F1978">
        <v>15</v>
      </c>
      <c r="G1978">
        <v>25</v>
      </c>
      <c r="H1978" t="s">
        <v>3491</v>
      </c>
      <c r="I1978" t="s">
        <v>3492</v>
      </c>
      <c r="J1978" t="s">
        <v>2932</v>
      </c>
    </row>
    <row r="1979" spans="1:10" x14ac:dyDescent="0.25">
      <c r="A1979" t="s">
        <v>2356</v>
      </c>
      <c r="B1979" t="s">
        <v>63</v>
      </c>
      <c r="C1979">
        <v>6</v>
      </c>
      <c r="D1979" t="s">
        <v>3418</v>
      </c>
      <c r="E1979">
        <v>72</v>
      </c>
      <c r="F1979">
        <v>15</v>
      </c>
      <c r="G1979">
        <v>57</v>
      </c>
      <c r="H1979" t="s">
        <v>3494</v>
      </c>
      <c r="I1979" t="s">
        <v>3490</v>
      </c>
      <c r="J1979" t="s">
        <v>2932</v>
      </c>
    </row>
    <row r="1980" spans="1:10" x14ac:dyDescent="0.25">
      <c r="A1980" t="s">
        <v>2356</v>
      </c>
      <c r="B1980" t="s">
        <v>63</v>
      </c>
      <c r="C1980">
        <v>6</v>
      </c>
      <c r="D1980" t="s">
        <v>3420</v>
      </c>
      <c r="E1980">
        <v>97</v>
      </c>
      <c r="F1980">
        <v>28</v>
      </c>
      <c r="G1980">
        <v>69</v>
      </c>
      <c r="H1980" t="s">
        <v>3495</v>
      </c>
      <c r="I1980" t="s">
        <v>3490</v>
      </c>
      <c r="J1980" t="s">
        <v>2932</v>
      </c>
    </row>
    <row r="1981" spans="1:10" x14ac:dyDescent="0.25">
      <c r="A1981" t="s">
        <v>2356</v>
      </c>
      <c r="B1981" t="s">
        <v>63</v>
      </c>
      <c r="C1981">
        <v>6</v>
      </c>
      <c r="D1981" t="s">
        <v>3422</v>
      </c>
      <c r="E1981">
        <v>62</v>
      </c>
      <c r="F1981">
        <v>23</v>
      </c>
      <c r="G1981">
        <v>39</v>
      </c>
      <c r="H1981" t="s">
        <v>3489</v>
      </c>
      <c r="I1981" t="s">
        <v>3490</v>
      </c>
      <c r="J1981" t="s">
        <v>2932</v>
      </c>
    </row>
    <row r="1982" spans="1:10" x14ac:dyDescent="0.25">
      <c r="A1982" t="s">
        <v>2361</v>
      </c>
      <c r="B1982" t="s">
        <v>95</v>
      </c>
      <c r="C1982">
        <v>8</v>
      </c>
      <c r="D1982" t="s">
        <v>3234</v>
      </c>
      <c r="E1982">
        <v>60</v>
      </c>
      <c r="F1982">
        <v>15</v>
      </c>
      <c r="G1982">
        <v>45</v>
      </c>
      <c r="H1982" t="s">
        <v>3489</v>
      </c>
      <c r="I1982" t="s">
        <v>3490</v>
      </c>
      <c r="J1982" t="s">
        <v>2889</v>
      </c>
    </row>
    <row r="1983" spans="1:10" x14ac:dyDescent="0.25">
      <c r="A1983" t="s">
        <v>2361</v>
      </c>
      <c r="B1983" t="s">
        <v>95</v>
      </c>
      <c r="C1983">
        <v>8</v>
      </c>
      <c r="D1983" t="s">
        <v>3236</v>
      </c>
      <c r="E1983">
        <v>45</v>
      </c>
      <c r="F1983">
        <v>11</v>
      </c>
      <c r="G1983">
        <v>34</v>
      </c>
      <c r="H1983" t="s">
        <v>3491</v>
      </c>
      <c r="I1983" t="s">
        <v>3492</v>
      </c>
      <c r="J1983" t="s">
        <v>2889</v>
      </c>
    </row>
    <row r="1984" spans="1:10" x14ac:dyDescent="0.25">
      <c r="A1984" t="s">
        <v>2361</v>
      </c>
      <c r="B1984" t="s">
        <v>95</v>
      </c>
      <c r="C1984">
        <v>8</v>
      </c>
      <c r="D1984" t="s">
        <v>3238</v>
      </c>
      <c r="E1984">
        <v>63</v>
      </c>
      <c r="F1984">
        <v>17</v>
      </c>
      <c r="G1984">
        <v>46</v>
      </c>
      <c r="H1984" t="s">
        <v>3489</v>
      </c>
      <c r="I1984" t="s">
        <v>3490</v>
      </c>
      <c r="J1984" t="s">
        <v>2889</v>
      </c>
    </row>
    <row r="1985" spans="1:10" x14ac:dyDescent="0.25">
      <c r="A1985" t="s">
        <v>2361</v>
      </c>
      <c r="B1985" t="s">
        <v>95</v>
      </c>
      <c r="C1985">
        <v>8</v>
      </c>
      <c r="D1985" t="s">
        <v>3240</v>
      </c>
      <c r="E1985">
        <v>35</v>
      </c>
      <c r="F1985">
        <v>15</v>
      </c>
      <c r="G1985">
        <v>20</v>
      </c>
      <c r="H1985" t="s">
        <v>3491</v>
      </c>
      <c r="I1985" t="s">
        <v>3492</v>
      </c>
      <c r="J1985" t="s">
        <v>2889</v>
      </c>
    </row>
    <row r="1986" spans="1:10" x14ac:dyDescent="0.25">
      <c r="A1986" t="s">
        <v>2361</v>
      </c>
      <c r="B1986" t="s">
        <v>95</v>
      </c>
      <c r="C1986">
        <v>8</v>
      </c>
      <c r="D1986" t="s">
        <v>3242</v>
      </c>
      <c r="E1986">
        <v>63</v>
      </c>
      <c r="F1986">
        <v>14</v>
      </c>
      <c r="G1986">
        <v>49</v>
      </c>
      <c r="H1986" t="s">
        <v>3489</v>
      </c>
      <c r="I1986" t="s">
        <v>3490</v>
      </c>
      <c r="J1986" t="s">
        <v>2889</v>
      </c>
    </row>
    <row r="1987" spans="1:10" x14ac:dyDescent="0.25">
      <c r="A1987" t="s">
        <v>2366</v>
      </c>
      <c r="B1987" t="s">
        <v>75</v>
      </c>
      <c r="C1987">
        <v>6</v>
      </c>
      <c r="D1987" t="s">
        <v>3054</v>
      </c>
      <c r="E1987">
        <v>63</v>
      </c>
      <c r="F1987">
        <v>21</v>
      </c>
      <c r="G1987">
        <v>42</v>
      </c>
      <c r="H1987" t="s">
        <v>3489</v>
      </c>
      <c r="I1987" t="s">
        <v>3490</v>
      </c>
      <c r="J1987" t="s">
        <v>2961</v>
      </c>
    </row>
    <row r="1988" spans="1:10" x14ac:dyDescent="0.25">
      <c r="A1988" t="s">
        <v>2366</v>
      </c>
      <c r="B1988" t="s">
        <v>75</v>
      </c>
      <c r="C1988">
        <v>6</v>
      </c>
      <c r="D1988" t="s">
        <v>3056</v>
      </c>
      <c r="E1988">
        <v>57</v>
      </c>
      <c r="F1988">
        <v>26</v>
      </c>
      <c r="G1988">
        <v>31</v>
      </c>
      <c r="H1988" t="s">
        <v>3493</v>
      </c>
      <c r="I1988" t="s">
        <v>3490</v>
      </c>
      <c r="J1988" t="s">
        <v>2961</v>
      </c>
    </row>
    <row r="1989" spans="1:10" x14ac:dyDescent="0.25">
      <c r="A1989" t="s">
        <v>2366</v>
      </c>
      <c r="B1989" t="s">
        <v>75</v>
      </c>
      <c r="C1989">
        <v>6</v>
      </c>
      <c r="D1989" t="s">
        <v>3058</v>
      </c>
      <c r="E1989">
        <v>48</v>
      </c>
      <c r="F1989">
        <v>12</v>
      </c>
      <c r="G1989">
        <v>36</v>
      </c>
      <c r="H1989" t="s">
        <v>3491</v>
      </c>
      <c r="I1989" t="s">
        <v>3492</v>
      </c>
      <c r="J1989" t="s">
        <v>2961</v>
      </c>
    </row>
    <row r="1990" spans="1:10" x14ac:dyDescent="0.25">
      <c r="A1990" t="s">
        <v>2366</v>
      </c>
      <c r="B1990" t="s">
        <v>75</v>
      </c>
      <c r="C1990">
        <v>6</v>
      </c>
      <c r="D1990" t="s">
        <v>3060</v>
      </c>
      <c r="E1990">
        <v>73</v>
      </c>
      <c r="F1990">
        <v>24</v>
      </c>
      <c r="G1990">
        <v>49</v>
      </c>
      <c r="H1990" t="s">
        <v>3494</v>
      </c>
      <c r="I1990" t="s">
        <v>3490</v>
      </c>
      <c r="J1990" t="s">
        <v>2961</v>
      </c>
    </row>
    <row r="1991" spans="1:10" x14ac:dyDescent="0.25">
      <c r="A1991" t="s">
        <v>2366</v>
      </c>
      <c r="B1991" t="s">
        <v>75</v>
      </c>
      <c r="C1991">
        <v>6</v>
      </c>
      <c r="D1991" t="s">
        <v>3062</v>
      </c>
      <c r="E1991">
        <v>74</v>
      </c>
      <c r="F1991">
        <v>10</v>
      </c>
      <c r="G1991">
        <v>64</v>
      </c>
      <c r="H1991" t="s">
        <v>3494</v>
      </c>
      <c r="I1991" t="s">
        <v>3490</v>
      </c>
      <c r="J1991" t="s">
        <v>2961</v>
      </c>
    </row>
    <row r="1992" spans="1:10" x14ac:dyDescent="0.25">
      <c r="A1992" t="s">
        <v>2371</v>
      </c>
      <c r="B1992" t="s">
        <v>63</v>
      </c>
      <c r="C1992">
        <v>6</v>
      </c>
      <c r="D1992" t="s">
        <v>3414</v>
      </c>
      <c r="E1992">
        <v>57</v>
      </c>
      <c r="F1992">
        <v>29</v>
      </c>
      <c r="G1992">
        <v>28</v>
      </c>
      <c r="H1992" t="s">
        <v>3493</v>
      </c>
      <c r="I1992" t="s">
        <v>3490</v>
      </c>
      <c r="J1992" t="s">
        <v>2932</v>
      </c>
    </row>
    <row r="1993" spans="1:10" x14ac:dyDescent="0.25">
      <c r="A1993" t="s">
        <v>2371</v>
      </c>
      <c r="B1993" t="s">
        <v>63</v>
      </c>
      <c r="C1993">
        <v>6</v>
      </c>
      <c r="D1993" t="s">
        <v>3416</v>
      </c>
      <c r="E1993">
        <v>58</v>
      </c>
      <c r="F1993">
        <v>10</v>
      </c>
      <c r="G1993">
        <v>48</v>
      </c>
      <c r="H1993" t="s">
        <v>3493</v>
      </c>
      <c r="I1993" t="s">
        <v>3490</v>
      </c>
      <c r="J1993" t="s">
        <v>2932</v>
      </c>
    </row>
    <row r="1994" spans="1:10" x14ac:dyDescent="0.25">
      <c r="A1994" t="s">
        <v>2371</v>
      </c>
      <c r="B1994" t="s">
        <v>63</v>
      </c>
      <c r="C1994">
        <v>6</v>
      </c>
      <c r="D1994" t="s">
        <v>3418</v>
      </c>
      <c r="E1994">
        <v>38</v>
      </c>
      <c r="F1994">
        <v>13</v>
      </c>
      <c r="G1994">
        <v>25</v>
      </c>
      <c r="H1994" t="s">
        <v>3491</v>
      </c>
      <c r="I1994" t="s">
        <v>3492</v>
      </c>
      <c r="J1994" t="s">
        <v>2932</v>
      </c>
    </row>
    <row r="1995" spans="1:10" x14ac:dyDescent="0.25">
      <c r="A1995" t="s">
        <v>2371</v>
      </c>
      <c r="B1995" t="s">
        <v>63</v>
      </c>
      <c r="C1995">
        <v>6</v>
      </c>
      <c r="D1995" t="s">
        <v>3420</v>
      </c>
      <c r="E1995">
        <v>51</v>
      </c>
      <c r="F1995">
        <v>21</v>
      </c>
      <c r="G1995">
        <v>30</v>
      </c>
      <c r="H1995" t="s">
        <v>3493</v>
      </c>
      <c r="I1995" t="s">
        <v>3490</v>
      </c>
      <c r="J1995" t="s">
        <v>2932</v>
      </c>
    </row>
    <row r="1996" spans="1:10" x14ac:dyDescent="0.25">
      <c r="A1996" t="s">
        <v>2371</v>
      </c>
      <c r="B1996" t="s">
        <v>63</v>
      </c>
      <c r="C1996">
        <v>6</v>
      </c>
      <c r="D1996" t="s">
        <v>3422</v>
      </c>
      <c r="E1996">
        <v>82</v>
      </c>
      <c r="F1996">
        <v>17</v>
      </c>
      <c r="G1996">
        <v>65</v>
      </c>
      <c r="H1996" t="s">
        <v>196</v>
      </c>
      <c r="I1996" t="s">
        <v>3490</v>
      </c>
      <c r="J1996" t="s">
        <v>2932</v>
      </c>
    </row>
    <row r="1997" spans="1:10" x14ac:dyDescent="0.25">
      <c r="A1997" t="s">
        <v>2376</v>
      </c>
      <c r="B1997" t="s">
        <v>30</v>
      </c>
      <c r="C1997">
        <v>4</v>
      </c>
      <c r="D1997" t="s">
        <v>3334</v>
      </c>
      <c r="E1997">
        <v>47</v>
      </c>
      <c r="F1997">
        <v>27</v>
      </c>
      <c r="G1997">
        <v>20</v>
      </c>
      <c r="H1997" t="s">
        <v>3491</v>
      </c>
      <c r="I1997" t="s">
        <v>3492</v>
      </c>
      <c r="J1997" t="s">
        <v>2895</v>
      </c>
    </row>
    <row r="1998" spans="1:10" x14ac:dyDescent="0.25">
      <c r="A1998" t="s">
        <v>2376</v>
      </c>
      <c r="B1998" t="s">
        <v>30</v>
      </c>
      <c r="C1998">
        <v>4</v>
      </c>
      <c r="D1998" t="s">
        <v>3336</v>
      </c>
      <c r="E1998">
        <v>47</v>
      </c>
      <c r="F1998">
        <v>15</v>
      </c>
      <c r="G1998">
        <v>32</v>
      </c>
      <c r="H1998" t="s">
        <v>3491</v>
      </c>
      <c r="I1998" t="s">
        <v>3492</v>
      </c>
      <c r="J1998" t="s">
        <v>2895</v>
      </c>
    </row>
    <row r="1999" spans="1:10" x14ac:dyDescent="0.25">
      <c r="A1999" t="s">
        <v>2376</v>
      </c>
      <c r="B1999" t="s">
        <v>30</v>
      </c>
      <c r="C1999">
        <v>4</v>
      </c>
      <c r="D1999" t="s">
        <v>3338</v>
      </c>
      <c r="E1999">
        <v>87</v>
      </c>
      <c r="F1999">
        <v>23</v>
      </c>
      <c r="G1999">
        <v>64</v>
      </c>
      <c r="H1999" t="s">
        <v>196</v>
      </c>
      <c r="I1999" t="s">
        <v>3490</v>
      </c>
      <c r="J1999" t="s">
        <v>2895</v>
      </c>
    </row>
    <row r="2000" spans="1:10" x14ac:dyDescent="0.25">
      <c r="A2000" t="s">
        <v>2376</v>
      </c>
      <c r="B2000" t="s">
        <v>30</v>
      </c>
      <c r="C2000">
        <v>4</v>
      </c>
      <c r="D2000" t="s">
        <v>3340</v>
      </c>
      <c r="E2000">
        <v>41</v>
      </c>
      <c r="F2000">
        <v>15</v>
      </c>
      <c r="G2000">
        <v>26</v>
      </c>
      <c r="H2000" t="s">
        <v>3491</v>
      </c>
      <c r="I2000" t="s">
        <v>3492</v>
      </c>
      <c r="J2000" t="s">
        <v>2895</v>
      </c>
    </row>
    <row r="2001" spans="1:10" x14ac:dyDescent="0.25">
      <c r="A2001" t="s">
        <v>2376</v>
      </c>
      <c r="B2001" t="s">
        <v>30</v>
      </c>
      <c r="C2001">
        <v>4</v>
      </c>
      <c r="D2001" t="s">
        <v>3342</v>
      </c>
      <c r="E2001">
        <v>100</v>
      </c>
      <c r="F2001">
        <v>30</v>
      </c>
      <c r="G2001">
        <v>70</v>
      </c>
      <c r="H2001" t="s">
        <v>3495</v>
      </c>
      <c r="I2001" t="s">
        <v>3490</v>
      </c>
      <c r="J2001" t="s">
        <v>2895</v>
      </c>
    </row>
    <row r="2002" spans="1:10" x14ac:dyDescent="0.25">
      <c r="A2002" t="s">
        <v>2381</v>
      </c>
      <c r="B2002" t="s">
        <v>95</v>
      </c>
      <c r="C2002">
        <v>6</v>
      </c>
      <c r="D2002" t="s">
        <v>3234</v>
      </c>
      <c r="E2002">
        <v>95</v>
      </c>
      <c r="F2002">
        <v>29</v>
      </c>
      <c r="G2002">
        <v>66</v>
      </c>
      <c r="H2002" t="s">
        <v>3495</v>
      </c>
      <c r="I2002" t="s">
        <v>3490</v>
      </c>
      <c r="J2002" t="s">
        <v>2889</v>
      </c>
    </row>
    <row r="2003" spans="1:10" x14ac:dyDescent="0.25">
      <c r="A2003" t="s">
        <v>2381</v>
      </c>
      <c r="B2003" t="s">
        <v>95</v>
      </c>
      <c r="C2003">
        <v>6</v>
      </c>
      <c r="D2003" t="s">
        <v>3236</v>
      </c>
      <c r="E2003">
        <v>39</v>
      </c>
      <c r="F2003">
        <v>15</v>
      </c>
      <c r="G2003">
        <v>24</v>
      </c>
      <c r="H2003" t="s">
        <v>3491</v>
      </c>
      <c r="I2003" t="s">
        <v>3492</v>
      </c>
      <c r="J2003" t="s">
        <v>2889</v>
      </c>
    </row>
    <row r="2004" spans="1:10" x14ac:dyDescent="0.25">
      <c r="A2004" t="s">
        <v>2381</v>
      </c>
      <c r="B2004" t="s">
        <v>95</v>
      </c>
      <c r="C2004">
        <v>6</v>
      </c>
      <c r="D2004" t="s">
        <v>3238</v>
      </c>
      <c r="E2004">
        <v>74</v>
      </c>
      <c r="F2004">
        <v>21</v>
      </c>
      <c r="G2004">
        <v>53</v>
      </c>
      <c r="H2004" t="s">
        <v>3494</v>
      </c>
      <c r="I2004" t="s">
        <v>3490</v>
      </c>
      <c r="J2004" t="s">
        <v>2889</v>
      </c>
    </row>
    <row r="2005" spans="1:10" x14ac:dyDescent="0.25">
      <c r="A2005" t="s">
        <v>2381</v>
      </c>
      <c r="B2005" t="s">
        <v>95</v>
      </c>
      <c r="C2005">
        <v>6</v>
      </c>
      <c r="D2005" t="s">
        <v>3240</v>
      </c>
      <c r="E2005">
        <v>66</v>
      </c>
      <c r="F2005">
        <v>13</v>
      </c>
      <c r="G2005">
        <v>53</v>
      </c>
      <c r="H2005" t="s">
        <v>3489</v>
      </c>
      <c r="I2005" t="s">
        <v>3490</v>
      </c>
      <c r="J2005" t="s">
        <v>2889</v>
      </c>
    </row>
    <row r="2006" spans="1:10" x14ac:dyDescent="0.25">
      <c r="A2006" t="s">
        <v>2381</v>
      </c>
      <c r="B2006" t="s">
        <v>95</v>
      </c>
      <c r="C2006">
        <v>6</v>
      </c>
      <c r="D2006" t="s">
        <v>3242</v>
      </c>
      <c r="E2006">
        <v>79</v>
      </c>
      <c r="F2006">
        <v>28</v>
      </c>
      <c r="G2006">
        <v>51</v>
      </c>
      <c r="H2006" t="s">
        <v>3494</v>
      </c>
      <c r="I2006" t="s">
        <v>3490</v>
      </c>
      <c r="J2006" t="s">
        <v>2889</v>
      </c>
    </row>
    <row r="2007" spans="1:10" x14ac:dyDescent="0.25">
      <c r="A2007" t="s">
        <v>2385</v>
      </c>
      <c r="B2007" t="s">
        <v>63</v>
      </c>
      <c r="C2007">
        <v>6</v>
      </c>
      <c r="D2007" t="s">
        <v>3414</v>
      </c>
      <c r="E2007">
        <v>73</v>
      </c>
      <c r="F2007">
        <v>10</v>
      </c>
      <c r="G2007">
        <v>63</v>
      </c>
      <c r="H2007" t="s">
        <v>3494</v>
      </c>
      <c r="I2007" t="s">
        <v>3490</v>
      </c>
      <c r="J2007" t="s">
        <v>2932</v>
      </c>
    </row>
    <row r="2008" spans="1:10" x14ac:dyDescent="0.25">
      <c r="A2008" t="s">
        <v>2385</v>
      </c>
      <c r="B2008" t="s">
        <v>63</v>
      </c>
      <c r="C2008">
        <v>6</v>
      </c>
      <c r="D2008" t="s">
        <v>3416</v>
      </c>
      <c r="E2008">
        <v>77</v>
      </c>
      <c r="F2008">
        <v>21</v>
      </c>
      <c r="G2008">
        <v>56</v>
      </c>
      <c r="H2008" t="s">
        <v>3494</v>
      </c>
      <c r="I2008" t="s">
        <v>3490</v>
      </c>
      <c r="J2008" t="s">
        <v>2932</v>
      </c>
    </row>
    <row r="2009" spans="1:10" x14ac:dyDescent="0.25">
      <c r="A2009" t="s">
        <v>2385</v>
      </c>
      <c r="B2009" t="s">
        <v>63</v>
      </c>
      <c r="C2009">
        <v>6</v>
      </c>
      <c r="D2009" t="s">
        <v>3418</v>
      </c>
      <c r="E2009">
        <v>60</v>
      </c>
      <c r="F2009">
        <v>13</v>
      </c>
      <c r="G2009">
        <v>47</v>
      </c>
      <c r="H2009" t="s">
        <v>3489</v>
      </c>
      <c r="I2009" t="s">
        <v>3490</v>
      </c>
      <c r="J2009" t="s">
        <v>2932</v>
      </c>
    </row>
    <row r="2010" spans="1:10" x14ac:dyDescent="0.25">
      <c r="A2010" t="s">
        <v>2385</v>
      </c>
      <c r="B2010" t="s">
        <v>63</v>
      </c>
      <c r="C2010">
        <v>6</v>
      </c>
      <c r="D2010" t="s">
        <v>3420</v>
      </c>
      <c r="E2010">
        <v>82</v>
      </c>
      <c r="F2010">
        <v>13</v>
      </c>
      <c r="G2010">
        <v>69</v>
      </c>
      <c r="H2010" t="s">
        <v>196</v>
      </c>
      <c r="I2010" t="s">
        <v>3490</v>
      </c>
      <c r="J2010" t="s">
        <v>2932</v>
      </c>
    </row>
    <row r="2011" spans="1:10" x14ac:dyDescent="0.25">
      <c r="A2011" t="s">
        <v>2385</v>
      </c>
      <c r="B2011" t="s">
        <v>63</v>
      </c>
      <c r="C2011">
        <v>6</v>
      </c>
      <c r="D2011" t="s">
        <v>3422</v>
      </c>
      <c r="E2011">
        <v>65</v>
      </c>
      <c r="F2011">
        <v>13</v>
      </c>
      <c r="G2011">
        <v>52</v>
      </c>
      <c r="H2011" t="s">
        <v>3489</v>
      </c>
      <c r="I2011" t="s">
        <v>3490</v>
      </c>
      <c r="J2011" t="s">
        <v>2932</v>
      </c>
    </row>
    <row r="2012" spans="1:10" x14ac:dyDescent="0.25">
      <c r="A2012" t="s">
        <v>2390</v>
      </c>
      <c r="B2012" t="s">
        <v>212</v>
      </c>
      <c r="C2012">
        <v>6</v>
      </c>
      <c r="D2012" t="s">
        <v>3474</v>
      </c>
      <c r="E2012">
        <v>56</v>
      </c>
      <c r="F2012">
        <v>23</v>
      </c>
      <c r="G2012">
        <v>33</v>
      </c>
      <c r="H2012" t="s">
        <v>3493</v>
      </c>
      <c r="I2012" t="s">
        <v>3490</v>
      </c>
      <c r="J2012" t="s">
        <v>3001</v>
      </c>
    </row>
    <row r="2013" spans="1:10" x14ac:dyDescent="0.25">
      <c r="A2013" t="s">
        <v>2390</v>
      </c>
      <c r="B2013" t="s">
        <v>212</v>
      </c>
      <c r="C2013">
        <v>6</v>
      </c>
      <c r="D2013" t="s">
        <v>3476</v>
      </c>
      <c r="E2013">
        <v>70</v>
      </c>
      <c r="F2013">
        <v>27</v>
      </c>
      <c r="G2013">
        <v>43</v>
      </c>
      <c r="H2013" t="s">
        <v>3494</v>
      </c>
      <c r="I2013" t="s">
        <v>3490</v>
      </c>
      <c r="J2013" t="s">
        <v>3001</v>
      </c>
    </row>
    <row r="2014" spans="1:10" x14ac:dyDescent="0.25">
      <c r="A2014" t="s">
        <v>2390</v>
      </c>
      <c r="B2014" t="s">
        <v>212</v>
      </c>
      <c r="C2014">
        <v>6</v>
      </c>
      <c r="D2014" t="s">
        <v>3478</v>
      </c>
      <c r="E2014">
        <v>75</v>
      </c>
      <c r="F2014">
        <v>20</v>
      </c>
      <c r="G2014">
        <v>55</v>
      </c>
      <c r="H2014" t="s">
        <v>3494</v>
      </c>
      <c r="I2014" t="s">
        <v>3490</v>
      </c>
      <c r="J2014" t="s">
        <v>3001</v>
      </c>
    </row>
    <row r="2015" spans="1:10" x14ac:dyDescent="0.25">
      <c r="A2015" t="s">
        <v>2390</v>
      </c>
      <c r="B2015" t="s">
        <v>212</v>
      </c>
      <c r="C2015">
        <v>6</v>
      </c>
      <c r="D2015" t="s">
        <v>3480</v>
      </c>
      <c r="E2015">
        <v>52</v>
      </c>
      <c r="F2015">
        <v>27</v>
      </c>
      <c r="G2015">
        <v>25</v>
      </c>
      <c r="H2015" t="s">
        <v>3493</v>
      </c>
      <c r="I2015" t="s">
        <v>3490</v>
      </c>
      <c r="J2015" t="s">
        <v>3001</v>
      </c>
    </row>
    <row r="2016" spans="1:10" x14ac:dyDescent="0.25">
      <c r="A2016" t="s">
        <v>2390</v>
      </c>
      <c r="B2016" t="s">
        <v>212</v>
      </c>
      <c r="C2016">
        <v>6</v>
      </c>
      <c r="D2016" t="s">
        <v>3482</v>
      </c>
      <c r="E2016">
        <v>68</v>
      </c>
      <c r="F2016">
        <v>28</v>
      </c>
      <c r="G2016">
        <v>40</v>
      </c>
      <c r="H2016" t="s">
        <v>3489</v>
      </c>
      <c r="I2016" t="s">
        <v>3490</v>
      </c>
      <c r="J2016" t="s">
        <v>3001</v>
      </c>
    </row>
    <row r="2017" spans="1:10" x14ac:dyDescent="0.25">
      <c r="A2017" t="s">
        <v>2394</v>
      </c>
      <c r="B2017" t="s">
        <v>95</v>
      </c>
      <c r="C2017">
        <v>4</v>
      </c>
      <c r="D2017" t="s">
        <v>3214</v>
      </c>
      <c r="E2017">
        <v>95</v>
      </c>
      <c r="F2017">
        <v>28</v>
      </c>
      <c r="G2017">
        <v>67</v>
      </c>
      <c r="H2017" t="s">
        <v>3495</v>
      </c>
      <c r="I2017" t="s">
        <v>3490</v>
      </c>
      <c r="J2017" t="s">
        <v>2889</v>
      </c>
    </row>
    <row r="2018" spans="1:10" x14ac:dyDescent="0.25">
      <c r="A2018" t="s">
        <v>2394</v>
      </c>
      <c r="B2018" t="s">
        <v>95</v>
      </c>
      <c r="C2018">
        <v>4</v>
      </c>
      <c r="D2018" t="s">
        <v>3216</v>
      </c>
      <c r="E2018">
        <v>88</v>
      </c>
      <c r="F2018">
        <v>24</v>
      </c>
      <c r="G2018">
        <v>64</v>
      </c>
      <c r="H2018" t="s">
        <v>196</v>
      </c>
      <c r="I2018" t="s">
        <v>3490</v>
      </c>
      <c r="J2018" t="s">
        <v>2889</v>
      </c>
    </row>
    <row r="2019" spans="1:10" x14ac:dyDescent="0.25">
      <c r="A2019" t="s">
        <v>2394</v>
      </c>
      <c r="B2019" t="s">
        <v>95</v>
      </c>
      <c r="C2019">
        <v>4</v>
      </c>
      <c r="D2019" t="s">
        <v>3218</v>
      </c>
      <c r="E2019">
        <v>55</v>
      </c>
      <c r="F2019">
        <v>25</v>
      </c>
      <c r="G2019">
        <v>30</v>
      </c>
      <c r="H2019" t="s">
        <v>3493</v>
      </c>
      <c r="I2019" t="s">
        <v>3490</v>
      </c>
      <c r="J2019" t="s">
        <v>2889</v>
      </c>
    </row>
    <row r="2020" spans="1:10" x14ac:dyDescent="0.25">
      <c r="A2020" t="s">
        <v>2394</v>
      </c>
      <c r="B2020" t="s">
        <v>95</v>
      </c>
      <c r="C2020">
        <v>4</v>
      </c>
      <c r="D2020" t="s">
        <v>3220</v>
      </c>
      <c r="E2020">
        <v>57</v>
      </c>
      <c r="F2020">
        <v>13</v>
      </c>
      <c r="G2020">
        <v>44</v>
      </c>
      <c r="H2020" t="s">
        <v>3493</v>
      </c>
      <c r="I2020" t="s">
        <v>3490</v>
      </c>
      <c r="J2020" t="s">
        <v>2889</v>
      </c>
    </row>
    <row r="2021" spans="1:10" x14ac:dyDescent="0.25">
      <c r="A2021" t="s">
        <v>2394</v>
      </c>
      <c r="B2021" t="s">
        <v>95</v>
      </c>
      <c r="C2021">
        <v>4</v>
      </c>
      <c r="D2021" t="s">
        <v>3222</v>
      </c>
      <c r="E2021">
        <v>80</v>
      </c>
      <c r="F2021">
        <v>27</v>
      </c>
      <c r="G2021">
        <v>53</v>
      </c>
      <c r="H2021" t="s">
        <v>196</v>
      </c>
      <c r="I2021" t="s">
        <v>3490</v>
      </c>
      <c r="J2021" t="s">
        <v>2889</v>
      </c>
    </row>
    <row r="2022" spans="1:10" x14ac:dyDescent="0.25">
      <c r="A2022" t="s">
        <v>2399</v>
      </c>
      <c r="B2022" t="s">
        <v>159</v>
      </c>
      <c r="C2022">
        <v>8</v>
      </c>
      <c r="D2022" t="s">
        <v>3114</v>
      </c>
      <c r="E2022">
        <v>76</v>
      </c>
      <c r="F2022">
        <v>11</v>
      </c>
      <c r="G2022">
        <v>65</v>
      </c>
      <c r="H2022" t="s">
        <v>3494</v>
      </c>
      <c r="I2022" t="s">
        <v>3490</v>
      </c>
      <c r="J2022" t="s">
        <v>2902</v>
      </c>
    </row>
    <row r="2023" spans="1:10" x14ac:dyDescent="0.25">
      <c r="A2023" t="s">
        <v>2399</v>
      </c>
      <c r="B2023" t="s">
        <v>159</v>
      </c>
      <c r="C2023">
        <v>8</v>
      </c>
      <c r="D2023" t="s">
        <v>3116</v>
      </c>
      <c r="E2023">
        <v>79</v>
      </c>
      <c r="F2023">
        <v>11</v>
      </c>
      <c r="G2023">
        <v>68</v>
      </c>
      <c r="H2023" t="s">
        <v>3494</v>
      </c>
      <c r="I2023" t="s">
        <v>3490</v>
      </c>
      <c r="J2023" t="s">
        <v>2902</v>
      </c>
    </row>
    <row r="2024" spans="1:10" x14ac:dyDescent="0.25">
      <c r="A2024" t="s">
        <v>2399</v>
      </c>
      <c r="B2024" t="s">
        <v>159</v>
      </c>
      <c r="C2024">
        <v>8</v>
      </c>
      <c r="D2024" t="s">
        <v>3118</v>
      </c>
      <c r="E2024">
        <v>55</v>
      </c>
      <c r="F2024">
        <v>20</v>
      </c>
      <c r="G2024">
        <v>35</v>
      </c>
      <c r="H2024" t="s">
        <v>3493</v>
      </c>
      <c r="I2024" t="s">
        <v>3490</v>
      </c>
      <c r="J2024" t="s">
        <v>2902</v>
      </c>
    </row>
    <row r="2025" spans="1:10" x14ac:dyDescent="0.25">
      <c r="A2025" t="s">
        <v>2399</v>
      </c>
      <c r="B2025" t="s">
        <v>159</v>
      </c>
      <c r="C2025">
        <v>8</v>
      </c>
      <c r="D2025" t="s">
        <v>3120</v>
      </c>
      <c r="E2025">
        <v>79</v>
      </c>
      <c r="F2025">
        <v>25</v>
      </c>
      <c r="G2025">
        <v>54</v>
      </c>
      <c r="H2025" t="s">
        <v>3494</v>
      </c>
      <c r="I2025" t="s">
        <v>3490</v>
      </c>
      <c r="J2025" t="s">
        <v>2902</v>
      </c>
    </row>
    <row r="2026" spans="1:10" x14ac:dyDescent="0.25">
      <c r="A2026" t="s">
        <v>2399</v>
      </c>
      <c r="B2026" t="s">
        <v>159</v>
      </c>
      <c r="C2026">
        <v>8</v>
      </c>
      <c r="D2026" t="s">
        <v>3122</v>
      </c>
      <c r="E2026">
        <v>62</v>
      </c>
      <c r="F2026">
        <v>29</v>
      </c>
      <c r="G2026">
        <v>33</v>
      </c>
      <c r="H2026" t="s">
        <v>3489</v>
      </c>
      <c r="I2026" t="s">
        <v>3490</v>
      </c>
      <c r="J2026" t="s">
        <v>2902</v>
      </c>
    </row>
    <row r="2027" spans="1:10" x14ac:dyDescent="0.25">
      <c r="A2027" t="s">
        <v>2404</v>
      </c>
      <c r="B2027" t="s">
        <v>122</v>
      </c>
      <c r="C2027">
        <v>4</v>
      </c>
      <c r="D2027" t="s">
        <v>3274</v>
      </c>
      <c r="E2027">
        <v>67</v>
      </c>
      <c r="F2027">
        <v>12</v>
      </c>
      <c r="G2027">
        <v>55</v>
      </c>
      <c r="H2027" t="s">
        <v>3489</v>
      </c>
      <c r="I2027" t="s">
        <v>3490</v>
      </c>
      <c r="J2027" t="s">
        <v>2919</v>
      </c>
    </row>
    <row r="2028" spans="1:10" x14ac:dyDescent="0.25">
      <c r="A2028" t="s">
        <v>2404</v>
      </c>
      <c r="B2028" t="s">
        <v>122</v>
      </c>
      <c r="C2028">
        <v>4</v>
      </c>
      <c r="D2028" t="s">
        <v>3276</v>
      </c>
      <c r="E2028">
        <v>80</v>
      </c>
      <c r="F2028">
        <v>22</v>
      </c>
      <c r="G2028">
        <v>58</v>
      </c>
      <c r="H2028" t="s">
        <v>196</v>
      </c>
      <c r="I2028" t="s">
        <v>3490</v>
      </c>
      <c r="J2028" t="s">
        <v>2919</v>
      </c>
    </row>
    <row r="2029" spans="1:10" x14ac:dyDescent="0.25">
      <c r="A2029" t="s">
        <v>2404</v>
      </c>
      <c r="B2029" t="s">
        <v>122</v>
      </c>
      <c r="C2029">
        <v>4</v>
      </c>
      <c r="D2029" t="s">
        <v>3278</v>
      </c>
      <c r="E2029">
        <v>66</v>
      </c>
      <c r="F2029">
        <v>14</v>
      </c>
      <c r="G2029">
        <v>52</v>
      </c>
      <c r="H2029" t="s">
        <v>3489</v>
      </c>
      <c r="I2029" t="s">
        <v>3490</v>
      </c>
      <c r="J2029" t="s">
        <v>2919</v>
      </c>
    </row>
    <row r="2030" spans="1:10" x14ac:dyDescent="0.25">
      <c r="A2030" t="s">
        <v>2404</v>
      </c>
      <c r="B2030" t="s">
        <v>122</v>
      </c>
      <c r="C2030">
        <v>4</v>
      </c>
      <c r="D2030" t="s">
        <v>3280</v>
      </c>
      <c r="E2030">
        <v>78</v>
      </c>
      <c r="F2030">
        <v>28</v>
      </c>
      <c r="G2030">
        <v>50</v>
      </c>
      <c r="H2030" t="s">
        <v>3494</v>
      </c>
      <c r="I2030" t="s">
        <v>3490</v>
      </c>
      <c r="J2030" t="s">
        <v>2919</v>
      </c>
    </row>
    <row r="2031" spans="1:10" x14ac:dyDescent="0.25">
      <c r="A2031" t="s">
        <v>2404</v>
      </c>
      <c r="B2031" t="s">
        <v>122</v>
      </c>
      <c r="C2031">
        <v>4</v>
      </c>
      <c r="D2031" t="s">
        <v>3282</v>
      </c>
      <c r="E2031">
        <v>67</v>
      </c>
      <c r="F2031">
        <v>15</v>
      </c>
      <c r="G2031">
        <v>52</v>
      </c>
      <c r="H2031" t="s">
        <v>3489</v>
      </c>
      <c r="I2031" t="s">
        <v>3490</v>
      </c>
      <c r="J2031" t="s">
        <v>2919</v>
      </c>
    </row>
    <row r="2032" spans="1:10" x14ac:dyDescent="0.25">
      <c r="A2032" t="s">
        <v>2409</v>
      </c>
      <c r="B2032" t="s">
        <v>30</v>
      </c>
      <c r="C2032">
        <v>6</v>
      </c>
      <c r="D2032" t="s">
        <v>3354</v>
      </c>
      <c r="E2032">
        <v>59</v>
      </c>
      <c r="F2032">
        <v>18</v>
      </c>
      <c r="G2032">
        <v>41</v>
      </c>
      <c r="H2032" t="s">
        <v>3493</v>
      </c>
      <c r="I2032" t="s">
        <v>3490</v>
      </c>
      <c r="J2032" t="s">
        <v>2895</v>
      </c>
    </row>
    <row r="2033" spans="1:10" x14ac:dyDescent="0.25">
      <c r="A2033" t="s">
        <v>2409</v>
      </c>
      <c r="B2033" t="s">
        <v>30</v>
      </c>
      <c r="C2033">
        <v>6</v>
      </c>
      <c r="D2033" t="s">
        <v>3356</v>
      </c>
      <c r="E2033">
        <v>42</v>
      </c>
      <c r="F2033">
        <v>19</v>
      </c>
      <c r="G2033">
        <v>23</v>
      </c>
      <c r="H2033" t="s">
        <v>3491</v>
      </c>
      <c r="I2033" t="s">
        <v>3492</v>
      </c>
      <c r="J2033" t="s">
        <v>2895</v>
      </c>
    </row>
    <row r="2034" spans="1:10" x14ac:dyDescent="0.25">
      <c r="A2034" t="s">
        <v>2409</v>
      </c>
      <c r="B2034" t="s">
        <v>30</v>
      </c>
      <c r="C2034">
        <v>6</v>
      </c>
      <c r="D2034" t="s">
        <v>3358</v>
      </c>
      <c r="E2034">
        <v>65</v>
      </c>
      <c r="F2034">
        <v>13</v>
      </c>
      <c r="G2034">
        <v>52</v>
      </c>
      <c r="H2034" t="s">
        <v>3489</v>
      </c>
      <c r="I2034" t="s">
        <v>3490</v>
      </c>
      <c r="J2034" t="s">
        <v>2895</v>
      </c>
    </row>
    <row r="2035" spans="1:10" x14ac:dyDescent="0.25">
      <c r="A2035" t="s">
        <v>2409</v>
      </c>
      <c r="B2035" t="s">
        <v>30</v>
      </c>
      <c r="C2035">
        <v>6</v>
      </c>
      <c r="D2035" t="s">
        <v>3360</v>
      </c>
      <c r="E2035">
        <v>44</v>
      </c>
      <c r="F2035">
        <v>14</v>
      </c>
      <c r="G2035">
        <v>30</v>
      </c>
      <c r="H2035" t="s">
        <v>3491</v>
      </c>
      <c r="I2035" t="s">
        <v>3492</v>
      </c>
      <c r="J2035" t="s">
        <v>2895</v>
      </c>
    </row>
    <row r="2036" spans="1:10" x14ac:dyDescent="0.25">
      <c r="A2036" t="s">
        <v>2409</v>
      </c>
      <c r="B2036" t="s">
        <v>30</v>
      </c>
      <c r="C2036">
        <v>6</v>
      </c>
      <c r="D2036" t="s">
        <v>3362</v>
      </c>
      <c r="E2036">
        <v>55</v>
      </c>
      <c r="F2036">
        <v>25</v>
      </c>
      <c r="G2036">
        <v>30</v>
      </c>
      <c r="H2036" t="s">
        <v>3493</v>
      </c>
      <c r="I2036" t="s">
        <v>3490</v>
      </c>
      <c r="J2036" t="s">
        <v>2895</v>
      </c>
    </row>
    <row r="2037" spans="1:10" x14ac:dyDescent="0.25">
      <c r="A2037" t="s">
        <v>2414</v>
      </c>
      <c r="B2037" t="s">
        <v>105</v>
      </c>
      <c r="C2037">
        <v>8</v>
      </c>
      <c r="D2037" t="s">
        <v>3174</v>
      </c>
      <c r="E2037">
        <v>33</v>
      </c>
      <c r="F2037">
        <v>10</v>
      </c>
      <c r="G2037">
        <v>23</v>
      </c>
      <c r="H2037" t="s">
        <v>3491</v>
      </c>
      <c r="I2037" t="s">
        <v>3492</v>
      </c>
      <c r="J2037" t="s">
        <v>2908</v>
      </c>
    </row>
    <row r="2038" spans="1:10" x14ac:dyDescent="0.25">
      <c r="A2038" t="s">
        <v>2414</v>
      </c>
      <c r="B2038" t="s">
        <v>105</v>
      </c>
      <c r="C2038">
        <v>8</v>
      </c>
      <c r="D2038" t="s">
        <v>3176</v>
      </c>
      <c r="E2038">
        <v>70</v>
      </c>
      <c r="F2038">
        <v>15</v>
      </c>
      <c r="G2038">
        <v>55</v>
      </c>
      <c r="H2038" t="s">
        <v>3494</v>
      </c>
      <c r="I2038" t="s">
        <v>3490</v>
      </c>
      <c r="J2038" t="s">
        <v>2908</v>
      </c>
    </row>
    <row r="2039" spans="1:10" x14ac:dyDescent="0.25">
      <c r="A2039" t="s">
        <v>2414</v>
      </c>
      <c r="B2039" t="s">
        <v>105</v>
      </c>
      <c r="C2039">
        <v>8</v>
      </c>
      <c r="D2039" t="s">
        <v>3178</v>
      </c>
      <c r="E2039">
        <v>75</v>
      </c>
      <c r="F2039">
        <v>16</v>
      </c>
      <c r="G2039">
        <v>59</v>
      </c>
      <c r="H2039" t="s">
        <v>3494</v>
      </c>
      <c r="I2039" t="s">
        <v>3490</v>
      </c>
      <c r="J2039" t="s">
        <v>2908</v>
      </c>
    </row>
    <row r="2040" spans="1:10" x14ac:dyDescent="0.25">
      <c r="A2040" t="s">
        <v>2414</v>
      </c>
      <c r="B2040" t="s">
        <v>105</v>
      </c>
      <c r="C2040">
        <v>8</v>
      </c>
      <c r="D2040" t="s">
        <v>3180</v>
      </c>
      <c r="E2040">
        <v>73</v>
      </c>
      <c r="F2040">
        <v>19</v>
      </c>
      <c r="G2040">
        <v>54</v>
      </c>
      <c r="H2040" t="s">
        <v>3494</v>
      </c>
      <c r="I2040" t="s">
        <v>3490</v>
      </c>
      <c r="J2040" t="s">
        <v>2908</v>
      </c>
    </row>
    <row r="2041" spans="1:10" x14ac:dyDescent="0.25">
      <c r="A2041" t="s">
        <v>2414</v>
      </c>
      <c r="B2041" t="s">
        <v>105</v>
      </c>
      <c r="C2041">
        <v>8</v>
      </c>
      <c r="D2041" t="s">
        <v>3182</v>
      </c>
      <c r="E2041">
        <v>74</v>
      </c>
      <c r="F2041">
        <v>14</v>
      </c>
      <c r="G2041">
        <v>60</v>
      </c>
      <c r="H2041" t="s">
        <v>3494</v>
      </c>
      <c r="I2041" t="s">
        <v>3490</v>
      </c>
      <c r="J2041" t="s">
        <v>2908</v>
      </c>
    </row>
    <row r="2042" spans="1:10" x14ac:dyDescent="0.25">
      <c r="A2042" t="s">
        <v>2419</v>
      </c>
      <c r="B2042" t="s">
        <v>63</v>
      </c>
      <c r="C2042">
        <v>8</v>
      </c>
      <c r="D2042" t="s">
        <v>3414</v>
      </c>
      <c r="E2042">
        <v>45</v>
      </c>
      <c r="F2042">
        <v>17</v>
      </c>
      <c r="G2042">
        <v>28</v>
      </c>
      <c r="H2042" t="s">
        <v>3491</v>
      </c>
      <c r="I2042" t="s">
        <v>3492</v>
      </c>
      <c r="J2042" t="s">
        <v>2932</v>
      </c>
    </row>
    <row r="2043" spans="1:10" x14ac:dyDescent="0.25">
      <c r="A2043" t="s">
        <v>2419</v>
      </c>
      <c r="B2043" t="s">
        <v>63</v>
      </c>
      <c r="C2043">
        <v>8</v>
      </c>
      <c r="D2043" t="s">
        <v>3416</v>
      </c>
      <c r="E2043">
        <v>37</v>
      </c>
      <c r="F2043">
        <v>14</v>
      </c>
      <c r="G2043">
        <v>23</v>
      </c>
      <c r="H2043" t="s">
        <v>3491</v>
      </c>
      <c r="I2043" t="s">
        <v>3492</v>
      </c>
      <c r="J2043" t="s">
        <v>2932</v>
      </c>
    </row>
    <row r="2044" spans="1:10" x14ac:dyDescent="0.25">
      <c r="A2044" t="s">
        <v>2419</v>
      </c>
      <c r="B2044" t="s">
        <v>63</v>
      </c>
      <c r="C2044">
        <v>8</v>
      </c>
      <c r="D2044" t="s">
        <v>3418</v>
      </c>
      <c r="E2044">
        <v>43</v>
      </c>
      <c r="F2044">
        <v>18</v>
      </c>
      <c r="G2044">
        <v>25</v>
      </c>
      <c r="H2044" t="s">
        <v>3491</v>
      </c>
      <c r="I2044" t="s">
        <v>3492</v>
      </c>
      <c r="J2044" t="s">
        <v>2932</v>
      </c>
    </row>
    <row r="2045" spans="1:10" x14ac:dyDescent="0.25">
      <c r="A2045" t="s">
        <v>2419</v>
      </c>
      <c r="B2045" t="s">
        <v>63</v>
      </c>
      <c r="C2045">
        <v>8</v>
      </c>
      <c r="D2045" t="s">
        <v>3420</v>
      </c>
      <c r="E2045">
        <v>55</v>
      </c>
      <c r="F2045">
        <v>18</v>
      </c>
      <c r="G2045">
        <v>37</v>
      </c>
      <c r="H2045" t="s">
        <v>3493</v>
      </c>
      <c r="I2045" t="s">
        <v>3490</v>
      </c>
      <c r="J2045" t="s">
        <v>2932</v>
      </c>
    </row>
    <row r="2046" spans="1:10" x14ac:dyDescent="0.25">
      <c r="A2046" t="s">
        <v>2419</v>
      </c>
      <c r="B2046" t="s">
        <v>63</v>
      </c>
      <c r="C2046">
        <v>8</v>
      </c>
      <c r="D2046" t="s">
        <v>3422</v>
      </c>
      <c r="E2046">
        <v>62</v>
      </c>
      <c r="F2046">
        <v>25</v>
      </c>
      <c r="G2046">
        <v>37</v>
      </c>
      <c r="H2046" t="s">
        <v>3489</v>
      </c>
      <c r="I2046" t="s">
        <v>3490</v>
      </c>
      <c r="J2046" t="s">
        <v>2932</v>
      </c>
    </row>
    <row r="2047" spans="1:10" x14ac:dyDescent="0.25">
      <c r="A2047" t="s">
        <v>2423</v>
      </c>
      <c r="B2047" t="s">
        <v>105</v>
      </c>
      <c r="C2047">
        <v>8</v>
      </c>
      <c r="D2047" t="s">
        <v>3174</v>
      </c>
      <c r="E2047">
        <v>63</v>
      </c>
      <c r="F2047">
        <v>30</v>
      </c>
      <c r="G2047">
        <v>33</v>
      </c>
      <c r="H2047" t="s">
        <v>3489</v>
      </c>
      <c r="I2047" t="s">
        <v>3490</v>
      </c>
      <c r="J2047" t="s">
        <v>2908</v>
      </c>
    </row>
    <row r="2048" spans="1:10" x14ac:dyDescent="0.25">
      <c r="A2048" t="s">
        <v>2423</v>
      </c>
      <c r="B2048" t="s">
        <v>105</v>
      </c>
      <c r="C2048">
        <v>8</v>
      </c>
      <c r="D2048" t="s">
        <v>3176</v>
      </c>
      <c r="E2048">
        <v>81</v>
      </c>
      <c r="F2048">
        <v>14</v>
      </c>
      <c r="G2048">
        <v>67</v>
      </c>
      <c r="H2048" t="s">
        <v>196</v>
      </c>
      <c r="I2048" t="s">
        <v>3490</v>
      </c>
      <c r="J2048" t="s">
        <v>2908</v>
      </c>
    </row>
    <row r="2049" spans="1:10" x14ac:dyDescent="0.25">
      <c r="A2049" t="s">
        <v>2423</v>
      </c>
      <c r="B2049" t="s">
        <v>105</v>
      </c>
      <c r="C2049">
        <v>8</v>
      </c>
      <c r="D2049" t="s">
        <v>3178</v>
      </c>
      <c r="E2049">
        <v>93</v>
      </c>
      <c r="F2049">
        <v>26</v>
      </c>
      <c r="G2049">
        <v>67</v>
      </c>
      <c r="H2049" t="s">
        <v>3495</v>
      </c>
      <c r="I2049" t="s">
        <v>3490</v>
      </c>
      <c r="J2049" t="s">
        <v>2908</v>
      </c>
    </row>
    <row r="2050" spans="1:10" x14ac:dyDescent="0.25">
      <c r="A2050" t="s">
        <v>2423</v>
      </c>
      <c r="B2050" t="s">
        <v>105</v>
      </c>
      <c r="C2050">
        <v>8</v>
      </c>
      <c r="D2050" t="s">
        <v>3180</v>
      </c>
      <c r="E2050">
        <v>37</v>
      </c>
      <c r="F2050">
        <v>13</v>
      </c>
      <c r="G2050">
        <v>24</v>
      </c>
      <c r="H2050" t="s">
        <v>3491</v>
      </c>
      <c r="I2050" t="s">
        <v>3492</v>
      </c>
      <c r="J2050" t="s">
        <v>2908</v>
      </c>
    </row>
    <row r="2051" spans="1:10" x14ac:dyDescent="0.25">
      <c r="A2051" t="s">
        <v>2423</v>
      </c>
      <c r="B2051" t="s">
        <v>105</v>
      </c>
      <c r="C2051">
        <v>8</v>
      </c>
      <c r="D2051" t="s">
        <v>3182</v>
      </c>
      <c r="E2051">
        <v>66</v>
      </c>
      <c r="F2051">
        <v>23</v>
      </c>
      <c r="G2051">
        <v>43</v>
      </c>
      <c r="H2051" t="s">
        <v>3489</v>
      </c>
      <c r="I2051" t="s">
        <v>3490</v>
      </c>
      <c r="J2051" t="s">
        <v>2908</v>
      </c>
    </row>
    <row r="2052" spans="1:10" x14ac:dyDescent="0.25">
      <c r="A2052" t="s">
        <v>2428</v>
      </c>
      <c r="B2052" t="s">
        <v>105</v>
      </c>
      <c r="C2052">
        <v>4</v>
      </c>
      <c r="D2052" t="s">
        <v>3154</v>
      </c>
      <c r="E2052">
        <v>86</v>
      </c>
      <c r="F2052">
        <v>28</v>
      </c>
      <c r="G2052">
        <v>58</v>
      </c>
      <c r="H2052" t="s">
        <v>196</v>
      </c>
      <c r="I2052" t="s">
        <v>3490</v>
      </c>
      <c r="J2052" t="s">
        <v>2908</v>
      </c>
    </row>
    <row r="2053" spans="1:10" x14ac:dyDescent="0.25">
      <c r="A2053" t="s">
        <v>2428</v>
      </c>
      <c r="B2053" t="s">
        <v>105</v>
      </c>
      <c r="C2053">
        <v>4</v>
      </c>
      <c r="D2053" t="s">
        <v>3156</v>
      </c>
      <c r="E2053">
        <v>80</v>
      </c>
      <c r="F2053">
        <v>16</v>
      </c>
      <c r="G2053">
        <v>64</v>
      </c>
      <c r="H2053" t="s">
        <v>196</v>
      </c>
      <c r="I2053" t="s">
        <v>3490</v>
      </c>
      <c r="J2053" t="s">
        <v>2908</v>
      </c>
    </row>
    <row r="2054" spans="1:10" x14ac:dyDescent="0.25">
      <c r="A2054" t="s">
        <v>2428</v>
      </c>
      <c r="B2054" t="s">
        <v>105</v>
      </c>
      <c r="C2054">
        <v>4</v>
      </c>
      <c r="D2054" t="s">
        <v>3158</v>
      </c>
      <c r="E2054">
        <v>73</v>
      </c>
      <c r="F2054">
        <v>10</v>
      </c>
      <c r="G2054">
        <v>63</v>
      </c>
      <c r="H2054" t="s">
        <v>3494</v>
      </c>
      <c r="I2054" t="s">
        <v>3490</v>
      </c>
      <c r="J2054" t="s">
        <v>2908</v>
      </c>
    </row>
    <row r="2055" spans="1:10" x14ac:dyDescent="0.25">
      <c r="A2055" t="s">
        <v>2428</v>
      </c>
      <c r="B2055" t="s">
        <v>105</v>
      </c>
      <c r="C2055">
        <v>4</v>
      </c>
      <c r="D2055" t="s">
        <v>3160</v>
      </c>
      <c r="E2055">
        <v>81</v>
      </c>
      <c r="F2055">
        <v>14</v>
      </c>
      <c r="G2055">
        <v>67</v>
      </c>
      <c r="H2055" t="s">
        <v>196</v>
      </c>
      <c r="I2055" t="s">
        <v>3490</v>
      </c>
      <c r="J2055" t="s">
        <v>2908</v>
      </c>
    </row>
    <row r="2056" spans="1:10" x14ac:dyDescent="0.25">
      <c r="A2056" t="s">
        <v>2428</v>
      </c>
      <c r="B2056" t="s">
        <v>105</v>
      </c>
      <c r="C2056">
        <v>4</v>
      </c>
      <c r="D2056" t="s">
        <v>3162</v>
      </c>
      <c r="E2056">
        <v>97</v>
      </c>
      <c r="F2056">
        <v>30</v>
      </c>
      <c r="G2056">
        <v>67</v>
      </c>
      <c r="H2056" t="s">
        <v>3495</v>
      </c>
      <c r="I2056" t="s">
        <v>3490</v>
      </c>
      <c r="J2056" t="s">
        <v>2908</v>
      </c>
    </row>
    <row r="2057" spans="1:10" x14ac:dyDescent="0.25">
      <c r="A2057" t="s">
        <v>2433</v>
      </c>
      <c r="B2057" t="s">
        <v>122</v>
      </c>
      <c r="C2057">
        <v>8</v>
      </c>
      <c r="D2057" t="s">
        <v>3294</v>
      </c>
      <c r="E2057">
        <v>38</v>
      </c>
      <c r="F2057">
        <v>10</v>
      </c>
      <c r="G2057">
        <v>28</v>
      </c>
      <c r="H2057" t="s">
        <v>3491</v>
      </c>
      <c r="I2057" t="s">
        <v>3492</v>
      </c>
      <c r="J2057" t="s">
        <v>2919</v>
      </c>
    </row>
    <row r="2058" spans="1:10" x14ac:dyDescent="0.25">
      <c r="A2058" t="s">
        <v>2433</v>
      </c>
      <c r="B2058" t="s">
        <v>122</v>
      </c>
      <c r="C2058">
        <v>8</v>
      </c>
      <c r="D2058" t="s">
        <v>3296</v>
      </c>
      <c r="E2058">
        <v>71</v>
      </c>
      <c r="F2058">
        <v>11</v>
      </c>
      <c r="G2058">
        <v>60</v>
      </c>
      <c r="H2058" t="s">
        <v>3494</v>
      </c>
      <c r="I2058" t="s">
        <v>3490</v>
      </c>
      <c r="J2058" t="s">
        <v>2919</v>
      </c>
    </row>
    <row r="2059" spans="1:10" x14ac:dyDescent="0.25">
      <c r="A2059" t="s">
        <v>2433</v>
      </c>
      <c r="B2059" t="s">
        <v>122</v>
      </c>
      <c r="C2059">
        <v>8</v>
      </c>
      <c r="D2059" t="s">
        <v>3298</v>
      </c>
      <c r="E2059">
        <v>39</v>
      </c>
      <c r="F2059">
        <v>16</v>
      </c>
      <c r="G2059">
        <v>23</v>
      </c>
      <c r="H2059" t="s">
        <v>3491</v>
      </c>
      <c r="I2059" t="s">
        <v>3492</v>
      </c>
      <c r="J2059" t="s">
        <v>2919</v>
      </c>
    </row>
    <row r="2060" spans="1:10" x14ac:dyDescent="0.25">
      <c r="A2060" t="s">
        <v>2433</v>
      </c>
      <c r="B2060" t="s">
        <v>122</v>
      </c>
      <c r="C2060">
        <v>8</v>
      </c>
      <c r="D2060" t="s">
        <v>3300</v>
      </c>
      <c r="E2060">
        <v>83</v>
      </c>
      <c r="F2060">
        <v>18</v>
      </c>
      <c r="G2060">
        <v>65</v>
      </c>
      <c r="H2060" t="s">
        <v>196</v>
      </c>
      <c r="I2060" t="s">
        <v>3490</v>
      </c>
      <c r="J2060" t="s">
        <v>2919</v>
      </c>
    </row>
    <row r="2061" spans="1:10" x14ac:dyDescent="0.25">
      <c r="A2061" t="s">
        <v>2433</v>
      </c>
      <c r="B2061" t="s">
        <v>122</v>
      </c>
      <c r="C2061">
        <v>8</v>
      </c>
      <c r="D2061" t="s">
        <v>3302</v>
      </c>
      <c r="E2061">
        <v>48</v>
      </c>
      <c r="F2061">
        <v>14</v>
      </c>
      <c r="G2061">
        <v>34</v>
      </c>
      <c r="H2061" t="s">
        <v>3491</v>
      </c>
      <c r="I2061" t="s">
        <v>3492</v>
      </c>
      <c r="J2061" t="s">
        <v>2919</v>
      </c>
    </row>
    <row r="2062" spans="1:10" x14ac:dyDescent="0.25">
      <c r="A2062" t="s">
        <v>2439</v>
      </c>
      <c r="B2062" t="s">
        <v>95</v>
      </c>
      <c r="C2062">
        <v>6</v>
      </c>
      <c r="D2062" t="s">
        <v>3234</v>
      </c>
      <c r="E2062">
        <v>42</v>
      </c>
      <c r="F2062">
        <v>14</v>
      </c>
      <c r="G2062">
        <v>28</v>
      </c>
      <c r="H2062" t="s">
        <v>3491</v>
      </c>
      <c r="I2062" t="s">
        <v>3492</v>
      </c>
      <c r="J2062" t="s">
        <v>2889</v>
      </c>
    </row>
    <row r="2063" spans="1:10" x14ac:dyDescent="0.25">
      <c r="A2063" t="s">
        <v>2439</v>
      </c>
      <c r="B2063" t="s">
        <v>95</v>
      </c>
      <c r="C2063">
        <v>6</v>
      </c>
      <c r="D2063" t="s">
        <v>3236</v>
      </c>
      <c r="E2063">
        <v>75</v>
      </c>
      <c r="F2063">
        <v>24</v>
      </c>
      <c r="G2063">
        <v>51</v>
      </c>
      <c r="H2063" t="s">
        <v>3494</v>
      </c>
      <c r="I2063" t="s">
        <v>3490</v>
      </c>
      <c r="J2063" t="s">
        <v>2889</v>
      </c>
    </row>
    <row r="2064" spans="1:10" x14ac:dyDescent="0.25">
      <c r="A2064" t="s">
        <v>2439</v>
      </c>
      <c r="B2064" t="s">
        <v>95</v>
      </c>
      <c r="C2064">
        <v>6</v>
      </c>
      <c r="D2064" t="s">
        <v>3238</v>
      </c>
      <c r="E2064">
        <v>49</v>
      </c>
      <c r="F2064">
        <v>21</v>
      </c>
      <c r="G2064">
        <v>28</v>
      </c>
      <c r="H2064" t="s">
        <v>3491</v>
      </c>
      <c r="I2064" t="s">
        <v>3492</v>
      </c>
      <c r="J2064" t="s">
        <v>2889</v>
      </c>
    </row>
    <row r="2065" spans="1:10" x14ac:dyDescent="0.25">
      <c r="A2065" t="s">
        <v>2439</v>
      </c>
      <c r="B2065" t="s">
        <v>95</v>
      </c>
      <c r="C2065">
        <v>6</v>
      </c>
      <c r="D2065" t="s">
        <v>3240</v>
      </c>
      <c r="E2065">
        <v>48</v>
      </c>
      <c r="F2065">
        <v>13</v>
      </c>
      <c r="G2065">
        <v>35</v>
      </c>
      <c r="H2065" t="s">
        <v>3491</v>
      </c>
      <c r="I2065" t="s">
        <v>3492</v>
      </c>
      <c r="J2065" t="s">
        <v>2889</v>
      </c>
    </row>
    <row r="2066" spans="1:10" x14ac:dyDescent="0.25">
      <c r="A2066" t="s">
        <v>2439</v>
      </c>
      <c r="B2066" t="s">
        <v>95</v>
      </c>
      <c r="C2066">
        <v>6</v>
      </c>
      <c r="D2066" t="s">
        <v>3242</v>
      </c>
      <c r="E2066">
        <v>86</v>
      </c>
      <c r="F2066">
        <v>21</v>
      </c>
      <c r="G2066">
        <v>65</v>
      </c>
      <c r="H2066" t="s">
        <v>196</v>
      </c>
      <c r="I2066" t="s">
        <v>3490</v>
      </c>
      <c r="J2066" t="s">
        <v>2889</v>
      </c>
    </row>
    <row r="2067" spans="1:10" x14ac:dyDescent="0.25">
      <c r="A2067" t="s">
        <v>2444</v>
      </c>
      <c r="B2067" t="s">
        <v>212</v>
      </c>
      <c r="C2067">
        <v>8</v>
      </c>
      <c r="D2067" t="s">
        <v>3474</v>
      </c>
      <c r="E2067">
        <v>38</v>
      </c>
      <c r="F2067">
        <v>16</v>
      </c>
      <c r="G2067">
        <v>22</v>
      </c>
      <c r="H2067" t="s">
        <v>3491</v>
      </c>
      <c r="I2067" t="s">
        <v>3492</v>
      </c>
      <c r="J2067" t="s">
        <v>3001</v>
      </c>
    </row>
    <row r="2068" spans="1:10" x14ac:dyDescent="0.25">
      <c r="A2068" t="s">
        <v>2444</v>
      </c>
      <c r="B2068" t="s">
        <v>212</v>
      </c>
      <c r="C2068">
        <v>8</v>
      </c>
      <c r="D2068" t="s">
        <v>3476</v>
      </c>
      <c r="E2068">
        <v>66</v>
      </c>
      <c r="F2068">
        <v>14</v>
      </c>
      <c r="G2068">
        <v>52</v>
      </c>
      <c r="H2068" t="s">
        <v>3489</v>
      </c>
      <c r="I2068" t="s">
        <v>3490</v>
      </c>
      <c r="J2068" t="s">
        <v>3001</v>
      </c>
    </row>
    <row r="2069" spans="1:10" x14ac:dyDescent="0.25">
      <c r="A2069" t="s">
        <v>2444</v>
      </c>
      <c r="B2069" t="s">
        <v>212</v>
      </c>
      <c r="C2069">
        <v>8</v>
      </c>
      <c r="D2069" t="s">
        <v>3478</v>
      </c>
      <c r="E2069">
        <v>58</v>
      </c>
      <c r="F2069">
        <v>12</v>
      </c>
      <c r="G2069">
        <v>46</v>
      </c>
      <c r="H2069" t="s">
        <v>3493</v>
      </c>
      <c r="I2069" t="s">
        <v>3490</v>
      </c>
      <c r="J2069" t="s">
        <v>3001</v>
      </c>
    </row>
    <row r="2070" spans="1:10" x14ac:dyDescent="0.25">
      <c r="A2070" t="s">
        <v>2444</v>
      </c>
      <c r="B2070" t="s">
        <v>212</v>
      </c>
      <c r="C2070">
        <v>8</v>
      </c>
      <c r="D2070" t="s">
        <v>3480</v>
      </c>
      <c r="E2070">
        <v>43</v>
      </c>
      <c r="F2070">
        <v>20</v>
      </c>
      <c r="G2070">
        <v>23</v>
      </c>
      <c r="H2070" t="s">
        <v>3491</v>
      </c>
      <c r="I2070" t="s">
        <v>3492</v>
      </c>
      <c r="J2070" t="s">
        <v>3001</v>
      </c>
    </row>
    <row r="2071" spans="1:10" x14ac:dyDescent="0.25">
      <c r="A2071" t="s">
        <v>2444</v>
      </c>
      <c r="B2071" t="s">
        <v>212</v>
      </c>
      <c r="C2071">
        <v>8</v>
      </c>
      <c r="D2071" t="s">
        <v>3482</v>
      </c>
      <c r="E2071">
        <v>59</v>
      </c>
      <c r="F2071">
        <v>23</v>
      </c>
      <c r="G2071">
        <v>36</v>
      </c>
      <c r="H2071" t="s">
        <v>3493</v>
      </c>
      <c r="I2071" t="s">
        <v>3490</v>
      </c>
      <c r="J2071" t="s">
        <v>3001</v>
      </c>
    </row>
    <row r="2072" spans="1:10" x14ac:dyDescent="0.25">
      <c r="A2072" t="s">
        <v>2449</v>
      </c>
      <c r="B2072" t="s">
        <v>105</v>
      </c>
      <c r="C2072">
        <v>8</v>
      </c>
      <c r="D2072" t="s">
        <v>3174</v>
      </c>
      <c r="E2072">
        <v>54</v>
      </c>
      <c r="F2072">
        <v>22</v>
      </c>
      <c r="G2072">
        <v>32</v>
      </c>
      <c r="H2072" t="s">
        <v>3493</v>
      </c>
      <c r="I2072" t="s">
        <v>3490</v>
      </c>
      <c r="J2072" t="s">
        <v>2908</v>
      </c>
    </row>
    <row r="2073" spans="1:10" x14ac:dyDescent="0.25">
      <c r="A2073" t="s">
        <v>2449</v>
      </c>
      <c r="B2073" t="s">
        <v>105</v>
      </c>
      <c r="C2073">
        <v>8</v>
      </c>
      <c r="D2073" t="s">
        <v>3176</v>
      </c>
      <c r="E2073">
        <v>73</v>
      </c>
      <c r="F2073">
        <v>10</v>
      </c>
      <c r="G2073">
        <v>63</v>
      </c>
      <c r="H2073" t="s">
        <v>3494</v>
      </c>
      <c r="I2073" t="s">
        <v>3490</v>
      </c>
      <c r="J2073" t="s">
        <v>2908</v>
      </c>
    </row>
    <row r="2074" spans="1:10" x14ac:dyDescent="0.25">
      <c r="A2074" t="s">
        <v>2449</v>
      </c>
      <c r="B2074" t="s">
        <v>105</v>
      </c>
      <c r="C2074">
        <v>8</v>
      </c>
      <c r="D2074" t="s">
        <v>3178</v>
      </c>
      <c r="E2074">
        <v>53</v>
      </c>
      <c r="F2074">
        <v>11</v>
      </c>
      <c r="G2074">
        <v>42</v>
      </c>
      <c r="H2074" t="s">
        <v>3493</v>
      </c>
      <c r="I2074" t="s">
        <v>3490</v>
      </c>
      <c r="J2074" t="s">
        <v>2908</v>
      </c>
    </row>
    <row r="2075" spans="1:10" x14ac:dyDescent="0.25">
      <c r="A2075" t="s">
        <v>2449</v>
      </c>
      <c r="B2075" t="s">
        <v>105</v>
      </c>
      <c r="C2075">
        <v>8</v>
      </c>
      <c r="D2075" t="s">
        <v>3180</v>
      </c>
      <c r="E2075">
        <v>63</v>
      </c>
      <c r="F2075">
        <v>29</v>
      </c>
      <c r="G2075">
        <v>34</v>
      </c>
      <c r="H2075" t="s">
        <v>3489</v>
      </c>
      <c r="I2075" t="s">
        <v>3490</v>
      </c>
      <c r="J2075" t="s">
        <v>2908</v>
      </c>
    </row>
    <row r="2076" spans="1:10" x14ac:dyDescent="0.25">
      <c r="A2076" t="s">
        <v>2449</v>
      </c>
      <c r="B2076" t="s">
        <v>105</v>
      </c>
      <c r="C2076">
        <v>8</v>
      </c>
      <c r="D2076" t="s">
        <v>3182</v>
      </c>
      <c r="E2076">
        <v>73</v>
      </c>
      <c r="F2076">
        <v>24</v>
      </c>
      <c r="G2076">
        <v>49</v>
      </c>
      <c r="H2076" t="s">
        <v>3494</v>
      </c>
      <c r="I2076" t="s">
        <v>3490</v>
      </c>
      <c r="J2076" t="s">
        <v>2908</v>
      </c>
    </row>
    <row r="2077" spans="1:10" x14ac:dyDescent="0.25">
      <c r="A2077" t="s">
        <v>2454</v>
      </c>
      <c r="B2077" t="s">
        <v>105</v>
      </c>
      <c r="C2077">
        <v>4</v>
      </c>
      <c r="D2077" t="s">
        <v>3154</v>
      </c>
      <c r="E2077">
        <v>66</v>
      </c>
      <c r="F2077">
        <v>24</v>
      </c>
      <c r="G2077">
        <v>42</v>
      </c>
      <c r="H2077" t="s">
        <v>3489</v>
      </c>
      <c r="I2077" t="s">
        <v>3490</v>
      </c>
      <c r="J2077" t="s">
        <v>2908</v>
      </c>
    </row>
    <row r="2078" spans="1:10" x14ac:dyDescent="0.25">
      <c r="A2078" t="s">
        <v>2454</v>
      </c>
      <c r="B2078" t="s">
        <v>105</v>
      </c>
      <c r="C2078">
        <v>4</v>
      </c>
      <c r="D2078" t="s">
        <v>3156</v>
      </c>
      <c r="E2078">
        <v>79</v>
      </c>
      <c r="F2078">
        <v>22</v>
      </c>
      <c r="G2078">
        <v>57</v>
      </c>
      <c r="H2078" t="s">
        <v>3494</v>
      </c>
      <c r="I2078" t="s">
        <v>3490</v>
      </c>
      <c r="J2078" t="s">
        <v>2908</v>
      </c>
    </row>
    <row r="2079" spans="1:10" x14ac:dyDescent="0.25">
      <c r="A2079" t="s">
        <v>2454</v>
      </c>
      <c r="B2079" t="s">
        <v>105</v>
      </c>
      <c r="C2079">
        <v>4</v>
      </c>
      <c r="D2079" t="s">
        <v>3158</v>
      </c>
      <c r="E2079">
        <v>72</v>
      </c>
      <c r="F2079">
        <v>13</v>
      </c>
      <c r="G2079">
        <v>59</v>
      </c>
      <c r="H2079" t="s">
        <v>3494</v>
      </c>
      <c r="I2079" t="s">
        <v>3490</v>
      </c>
      <c r="J2079" t="s">
        <v>2908</v>
      </c>
    </row>
    <row r="2080" spans="1:10" x14ac:dyDescent="0.25">
      <c r="A2080" t="s">
        <v>2454</v>
      </c>
      <c r="B2080" t="s">
        <v>105</v>
      </c>
      <c r="C2080">
        <v>4</v>
      </c>
      <c r="D2080" t="s">
        <v>3160</v>
      </c>
      <c r="E2080">
        <v>61</v>
      </c>
      <c r="F2080">
        <v>27</v>
      </c>
      <c r="G2080">
        <v>34</v>
      </c>
      <c r="H2080" t="s">
        <v>3489</v>
      </c>
      <c r="I2080" t="s">
        <v>3490</v>
      </c>
      <c r="J2080" t="s">
        <v>2908</v>
      </c>
    </row>
    <row r="2081" spans="1:10" x14ac:dyDescent="0.25">
      <c r="A2081" t="s">
        <v>2454</v>
      </c>
      <c r="B2081" t="s">
        <v>105</v>
      </c>
      <c r="C2081">
        <v>4</v>
      </c>
      <c r="D2081" t="s">
        <v>3162</v>
      </c>
      <c r="E2081">
        <v>83</v>
      </c>
      <c r="F2081">
        <v>14</v>
      </c>
      <c r="G2081">
        <v>69</v>
      </c>
      <c r="H2081" t="s">
        <v>196</v>
      </c>
      <c r="I2081" t="s">
        <v>3490</v>
      </c>
      <c r="J2081" t="s">
        <v>2908</v>
      </c>
    </row>
    <row r="2082" spans="1:10" x14ac:dyDescent="0.25">
      <c r="A2082" t="s">
        <v>2459</v>
      </c>
      <c r="B2082" t="s">
        <v>95</v>
      </c>
      <c r="C2082">
        <v>4</v>
      </c>
      <c r="D2082" t="s">
        <v>3214</v>
      </c>
      <c r="E2082">
        <v>75</v>
      </c>
      <c r="F2082">
        <v>12</v>
      </c>
      <c r="G2082">
        <v>63</v>
      </c>
      <c r="H2082" t="s">
        <v>3494</v>
      </c>
      <c r="I2082" t="s">
        <v>3490</v>
      </c>
      <c r="J2082" t="s">
        <v>2889</v>
      </c>
    </row>
    <row r="2083" spans="1:10" x14ac:dyDescent="0.25">
      <c r="A2083" t="s">
        <v>2459</v>
      </c>
      <c r="B2083" t="s">
        <v>95</v>
      </c>
      <c r="C2083">
        <v>4</v>
      </c>
      <c r="D2083" t="s">
        <v>3216</v>
      </c>
      <c r="E2083">
        <v>71</v>
      </c>
      <c r="F2083">
        <v>10</v>
      </c>
      <c r="G2083">
        <v>61</v>
      </c>
      <c r="H2083" t="s">
        <v>3494</v>
      </c>
      <c r="I2083" t="s">
        <v>3490</v>
      </c>
      <c r="J2083" t="s">
        <v>2889</v>
      </c>
    </row>
    <row r="2084" spans="1:10" x14ac:dyDescent="0.25">
      <c r="A2084" t="s">
        <v>2459</v>
      </c>
      <c r="B2084" t="s">
        <v>95</v>
      </c>
      <c r="C2084">
        <v>4</v>
      </c>
      <c r="D2084" t="s">
        <v>3218</v>
      </c>
      <c r="E2084">
        <v>73</v>
      </c>
      <c r="F2084">
        <v>15</v>
      </c>
      <c r="G2084">
        <v>58</v>
      </c>
      <c r="H2084" t="s">
        <v>3494</v>
      </c>
      <c r="I2084" t="s">
        <v>3490</v>
      </c>
      <c r="J2084" t="s">
        <v>2889</v>
      </c>
    </row>
    <row r="2085" spans="1:10" x14ac:dyDescent="0.25">
      <c r="A2085" t="s">
        <v>2459</v>
      </c>
      <c r="B2085" t="s">
        <v>95</v>
      </c>
      <c r="C2085">
        <v>4</v>
      </c>
      <c r="D2085" t="s">
        <v>3220</v>
      </c>
      <c r="E2085">
        <v>58</v>
      </c>
      <c r="F2085">
        <v>12</v>
      </c>
      <c r="G2085">
        <v>46</v>
      </c>
      <c r="H2085" t="s">
        <v>3493</v>
      </c>
      <c r="I2085" t="s">
        <v>3490</v>
      </c>
      <c r="J2085" t="s">
        <v>2889</v>
      </c>
    </row>
    <row r="2086" spans="1:10" x14ac:dyDescent="0.25">
      <c r="A2086" t="s">
        <v>2459</v>
      </c>
      <c r="B2086" t="s">
        <v>95</v>
      </c>
      <c r="C2086">
        <v>4</v>
      </c>
      <c r="D2086" t="s">
        <v>3222</v>
      </c>
      <c r="E2086">
        <v>62</v>
      </c>
      <c r="F2086">
        <v>12</v>
      </c>
      <c r="G2086">
        <v>50</v>
      </c>
      <c r="H2086" t="s">
        <v>3489</v>
      </c>
      <c r="I2086" t="s">
        <v>3490</v>
      </c>
      <c r="J2086" t="s">
        <v>2889</v>
      </c>
    </row>
    <row r="2087" spans="1:10" x14ac:dyDescent="0.25">
      <c r="A2087" t="s">
        <v>2464</v>
      </c>
      <c r="B2087" t="s">
        <v>63</v>
      </c>
      <c r="C2087">
        <v>4</v>
      </c>
      <c r="D2087" t="s">
        <v>3394</v>
      </c>
      <c r="E2087">
        <v>63</v>
      </c>
      <c r="F2087">
        <v>19</v>
      </c>
      <c r="G2087">
        <v>44</v>
      </c>
      <c r="H2087" t="s">
        <v>3489</v>
      </c>
      <c r="I2087" t="s">
        <v>3490</v>
      </c>
      <c r="J2087" t="s">
        <v>2932</v>
      </c>
    </row>
    <row r="2088" spans="1:10" x14ac:dyDescent="0.25">
      <c r="A2088" t="s">
        <v>2464</v>
      </c>
      <c r="B2088" t="s">
        <v>63</v>
      </c>
      <c r="C2088">
        <v>4</v>
      </c>
      <c r="D2088" t="s">
        <v>3396</v>
      </c>
      <c r="E2088">
        <v>51</v>
      </c>
      <c r="F2088">
        <v>29</v>
      </c>
      <c r="G2088">
        <v>22</v>
      </c>
      <c r="H2088" t="s">
        <v>3493</v>
      </c>
      <c r="I2088" t="s">
        <v>3490</v>
      </c>
      <c r="J2088" t="s">
        <v>2932</v>
      </c>
    </row>
    <row r="2089" spans="1:10" x14ac:dyDescent="0.25">
      <c r="A2089" t="s">
        <v>2464</v>
      </c>
      <c r="B2089" t="s">
        <v>63</v>
      </c>
      <c r="C2089">
        <v>4</v>
      </c>
      <c r="D2089" t="s">
        <v>3398</v>
      </c>
      <c r="E2089">
        <v>72</v>
      </c>
      <c r="F2089">
        <v>15</v>
      </c>
      <c r="G2089">
        <v>57</v>
      </c>
      <c r="H2089" t="s">
        <v>3494</v>
      </c>
      <c r="I2089" t="s">
        <v>3490</v>
      </c>
      <c r="J2089" t="s">
        <v>2932</v>
      </c>
    </row>
    <row r="2090" spans="1:10" x14ac:dyDescent="0.25">
      <c r="A2090" t="s">
        <v>2464</v>
      </c>
      <c r="B2090" t="s">
        <v>63</v>
      </c>
      <c r="C2090">
        <v>4</v>
      </c>
      <c r="D2090" t="s">
        <v>3400</v>
      </c>
      <c r="E2090">
        <v>59</v>
      </c>
      <c r="F2090">
        <v>26</v>
      </c>
      <c r="G2090">
        <v>33</v>
      </c>
      <c r="H2090" t="s">
        <v>3493</v>
      </c>
      <c r="I2090" t="s">
        <v>3490</v>
      </c>
      <c r="J2090" t="s">
        <v>2932</v>
      </c>
    </row>
    <row r="2091" spans="1:10" x14ac:dyDescent="0.25">
      <c r="A2091" t="s">
        <v>2464</v>
      </c>
      <c r="B2091" t="s">
        <v>63</v>
      </c>
      <c r="C2091">
        <v>4</v>
      </c>
      <c r="D2091" t="s">
        <v>3402</v>
      </c>
      <c r="E2091">
        <v>83</v>
      </c>
      <c r="F2091">
        <v>13</v>
      </c>
      <c r="G2091">
        <v>70</v>
      </c>
      <c r="H2091" t="s">
        <v>196</v>
      </c>
      <c r="I2091" t="s">
        <v>3490</v>
      </c>
      <c r="J2091" t="s">
        <v>2932</v>
      </c>
    </row>
    <row r="2092" spans="1:10" x14ac:dyDescent="0.25">
      <c r="A2092" t="s">
        <v>2469</v>
      </c>
      <c r="B2092" t="s">
        <v>159</v>
      </c>
      <c r="C2092">
        <v>8</v>
      </c>
      <c r="D2092" t="s">
        <v>3114</v>
      </c>
      <c r="E2092">
        <v>46</v>
      </c>
      <c r="F2092">
        <v>10</v>
      </c>
      <c r="G2092">
        <v>36</v>
      </c>
      <c r="H2092" t="s">
        <v>3491</v>
      </c>
      <c r="I2092" t="s">
        <v>3492</v>
      </c>
      <c r="J2092" t="s">
        <v>2902</v>
      </c>
    </row>
    <row r="2093" spans="1:10" x14ac:dyDescent="0.25">
      <c r="A2093" t="s">
        <v>2469</v>
      </c>
      <c r="B2093" t="s">
        <v>159</v>
      </c>
      <c r="C2093">
        <v>8</v>
      </c>
      <c r="D2093" t="s">
        <v>3116</v>
      </c>
      <c r="E2093">
        <v>84</v>
      </c>
      <c r="F2093">
        <v>17</v>
      </c>
      <c r="G2093">
        <v>67</v>
      </c>
      <c r="H2093" t="s">
        <v>196</v>
      </c>
      <c r="I2093" t="s">
        <v>3490</v>
      </c>
      <c r="J2093" t="s">
        <v>2902</v>
      </c>
    </row>
    <row r="2094" spans="1:10" x14ac:dyDescent="0.25">
      <c r="A2094" t="s">
        <v>2469</v>
      </c>
      <c r="B2094" t="s">
        <v>159</v>
      </c>
      <c r="C2094">
        <v>8</v>
      </c>
      <c r="D2094" t="s">
        <v>3118</v>
      </c>
      <c r="E2094">
        <v>64</v>
      </c>
      <c r="F2094">
        <v>27</v>
      </c>
      <c r="G2094">
        <v>37</v>
      </c>
      <c r="H2094" t="s">
        <v>3489</v>
      </c>
      <c r="I2094" t="s">
        <v>3490</v>
      </c>
      <c r="J2094" t="s">
        <v>2902</v>
      </c>
    </row>
    <row r="2095" spans="1:10" x14ac:dyDescent="0.25">
      <c r="A2095" t="s">
        <v>2469</v>
      </c>
      <c r="B2095" t="s">
        <v>159</v>
      </c>
      <c r="C2095">
        <v>8</v>
      </c>
      <c r="D2095" t="s">
        <v>3120</v>
      </c>
      <c r="E2095">
        <v>71</v>
      </c>
      <c r="F2095">
        <v>12</v>
      </c>
      <c r="G2095">
        <v>59</v>
      </c>
      <c r="H2095" t="s">
        <v>3494</v>
      </c>
      <c r="I2095" t="s">
        <v>3490</v>
      </c>
      <c r="J2095" t="s">
        <v>2902</v>
      </c>
    </row>
    <row r="2096" spans="1:10" x14ac:dyDescent="0.25">
      <c r="A2096" t="s">
        <v>2469</v>
      </c>
      <c r="B2096" t="s">
        <v>159</v>
      </c>
      <c r="C2096">
        <v>8</v>
      </c>
      <c r="D2096" t="s">
        <v>3122</v>
      </c>
      <c r="E2096">
        <v>67</v>
      </c>
      <c r="F2096">
        <v>22</v>
      </c>
      <c r="G2096">
        <v>45</v>
      </c>
      <c r="H2096" t="s">
        <v>3489</v>
      </c>
      <c r="I2096" t="s">
        <v>3490</v>
      </c>
      <c r="J2096" t="s">
        <v>2902</v>
      </c>
    </row>
    <row r="2097" spans="1:10" x14ac:dyDescent="0.25">
      <c r="A2097" t="s">
        <v>2474</v>
      </c>
      <c r="B2097" t="s">
        <v>212</v>
      </c>
      <c r="C2097">
        <v>8</v>
      </c>
      <c r="D2097" t="s">
        <v>3474</v>
      </c>
      <c r="E2097">
        <v>44</v>
      </c>
      <c r="F2097">
        <v>15</v>
      </c>
      <c r="G2097">
        <v>29</v>
      </c>
      <c r="H2097" t="s">
        <v>3491</v>
      </c>
      <c r="I2097" t="s">
        <v>3492</v>
      </c>
      <c r="J2097" t="s">
        <v>3001</v>
      </c>
    </row>
    <row r="2098" spans="1:10" x14ac:dyDescent="0.25">
      <c r="A2098" t="s">
        <v>2474</v>
      </c>
      <c r="B2098" t="s">
        <v>212</v>
      </c>
      <c r="C2098">
        <v>8</v>
      </c>
      <c r="D2098" t="s">
        <v>3476</v>
      </c>
      <c r="E2098">
        <v>53</v>
      </c>
      <c r="F2098">
        <v>28</v>
      </c>
      <c r="G2098">
        <v>25</v>
      </c>
      <c r="H2098" t="s">
        <v>3493</v>
      </c>
      <c r="I2098" t="s">
        <v>3490</v>
      </c>
      <c r="J2098" t="s">
        <v>3001</v>
      </c>
    </row>
    <row r="2099" spans="1:10" x14ac:dyDescent="0.25">
      <c r="A2099" t="s">
        <v>2474</v>
      </c>
      <c r="B2099" t="s">
        <v>212</v>
      </c>
      <c r="C2099">
        <v>8</v>
      </c>
      <c r="D2099" t="s">
        <v>3478</v>
      </c>
      <c r="E2099">
        <v>43</v>
      </c>
      <c r="F2099">
        <v>16</v>
      </c>
      <c r="G2099">
        <v>27</v>
      </c>
      <c r="H2099" t="s">
        <v>3491</v>
      </c>
      <c r="I2099" t="s">
        <v>3492</v>
      </c>
      <c r="J2099" t="s">
        <v>3001</v>
      </c>
    </row>
    <row r="2100" spans="1:10" x14ac:dyDescent="0.25">
      <c r="A2100" t="s">
        <v>2474</v>
      </c>
      <c r="B2100" t="s">
        <v>212</v>
      </c>
      <c r="C2100">
        <v>8</v>
      </c>
      <c r="D2100" t="s">
        <v>3480</v>
      </c>
      <c r="E2100">
        <v>74</v>
      </c>
      <c r="F2100">
        <v>23</v>
      </c>
      <c r="G2100">
        <v>51</v>
      </c>
      <c r="H2100" t="s">
        <v>3494</v>
      </c>
      <c r="I2100" t="s">
        <v>3490</v>
      </c>
      <c r="J2100" t="s">
        <v>3001</v>
      </c>
    </row>
    <row r="2101" spans="1:10" x14ac:dyDescent="0.25">
      <c r="A2101" t="s">
        <v>2474</v>
      </c>
      <c r="B2101" t="s">
        <v>212</v>
      </c>
      <c r="C2101">
        <v>8</v>
      </c>
      <c r="D2101" t="s">
        <v>3482</v>
      </c>
      <c r="E2101">
        <v>62</v>
      </c>
      <c r="F2101">
        <v>10</v>
      </c>
      <c r="G2101">
        <v>52</v>
      </c>
      <c r="H2101" t="s">
        <v>3489</v>
      </c>
      <c r="I2101" t="s">
        <v>3490</v>
      </c>
      <c r="J2101" t="s">
        <v>3001</v>
      </c>
    </row>
    <row r="2102" spans="1:10" x14ac:dyDescent="0.25">
      <c r="A2102" t="s">
        <v>2479</v>
      </c>
      <c r="B2102" t="s">
        <v>159</v>
      </c>
      <c r="C2102">
        <v>6</v>
      </c>
      <c r="D2102" t="s">
        <v>3114</v>
      </c>
      <c r="E2102">
        <v>54</v>
      </c>
      <c r="F2102">
        <v>11</v>
      </c>
      <c r="G2102">
        <v>43</v>
      </c>
      <c r="H2102" t="s">
        <v>3493</v>
      </c>
      <c r="I2102" t="s">
        <v>3490</v>
      </c>
      <c r="J2102" t="s">
        <v>2902</v>
      </c>
    </row>
    <row r="2103" spans="1:10" x14ac:dyDescent="0.25">
      <c r="A2103" t="s">
        <v>2479</v>
      </c>
      <c r="B2103" t="s">
        <v>159</v>
      </c>
      <c r="C2103">
        <v>6</v>
      </c>
      <c r="D2103" t="s">
        <v>3116</v>
      </c>
      <c r="E2103">
        <v>77</v>
      </c>
      <c r="F2103">
        <v>22</v>
      </c>
      <c r="G2103">
        <v>55</v>
      </c>
      <c r="H2103" t="s">
        <v>3494</v>
      </c>
      <c r="I2103" t="s">
        <v>3490</v>
      </c>
      <c r="J2103" t="s">
        <v>2902</v>
      </c>
    </row>
    <row r="2104" spans="1:10" x14ac:dyDescent="0.25">
      <c r="A2104" t="s">
        <v>2479</v>
      </c>
      <c r="B2104" t="s">
        <v>159</v>
      </c>
      <c r="C2104">
        <v>6</v>
      </c>
      <c r="D2104" t="s">
        <v>3118</v>
      </c>
      <c r="E2104">
        <v>67</v>
      </c>
      <c r="F2104">
        <v>21</v>
      </c>
      <c r="G2104">
        <v>46</v>
      </c>
      <c r="H2104" t="s">
        <v>3489</v>
      </c>
      <c r="I2104" t="s">
        <v>3490</v>
      </c>
      <c r="J2104" t="s">
        <v>2902</v>
      </c>
    </row>
    <row r="2105" spans="1:10" x14ac:dyDescent="0.25">
      <c r="A2105" t="s">
        <v>2479</v>
      </c>
      <c r="B2105" t="s">
        <v>159</v>
      </c>
      <c r="C2105">
        <v>6</v>
      </c>
      <c r="D2105" t="s">
        <v>3120</v>
      </c>
      <c r="E2105">
        <v>71</v>
      </c>
      <c r="F2105">
        <v>22</v>
      </c>
      <c r="G2105">
        <v>49</v>
      </c>
      <c r="H2105" t="s">
        <v>3494</v>
      </c>
      <c r="I2105" t="s">
        <v>3490</v>
      </c>
      <c r="J2105" t="s">
        <v>2902</v>
      </c>
    </row>
    <row r="2106" spans="1:10" x14ac:dyDescent="0.25">
      <c r="A2106" t="s">
        <v>2479</v>
      </c>
      <c r="B2106" t="s">
        <v>159</v>
      </c>
      <c r="C2106">
        <v>6</v>
      </c>
      <c r="D2106" t="s">
        <v>3122</v>
      </c>
      <c r="E2106">
        <v>55</v>
      </c>
      <c r="F2106">
        <v>11</v>
      </c>
      <c r="G2106">
        <v>44</v>
      </c>
      <c r="H2106" t="s">
        <v>3493</v>
      </c>
      <c r="I2106" t="s">
        <v>3490</v>
      </c>
      <c r="J2106" t="s">
        <v>2902</v>
      </c>
    </row>
    <row r="2107" spans="1:10" x14ac:dyDescent="0.25">
      <c r="A2107" t="s">
        <v>2484</v>
      </c>
      <c r="B2107" t="s">
        <v>159</v>
      </c>
      <c r="C2107">
        <v>8</v>
      </c>
      <c r="D2107" t="s">
        <v>3114</v>
      </c>
      <c r="E2107">
        <v>81</v>
      </c>
      <c r="F2107">
        <v>17</v>
      </c>
      <c r="G2107">
        <v>64</v>
      </c>
      <c r="H2107" t="s">
        <v>196</v>
      </c>
      <c r="I2107" t="s">
        <v>3490</v>
      </c>
      <c r="J2107" t="s">
        <v>2902</v>
      </c>
    </row>
    <row r="2108" spans="1:10" x14ac:dyDescent="0.25">
      <c r="A2108" t="s">
        <v>2484</v>
      </c>
      <c r="B2108" t="s">
        <v>159</v>
      </c>
      <c r="C2108">
        <v>8</v>
      </c>
      <c r="D2108" t="s">
        <v>3116</v>
      </c>
      <c r="E2108">
        <v>51</v>
      </c>
      <c r="F2108">
        <v>22</v>
      </c>
      <c r="G2108">
        <v>29</v>
      </c>
      <c r="H2108" t="s">
        <v>3493</v>
      </c>
      <c r="I2108" t="s">
        <v>3490</v>
      </c>
      <c r="J2108" t="s">
        <v>2902</v>
      </c>
    </row>
    <row r="2109" spans="1:10" x14ac:dyDescent="0.25">
      <c r="A2109" t="s">
        <v>2484</v>
      </c>
      <c r="B2109" t="s">
        <v>159</v>
      </c>
      <c r="C2109">
        <v>8</v>
      </c>
      <c r="D2109" t="s">
        <v>3118</v>
      </c>
      <c r="E2109">
        <v>68</v>
      </c>
      <c r="F2109">
        <v>12</v>
      </c>
      <c r="G2109">
        <v>56</v>
      </c>
      <c r="H2109" t="s">
        <v>3489</v>
      </c>
      <c r="I2109" t="s">
        <v>3490</v>
      </c>
      <c r="J2109" t="s">
        <v>2902</v>
      </c>
    </row>
    <row r="2110" spans="1:10" x14ac:dyDescent="0.25">
      <c r="A2110" t="s">
        <v>2484</v>
      </c>
      <c r="B2110" t="s">
        <v>159</v>
      </c>
      <c r="C2110">
        <v>8</v>
      </c>
      <c r="D2110" t="s">
        <v>3120</v>
      </c>
      <c r="E2110">
        <v>71</v>
      </c>
      <c r="F2110">
        <v>26</v>
      </c>
      <c r="G2110">
        <v>45</v>
      </c>
      <c r="H2110" t="s">
        <v>3494</v>
      </c>
      <c r="I2110" t="s">
        <v>3490</v>
      </c>
      <c r="J2110" t="s">
        <v>2902</v>
      </c>
    </row>
    <row r="2111" spans="1:10" x14ac:dyDescent="0.25">
      <c r="A2111" t="s">
        <v>2484</v>
      </c>
      <c r="B2111" t="s">
        <v>159</v>
      </c>
      <c r="C2111">
        <v>8</v>
      </c>
      <c r="D2111" t="s">
        <v>3122</v>
      </c>
      <c r="E2111">
        <v>64</v>
      </c>
      <c r="F2111">
        <v>21</v>
      </c>
      <c r="G2111">
        <v>43</v>
      </c>
      <c r="H2111" t="s">
        <v>3489</v>
      </c>
      <c r="I2111" t="s">
        <v>3490</v>
      </c>
      <c r="J2111" t="s">
        <v>2902</v>
      </c>
    </row>
    <row r="2112" spans="1:10" x14ac:dyDescent="0.25">
      <c r="A2112" t="s">
        <v>2489</v>
      </c>
      <c r="B2112" t="s">
        <v>212</v>
      </c>
      <c r="C2112">
        <v>8</v>
      </c>
      <c r="D2112" t="s">
        <v>3474</v>
      </c>
      <c r="E2112">
        <v>50</v>
      </c>
      <c r="F2112">
        <v>11</v>
      </c>
      <c r="G2112">
        <v>39</v>
      </c>
      <c r="H2112" t="s">
        <v>3493</v>
      </c>
      <c r="I2112" t="s">
        <v>3490</v>
      </c>
      <c r="J2112" t="s">
        <v>3001</v>
      </c>
    </row>
    <row r="2113" spans="1:10" x14ac:dyDescent="0.25">
      <c r="A2113" t="s">
        <v>2489</v>
      </c>
      <c r="B2113" t="s">
        <v>212</v>
      </c>
      <c r="C2113">
        <v>8</v>
      </c>
      <c r="D2113" t="s">
        <v>3476</v>
      </c>
      <c r="E2113">
        <v>66</v>
      </c>
      <c r="F2113">
        <v>28</v>
      </c>
      <c r="G2113">
        <v>38</v>
      </c>
      <c r="H2113" t="s">
        <v>3489</v>
      </c>
      <c r="I2113" t="s">
        <v>3490</v>
      </c>
      <c r="J2113" t="s">
        <v>3001</v>
      </c>
    </row>
    <row r="2114" spans="1:10" x14ac:dyDescent="0.25">
      <c r="A2114" t="s">
        <v>2489</v>
      </c>
      <c r="B2114" t="s">
        <v>212</v>
      </c>
      <c r="C2114">
        <v>8</v>
      </c>
      <c r="D2114" t="s">
        <v>3478</v>
      </c>
      <c r="E2114">
        <v>57</v>
      </c>
      <c r="F2114">
        <v>18</v>
      </c>
      <c r="G2114">
        <v>39</v>
      </c>
      <c r="H2114" t="s">
        <v>3493</v>
      </c>
      <c r="I2114" t="s">
        <v>3490</v>
      </c>
      <c r="J2114" t="s">
        <v>3001</v>
      </c>
    </row>
    <row r="2115" spans="1:10" x14ac:dyDescent="0.25">
      <c r="A2115" t="s">
        <v>2489</v>
      </c>
      <c r="B2115" t="s">
        <v>212</v>
      </c>
      <c r="C2115">
        <v>8</v>
      </c>
      <c r="D2115" t="s">
        <v>3480</v>
      </c>
      <c r="E2115">
        <v>52</v>
      </c>
      <c r="F2115">
        <v>30</v>
      </c>
      <c r="G2115">
        <v>22</v>
      </c>
      <c r="H2115" t="s">
        <v>3493</v>
      </c>
      <c r="I2115" t="s">
        <v>3490</v>
      </c>
      <c r="J2115" t="s">
        <v>3001</v>
      </c>
    </row>
    <row r="2116" spans="1:10" x14ac:dyDescent="0.25">
      <c r="A2116" t="s">
        <v>2489</v>
      </c>
      <c r="B2116" t="s">
        <v>212</v>
      </c>
      <c r="C2116">
        <v>8</v>
      </c>
      <c r="D2116" t="s">
        <v>3482</v>
      </c>
      <c r="E2116">
        <v>71</v>
      </c>
      <c r="F2116">
        <v>24</v>
      </c>
      <c r="G2116">
        <v>47</v>
      </c>
      <c r="H2116" t="s">
        <v>3494</v>
      </c>
      <c r="I2116" t="s">
        <v>3490</v>
      </c>
      <c r="J2116" t="s">
        <v>3001</v>
      </c>
    </row>
    <row r="2117" spans="1:10" x14ac:dyDescent="0.25">
      <c r="A2117" t="s">
        <v>2494</v>
      </c>
      <c r="B2117" t="s">
        <v>30</v>
      </c>
      <c r="C2117">
        <v>8</v>
      </c>
      <c r="D2117" t="s">
        <v>3354</v>
      </c>
      <c r="E2117">
        <v>54</v>
      </c>
      <c r="F2117">
        <v>22</v>
      </c>
      <c r="G2117">
        <v>32</v>
      </c>
      <c r="H2117" t="s">
        <v>3493</v>
      </c>
      <c r="I2117" t="s">
        <v>3490</v>
      </c>
      <c r="J2117" t="s">
        <v>2895</v>
      </c>
    </row>
    <row r="2118" spans="1:10" x14ac:dyDescent="0.25">
      <c r="A2118" t="s">
        <v>2494</v>
      </c>
      <c r="B2118" t="s">
        <v>30</v>
      </c>
      <c r="C2118">
        <v>8</v>
      </c>
      <c r="D2118" t="s">
        <v>3356</v>
      </c>
      <c r="E2118">
        <v>77</v>
      </c>
      <c r="F2118">
        <v>19</v>
      </c>
      <c r="G2118">
        <v>58</v>
      </c>
      <c r="H2118" t="s">
        <v>3494</v>
      </c>
      <c r="I2118" t="s">
        <v>3490</v>
      </c>
      <c r="J2118" t="s">
        <v>2895</v>
      </c>
    </row>
    <row r="2119" spans="1:10" x14ac:dyDescent="0.25">
      <c r="A2119" t="s">
        <v>2494</v>
      </c>
      <c r="B2119" t="s">
        <v>30</v>
      </c>
      <c r="C2119">
        <v>8</v>
      </c>
      <c r="D2119" t="s">
        <v>3358</v>
      </c>
      <c r="E2119">
        <v>81</v>
      </c>
      <c r="F2119">
        <v>16</v>
      </c>
      <c r="G2119">
        <v>65</v>
      </c>
      <c r="H2119" t="s">
        <v>196</v>
      </c>
      <c r="I2119" t="s">
        <v>3490</v>
      </c>
      <c r="J2119" t="s">
        <v>2895</v>
      </c>
    </row>
    <row r="2120" spans="1:10" x14ac:dyDescent="0.25">
      <c r="A2120" t="s">
        <v>2494</v>
      </c>
      <c r="B2120" t="s">
        <v>30</v>
      </c>
      <c r="C2120">
        <v>8</v>
      </c>
      <c r="D2120" t="s">
        <v>3360</v>
      </c>
      <c r="E2120">
        <v>73</v>
      </c>
      <c r="F2120">
        <v>17</v>
      </c>
      <c r="G2120">
        <v>56</v>
      </c>
      <c r="H2120" t="s">
        <v>3494</v>
      </c>
      <c r="I2120" t="s">
        <v>3490</v>
      </c>
      <c r="J2120" t="s">
        <v>2895</v>
      </c>
    </row>
    <row r="2121" spans="1:10" x14ac:dyDescent="0.25">
      <c r="A2121" t="s">
        <v>2494</v>
      </c>
      <c r="B2121" t="s">
        <v>30</v>
      </c>
      <c r="C2121">
        <v>8</v>
      </c>
      <c r="D2121" t="s">
        <v>3362</v>
      </c>
      <c r="E2121">
        <v>65</v>
      </c>
      <c r="F2121">
        <v>23</v>
      </c>
      <c r="G2121">
        <v>42</v>
      </c>
      <c r="H2121" t="s">
        <v>3489</v>
      </c>
      <c r="I2121" t="s">
        <v>3490</v>
      </c>
      <c r="J2121" t="s">
        <v>2895</v>
      </c>
    </row>
    <row r="2122" spans="1:10" x14ac:dyDescent="0.25">
      <c r="A2122" t="s">
        <v>2501</v>
      </c>
      <c r="B2122" t="s">
        <v>30</v>
      </c>
      <c r="C2122">
        <v>8</v>
      </c>
      <c r="D2122" t="s">
        <v>3354</v>
      </c>
      <c r="E2122">
        <v>49</v>
      </c>
      <c r="F2122">
        <v>10</v>
      </c>
      <c r="G2122">
        <v>39</v>
      </c>
      <c r="H2122" t="s">
        <v>3491</v>
      </c>
      <c r="I2122" t="s">
        <v>3492</v>
      </c>
      <c r="J2122" t="s">
        <v>2895</v>
      </c>
    </row>
    <row r="2123" spans="1:10" x14ac:dyDescent="0.25">
      <c r="A2123" t="s">
        <v>2501</v>
      </c>
      <c r="B2123" t="s">
        <v>30</v>
      </c>
      <c r="C2123">
        <v>8</v>
      </c>
      <c r="D2123" t="s">
        <v>3356</v>
      </c>
      <c r="E2123">
        <v>88</v>
      </c>
      <c r="F2123">
        <v>30</v>
      </c>
      <c r="G2123">
        <v>58</v>
      </c>
      <c r="H2123" t="s">
        <v>196</v>
      </c>
      <c r="I2123" t="s">
        <v>3490</v>
      </c>
      <c r="J2123" t="s">
        <v>2895</v>
      </c>
    </row>
    <row r="2124" spans="1:10" x14ac:dyDescent="0.25">
      <c r="A2124" t="s">
        <v>2501</v>
      </c>
      <c r="B2124" t="s">
        <v>30</v>
      </c>
      <c r="C2124">
        <v>8</v>
      </c>
      <c r="D2124" t="s">
        <v>3358</v>
      </c>
      <c r="E2124">
        <v>52</v>
      </c>
      <c r="F2124">
        <v>22</v>
      </c>
      <c r="G2124">
        <v>30</v>
      </c>
      <c r="H2124" t="s">
        <v>3493</v>
      </c>
      <c r="I2124" t="s">
        <v>3490</v>
      </c>
      <c r="J2124" t="s">
        <v>2895</v>
      </c>
    </row>
    <row r="2125" spans="1:10" x14ac:dyDescent="0.25">
      <c r="A2125" t="s">
        <v>2501</v>
      </c>
      <c r="B2125" t="s">
        <v>30</v>
      </c>
      <c r="C2125">
        <v>8</v>
      </c>
      <c r="D2125" t="s">
        <v>3360</v>
      </c>
      <c r="E2125">
        <v>56</v>
      </c>
      <c r="F2125">
        <v>24</v>
      </c>
      <c r="G2125">
        <v>32</v>
      </c>
      <c r="H2125" t="s">
        <v>3493</v>
      </c>
      <c r="I2125" t="s">
        <v>3490</v>
      </c>
      <c r="J2125" t="s">
        <v>2895</v>
      </c>
    </row>
    <row r="2126" spans="1:10" x14ac:dyDescent="0.25">
      <c r="A2126" t="s">
        <v>2501</v>
      </c>
      <c r="B2126" t="s">
        <v>30</v>
      </c>
      <c r="C2126">
        <v>8</v>
      </c>
      <c r="D2126" t="s">
        <v>3362</v>
      </c>
      <c r="E2126">
        <v>44</v>
      </c>
      <c r="F2126">
        <v>14</v>
      </c>
      <c r="G2126">
        <v>30</v>
      </c>
      <c r="H2126" t="s">
        <v>3491</v>
      </c>
      <c r="I2126" t="s">
        <v>3492</v>
      </c>
      <c r="J2126" t="s">
        <v>2895</v>
      </c>
    </row>
    <row r="2127" spans="1:10" x14ac:dyDescent="0.25">
      <c r="A2127" t="s">
        <v>2506</v>
      </c>
      <c r="B2127" t="s">
        <v>30</v>
      </c>
      <c r="C2127">
        <v>8</v>
      </c>
      <c r="D2127" t="s">
        <v>3354</v>
      </c>
      <c r="E2127">
        <v>50</v>
      </c>
      <c r="F2127">
        <v>22</v>
      </c>
      <c r="G2127">
        <v>28</v>
      </c>
      <c r="H2127" t="s">
        <v>3493</v>
      </c>
      <c r="I2127" t="s">
        <v>3490</v>
      </c>
      <c r="J2127" t="s">
        <v>2895</v>
      </c>
    </row>
    <row r="2128" spans="1:10" x14ac:dyDescent="0.25">
      <c r="A2128" t="s">
        <v>2506</v>
      </c>
      <c r="B2128" t="s">
        <v>30</v>
      </c>
      <c r="C2128">
        <v>8</v>
      </c>
      <c r="D2128" t="s">
        <v>3356</v>
      </c>
      <c r="E2128">
        <v>50</v>
      </c>
      <c r="F2128">
        <v>23</v>
      </c>
      <c r="G2128">
        <v>27</v>
      </c>
      <c r="H2128" t="s">
        <v>3493</v>
      </c>
      <c r="I2128" t="s">
        <v>3490</v>
      </c>
      <c r="J2128" t="s">
        <v>2895</v>
      </c>
    </row>
    <row r="2129" spans="1:10" x14ac:dyDescent="0.25">
      <c r="A2129" t="s">
        <v>2506</v>
      </c>
      <c r="B2129" t="s">
        <v>30</v>
      </c>
      <c r="C2129">
        <v>8</v>
      </c>
      <c r="D2129" t="s">
        <v>3358</v>
      </c>
      <c r="E2129">
        <v>50</v>
      </c>
      <c r="F2129">
        <v>12</v>
      </c>
      <c r="G2129">
        <v>38</v>
      </c>
      <c r="H2129" t="s">
        <v>3493</v>
      </c>
      <c r="I2129" t="s">
        <v>3490</v>
      </c>
      <c r="J2129" t="s">
        <v>2895</v>
      </c>
    </row>
    <row r="2130" spans="1:10" x14ac:dyDescent="0.25">
      <c r="A2130" t="s">
        <v>2506</v>
      </c>
      <c r="B2130" t="s">
        <v>30</v>
      </c>
      <c r="C2130">
        <v>8</v>
      </c>
      <c r="D2130" t="s">
        <v>3360</v>
      </c>
      <c r="E2130">
        <v>50</v>
      </c>
      <c r="F2130">
        <v>14</v>
      </c>
      <c r="G2130">
        <v>36</v>
      </c>
      <c r="H2130" t="s">
        <v>3493</v>
      </c>
      <c r="I2130" t="s">
        <v>3490</v>
      </c>
      <c r="J2130" t="s">
        <v>2895</v>
      </c>
    </row>
    <row r="2131" spans="1:10" x14ac:dyDescent="0.25">
      <c r="A2131" t="s">
        <v>2506</v>
      </c>
      <c r="B2131" t="s">
        <v>30</v>
      </c>
      <c r="C2131">
        <v>8</v>
      </c>
      <c r="D2131" t="s">
        <v>3362</v>
      </c>
      <c r="E2131">
        <v>86</v>
      </c>
      <c r="F2131">
        <v>16</v>
      </c>
      <c r="G2131">
        <v>70</v>
      </c>
      <c r="H2131" t="s">
        <v>196</v>
      </c>
      <c r="I2131" t="s">
        <v>3490</v>
      </c>
      <c r="J2131" t="s">
        <v>2895</v>
      </c>
    </row>
    <row r="2132" spans="1:10" x14ac:dyDescent="0.25">
      <c r="A2132" t="s">
        <v>2512</v>
      </c>
      <c r="B2132" t="s">
        <v>159</v>
      </c>
      <c r="C2132">
        <v>4</v>
      </c>
      <c r="D2132" t="s">
        <v>3094</v>
      </c>
      <c r="E2132">
        <v>85</v>
      </c>
      <c r="F2132">
        <v>23</v>
      </c>
      <c r="G2132">
        <v>62</v>
      </c>
      <c r="H2132" t="s">
        <v>196</v>
      </c>
      <c r="I2132" t="s">
        <v>3490</v>
      </c>
      <c r="J2132" t="s">
        <v>2902</v>
      </c>
    </row>
    <row r="2133" spans="1:10" x14ac:dyDescent="0.25">
      <c r="A2133" t="s">
        <v>2512</v>
      </c>
      <c r="B2133" t="s">
        <v>159</v>
      </c>
      <c r="C2133">
        <v>4</v>
      </c>
      <c r="D2133" t="s">
        <v>3096</v>
      </c>
      <c r="E2133">
        <v>81</v>
      </c>
      <c r="F2133">
        <v>14</v>
      </c>
      <c r="G2133">
        <v>67</v>
      </c>
      <c r="H2133" t="s">
        <v>196</v>
      </c>
      <c r="I2133" t="s">
        <v>3490</v>
      </c>
      <c r="J2133" t="s">
        <v>2902</v>
      </c>
    </row>
    <row r="2134" spans="1:10" x14ac:dyDescent="0.25">
      <c r="A2134" t="s">
        <v>2512</v>
      </c>
      <c r="B2134" t="s">
        <v>159</v>
      </c>
      <c r="C2134">
        <v>4</v>
      </c>
      <c r="D2134" t="s">
        <v>3098</v>
      </c>
      <c r="E2134">
        <v>81</v>
      </c>
      <c r="F2134">
        <v>20</v>
      </c>
      <c r="G2134">
        <v>61</v>
      </c>
      <c r="H2134" t="s">
        <v>196</v>
      </c>
      <c r="I2134" t="s">
        <v>3490</v>
      </c>
      <c r="J2134" t="s">
        <v>2902</v>
      </c>
    </row>
    <row r="2135" spans="1:10" x14ac:dyDescent="0.25">
      <c r="A2135" t="s">
        <v>2512</v>
      </c>
      <c r="B2135" t="s">
        <v>159</v>
      </c>
      <c r="C2135">
        <v>4</v>
      </c>
      <c r="D2135" t="s">
        <v>3100</v>
      </c>
      <c r="E2135">
        <v>91</v>
      </c>
      <c r="F2135">
        <v>27</v>
      </c>
      <c r="G2135">
        <v>64</v>
      </c>
      <c r="H2135" t="s">
        <v>3495</v>
      </c>
      <c r="I2135" t="s">
        <v>3490</v>
      </c>
      <c r="J2135" t="s">
        <v>2902</v>
      </c>
    </row>
    <row r="2136" spans="1:10" x14ac:dyDescent="0.25">
      <c r="A2136" t="s">
        <v>2512</v>
      </c>
      <c r="B2136" t="s">
        <v>159</v>
      </c>
      <c r="C2136">
        <v>4</v>
      </c>
      <c r="D2136" t="s">
        <v>3102</v>
      </c>
      <c r="E2136">
        <v>57</v>
      </c>
      <c r="F2136">
        <v>20</v>
      </c>
      <c r="G2136">
        <v>37</v>
      </c>
      <c r="H2136" t="s">
        <v>3493</v>
      </c>
      <c r="I2136" t="s">
        <v>3490</v>
      </c>
      <c r="J2136" t="s">
        <v>2902</v>
      </c>
    </row>
    <row r="2137" spans="1:10" x14ac:dyDescent="0.25">
      <c r="A2137" t="s">
        <v>2517</v>
      </c>
      <c r="B2137" t="s">
        <v>105</v>
      </c>
      <c r="C2137">
        <v>4</v>
      </c>
      <c r="D2137" t="s">
        <v>3154</v>
      </c>
      <c r="E2137">
        <v>40</v>
      </c>
      <c r="F2137">
        <v>14</v>
      </c>
      <c r="G2137">
        <v>26</v>
      </c>
      <c r="H2137" t="s">
        <v>3491</v>
      </c>
      <c r="I2137" t="s">
        <v>3492</v>
      </c>
      <c r="J2137" t="s">
        <v>2908</v>
      </c>
    </row>
    <row r="2138" spans="1:10" x14ac:dyDescent="0.25">
      <c r="A2138" t="s">
        <v>2517</v>
      </c>
      <c r="B2138" t="s">
        <v>105</v>
      </c>
      <c r="C2138">
        <v>4</v>
      </c>
      <c r="D2138" t="s">
        <v>3156</v>
      </c>
      <c r="E2138">
        <v>78</v>
      </c>
      <c r="F2138">
        <v>26</v>
      </c>
      <c r="G2138">
        <v>52</v>
      </c>
      <c r="H2138" t="s">
        <v>3494</v>
      </c>
      <c r="I2138" t="s">
        <v>3490</v>
      </c>
      <c r="J2138" t="s">
        <v>2908</v>
      </c>
    </row>
    <row r="2139" spans="1:10" x14ac:dyDescent="0.25">
      <c r="A2139" t="s">
        <v>2517</v>
      </c>
      <c r="B2139" t="s">
        <v>105</v>
      </c>
      <c r="C2139">
        <v>4</v>
      </c>
      <c r="D2139" t="s">
        <v>3158</v>
      </c>
      <c r="E2139">
        <v>52</v>
      </c>
      <c r="F2139">
        <v>30</v>
      </c>
      <c r="G2139">
        <v>22</v>
      </c>
      <c r="H2139" t="s">
        <v>3493</v>
      </c>
      <c r="I2139" t="s">
        <v>3490</v>
      </c>
      <c r="J2139" t="s">
        <v>2908</v>
      </c>
    </row>
    <row r="2140" spans="1:10" x14ac:dyDescent="0.25">
      <c r="A2140" t="s">
        <v>2517</v>
      </c>
      <c r="B2140" t="s">
        <v>105</v>
      </c>
      <c r="C2140">
        <v>4</v>
      </c>
      <c r="D2140" t="s">
        <v>3160</v>
      </c>
      <c r="E2140">
        <v>94</v>
      </c>
      <c r="F2140">
        <v>27</v>
      </c>
      <c r="G2140">
        <v>67</v>
      </c>
      <c r="H2140" t="s">
        <v>3495</v>
      </c>
      <c r="I2140" t="s">
        <v>3490</v>
      </c>
      <c r="J2140" t="s">
        <v>2908</v>
      </c>
    </row>
    <row r="2141" spans="1:10" x14ac:dyDescent="0.25">
      <c r="A2141" t="s">
        <v>2517</v>
      </c>
      <c r="B2141" t="s">
        <v>105</v>
      </c>
      <c r="C2141">
        <v>4</v>
      </c>
      <c r="D2141" t="s">
        <v>3162</v>
      </c>
      <c r="E2141">
        <v>83</v>
      </c>
      <c r="F2141">
        <v>25</v>
      </c>
      <c r="G2141">
        <v>58</v>
      </c>
      <c r="H2141" t="s">
        <v>196</v>
      </c>
      <c r="I2141" t="s">
        <v>3490</v>
      </c>
      <c r="J2141" t="s">
        <v>2908</v>
      </c>
    </row>
    <row r="2142" spans="1:10" x14ac:dyDescent="0.25">
      <c r="A2142" t="s">
        <v>2522</v>
      </c>
      <c r="B2142" t="s">
        <v>95</v>
      </c>
      <c r="C2142">
        <v>4</v>
      </c>
      <c r="D2142" t="s">
        <v>3214</v>
      </c>
      <c r="E2142">
        <v>55</v>
      </c>
      <c r="F2142">
        <v>29</v>
      </c>
      <c r="G2142">
        <v>26</v>
      </c>
      <c r="H2142" t="s">
        <v>3493</v>
      </c>
      <c r="I2142" t="s">
        <v>3490</v>
      </c>
      <c r="J2142" t="s">
        <v>2889</v>
      </c>
    </row>
    <row r="2143" spans="1:10" x14ac:dyDescent="0.25">
      <c r="A2143" t="s">
        <v>2522</v>
      </c>
      <c r="B2143" t="s">
        <v>95</v>
      </c>
      <c r="C2143">
        <v>4</v>
      </c>
      <c r="D2143" t="s">
        <v>3216</v>
      </c>
      <c r="E2143">
        <v>75</v>
      </c>
      <c r="F2143">
        <v>29</v>
      </c>
      <c r="G2143">
        <v>46</v>
      </c>
      <c r="H2143" t="s">
        <v>3494</v>
      </c>
      <c r="I2143" t="s">
        <v>3490</v>
      </c>
      <c r="J2143" t="s">
        <v>2889</v>
      </c>
    </row>
    <row r="2144" spans="1:10" x14ac:dyDescent="0.25">
      <c r="A2144" t="s">
        <v>2522</v>
      </c>
      <c r="B2144" t="s">
        <v>95</v>
      </c>
      <c r="C2144">
        <v>4</v>
      </c>
      <c r="D2144" t="s">
        <v>3218</v>
      </c>
      <c r="E2144">
        <v>74</v>
      </c>
      <c r="F2144">
        <v>14</v>
      </c>
      <c r="G2144">
        <v>60</v>
      </c>
      <c r="H2144" t="s">
        <v>3494</v>
      </c>
      <c r="I2144" t="s">
        <v>3490</v>
      </c>
      <c r="J2144" t="s">
        <v>2889</v>
      </c>
    </row>
    <row r="2145" spans="1:10" x14ac:dyDescent="0.25">
      <c r="A2145" t="s">
        <v>2522</v>
      </c>
      <c r="B2145" t="s">
        <v>95</v>
      </c>
      <c r="C2145">
        <v>4</v>
      </c>
      <c r="D2145" t="s">
        <v>3220</v>
      </c>
      <c r="E2145">
        <v>83</v>
      </c>
      <c r="F2145">
        <v>17</v>
      </c>
      <c r="G2145">
        <v>66</v>
      </c>
      <c r="H2145" t="s">
        <v>196</v>
      </c>
      <c r="I2145" t="s">
        <v>3490</v>
      </c>
      <c r="J2145" t="s">
        <v>2889</v>
      </c>
    </row>
    <row r="2146" spans="1:10" x14ac:dyDescent="0.25">
      <c r="A2146" t="s">
        <v>2522</v>
      </c>
      <c r="B2146" t="s">
        <v>95</v>
      </c>
      <c r="C2146">
        <v>4</v>
      </c>
      <c r="D2146" t="s">
        <v>3222</v>
      </c>
      <c r="E2146">
        <v>84</v>
      </c>
      <c r="F2146">
        <v>19</v>
      </c>
      <c r="G2146">
        <v>65</v>
      </c>
      <c r="H2146" t="s">
        <v>196</v>
      </c>
      <c r="I2146" t="s">
        <v>3490</v>
      </c>
      <c r="J2146" t="s">
        <v>2889</v>
      </c>
    </row>
    <row r="2147" spans="1:10" x14ac:dyDescent="0.25">
      <c r="A2147" t="s">
        <v>2527</v>
      </c>
      <c r="B2147" t="s">
        <v>95</v>
      </c>
      <c r="C2147">
        <v>4</v>
      </c>
      <c r="D2147" t="s">
        <v>3214</v>
      </c>
      <c r="E2147">
        <v>74</v>
      </c>
      <c r="F2147">
        <v>12</v>
      </c>
      <c r="G2147">
        <v>62</v>
      </c>
      <c r="H2147" t="s">
        <v>3494</v>
      </c>
      <c r="I2147" t="s">
        <v>3490</v>
      </c>
      <c r="J2147" t="s">
        <v>2889</v>
      </c>
    </row>
    <row r="2148" spans="1:10" x14ac:dyDescent="0.25">
      <c r="A2148" t="s">
        <v>2527</v>
      </c>
      <c r="B2148" t="s">
        <v>95</v>
      </c>
      <c r="C2148">
        <v>4</v>
      </c>
      <c r="D2148" t="s">
        <v>3216</v>
      </c>
      <c r="E2148">
        <v>85</v>
      </c>
      <c r="F2148">
        <v>29</v>
      </c>
      <c r="G2148">
        <v>56</v>
      </c>
      <c r="H2148" t="s">
        <v>196</v>
      </c>
      <c r="I2148" t="s">
        <v>3490</v>
      </c>
      <c r="J2148" t="s">
        <v>2889</v>
      </c>
    </row>
    <row r="2149" spans="1:10" x14ac:dyDescent="0.25">
      <c r="A2149" t="s">
        <v>2527</v>
      </c>
      <c r="B2149" t="s">
        <v>95</v>
      </c>
      <c r="C2149">
        <v>4</v>
      </c>
      <c r="D2149" t="s">
        <v>3218</v>
      </c>
      <c r="E2149">
        <v>58</v>
      </c>
      <c r="F2149">
        <v>22</v>
      </c>
      <c r="G2149">
        <v>36</v>
      </c>
      <c r="H2149" t="s">
        <v>3493</v>
      </c>
      <c r="I2149" t="s">
        <v>3490</v>
      </c>
      <c r="J2149" t="s">
        <v>2889</v>
      </c>
    </row>
    <row r="2150" spans="1:10" x14ac:dyDescent="0.25">
      <c r="A2150" t="s">
        <v>2527</v>
      </c>
      <c r="B2150" t="s">
        <v>95</v>
      </c>
      <c r="C2150">
        <v>4</v>
      </c>
      <c r="D2150" t="s">
        <v>3220</v>
      </c>
      <c r="E2150">
        <v>49</v>
      </c>
      <c r="F2150">
        <v>17</v>
      </c>
      <c r="G2150">
        <v>32</v>
      </c>
      <c r="H2150" t="s">
        <v>3491</v>
      </c>
      <c r="I2150" t="s">
        <v>3492</v>
      </c>
      <c r="J2150" t="s">
        <v>2889</v>
      </c>
    </row>
    <row r="2151" spans="1:10" x14ac:dyDescent="0.25">
      <c r="A2151" t="s">
        <v>2527</v>
      </c>
      <c r="B2151" t="s">
        <v>95</v>
      </c>
      <c r="C2151">
        <v>4</v>
      </c>
      <c r="D2151" t="s">
        <v>3222</v>
      </c>
      <c r="E2151">
        <v>68</v>
      </c>
      <c r="F2151">
        <v>27</v>
      </c>
      <c r="G2151">
        <v>41</v>
      </c>
      <c r="H2151" t="s">
        <v>3489</v>
      </c>
      <c r="I2151" t="s">
        <v>3490</v>
      </c>
      <c r="J2151" t="s">
        <v>2889</v>
      </c>
    </row>
    <row r="2152" spans="1:10" x14ac:dyDescent="0.25">
      <c r="A2152" t="s">
        <v>2532</v>
      </c>
      <c r="B2152" t="s">
        <v>75</v>
      </c>
      <c r="C2152">
        <v>6</v>
      </c>
      <c r="D2152" t="s">
        <v>3054</v>
      </c>
      <c r="E2152">
        <v>45</v>
      </c>
      <c r="F2152">
        <v>17</v>
      </c>
      <c r="G2152">
        <v>28</v>
      </c>
      <c r="H2152" t="s">
        <v>3491</v>
      </c>
      <c r="I2152" t="s">
        <v>3492</v>
      </c>
      <c r="J2152" t="s">
        <v>2961</v>
      </c>
    </row>
    <row r="2153" spans="1:10" x14ac:dyDescent="0.25">
      <c r="A2153" t="s">
        <v>2532</v>
      </c>
      <c r="B2153" t="s">
        <v>75</v>
      </c>
      <c r="C2153">
        <v>6</v>
      </c>
      <c r="D2153" t="s">
        <v>3056</v>
      </c>
      <c r="E2153">
        <v>68</v>
      </c>
      <c r="F2153">
        <v>19</v>
      </c>
      <c r="G2153">
        <v>49</v>
      </c>
      <c r="H2153" t="s">
        <v>3489</v>
      </c>
      <c r="I2153" t="s">
        <v>3490</v>
      </c>
      <c r="J2153" t="s">
        <v>2961</v>
      </c>
    </row>
    <row r="2154" spans="1:10" x14ac:dyDescent="0.25">
      <c r="A2154" t="s">
        <v>2532</v>
      </c>
      <c r="B2154" t="s">
        <v>75</v>
      </c>
      <c r="C2154">
        <v>6</v>
      </c>
      <c r="D2154" t="s">
        <v>3058</v>
      </c>
      <c r="E2154">
        <v>58</v>
      </c>
      <c r="F2154">
        <v>15</v>
      </c>
      <c r="G2154">
        <v>43</v>
      </c>
      <c r="H2154" t="s">
        <v>3493</v>
      </c>
      <c r="I2154" t="s">
        <v>3490</v>
      </c>
      <c r="J2154" t="s">
        <v>2961</v>
      </c>
    </row>
    <row r="2155" spans="1:10" x14ac:dyDescent="0.25">
      <c r="A2155" t="s">
        <v>2532</v>
      </c>
      <c r="B2155" t="s">
        <v>75</v>
      </c>
      <c r="C2155">
        <v>6</v>
      </c>
      <c r="D2155" t="s">
        <v>3060</v>
      </c>
      <c r="E2155">
        <v>54</v>
      </c>
      <c r="F2155">
        <v>11</v>
      </c>
      <c r="G2155">
        <v>43</v>
      </c>
      <c r="H2155" t="s">
        <v>3493</v>
      </c>
      <c r="I2155" t="s">
        <v>3490</v>
      </c>
      <c r="J2155" t="s">
        <v>2961</v>
      </c>
    </row>
    <row r="2156" spans="1:10" x14ac:dyDescent="0.25">
      <c r="A2156" t="s">
        <v>2532</v>
      </c>
      <c r="B2156" t="s">
        <v>75</v>
      </c>
      <c r="C2156">
        <v>6</v>
      </c>
      <c r="D2156" t="s">
        <v>3062</v>
      </c>
      <c r="E2156">
        <v>62</v>
      </c>
      <c r="F2156">
        <v>27</v>
      </c>
      <c r="G2156">
        <v>35</v>
      </c>
      <c r="H2156" t="s">
        <v>3489</v>
      </c>
      <c r="I2156" t="s">
        <v>3490</v>
      </c>
      <c r="J2156" t="s">
        <v>2961</v>
      </c>
    </row>
    <row r="2157" spans="1:10" x14ac:dyDescent="0.25">
      <c r="A2157" t="s">
        <v>2537</v>
      </c>
      <c r="B2157" t="s">
        <v>30</v>
      </c>
      <c r="C2157">
        <v>8</v>
      </c>
      <c r="D2157" t="s">
        <v>3354</v>
      </c>
      <c r="E2157">
        <v>52</v>
      </c>
      <c r="F2157">
        <v>17</v>
      </c>
      <c r="G2157">
        <v>35</v>
      </c>
      <c r="H2157" t="s">
        <v>3493</v>
      </c>
      <c r="I2157" t="s">
        <v>3490</v>
      </c>
      <c r="J2157" t="s">
        <v>2895</v>
      </c>
    </row>
    <row r="2158" spans="1:10" x14ac:dyDescent="0.25">
      <c r="A2158" t="s">
        <v>2537</v>
      </c>
      <c r="B2158" t="s">
        <v>30</v>
      </c>
      <c r="C2158">
        <v>8</v>
      </c>
      <c r="D2158" t="s">
        <v>3356</v>
      </c>
      <c r="E2158">
        <v>50</v>
      </c>
      <c r="F2158">
        <v>18</v>
      </c>
      <c r="G2158">
        <v>32</v>
      </c>
      <c r="H2158" t="s">
        <v>3493</v>
      </c>
      <c r="I2158" t="s">
        <v>3490</v>
      </c>
      <c r="J2158" t="s">
        <v>2895</v>
      </c>
    </row>
    <row r="2159" spans="1:10" x14ac:dyDescent="0.25">
      <c r="A2159" t="s">
        <v>2537</v>
      </c>
      <c r="B2159" t="s">
        <v>30</v>
      </c>
      <c r="C2159">
        <v>8</v>
      </c>
      <c r="D2159" t="s">
        <v>3358</v>
      </c>
      <c r="E2159">
        <v>75</v>
      </c>
      <c r="F2159">
        <v>11</v>
      </c>
      <c r="G2159">
        <v>64</v>
      </c>
      <c r="H2159" t="s">
        <v>3494</v>
      </c>
      <c r="I2159" t="s">
        <v>3490</v>
      </c>
      <c r="J2159" t="s">
        <v>2895</v>
      </c>
    </row>
    <row r="2160" spans="1:10" x14ac:dyDescent="0.25">
      <c r="A2160" t="s">
        <v>2537</v>
      </c>
      <c r="B2160" t="s">
        <v>30</v>
      </c>
      <c r="C2160">
        <v>8</v>
      </c>
      <c r="D2160" t="s">
        <v>3360</v>
      </c>
      <c r="E2160">
        <v>41</v>
      </c>
      <c r="F2160">
        <v>17</v>
      </c>
      <c r="G2160">
        <v>24</v>
      </c>
      <c r="H2160" t="s">
        <v>3491</v>
      </c>
      <c r="I2160" t="s">
        <v>3492</v>
      </c>
      <c r="J2160" t="s">
        <v>2895</v>
      </c>
    </row>
    <row r="2161" spans="1:10" x14ac:dyDescent="0.25">
      <c r="A2161" t="s">
        <v>2537</v>
      </c>
      <c r="B2161" t="s">
        <v>30</v>
      </c>
      <c r="C2161">
        <v>8</v>
      </c>
      <c r="D2161" t="s">
        <v>3362</v>
      </c>
      <c r="E2161">
        <v>77</v>
      </c>
      <c r="F2161">
        <v>12</v>
      </c>
      <c r="G2161">
        <v>65</v>
      </c>
      <c r="H2161" t="s">
        <v>3494</v>
      </c>
      <c r="I2161" t="s">
        <v>3490</v>
      </c>
      <c r="J2161" t="s">
        <v>2895</v>
      </c>
    </row>
    <row r="2162" spans="1:10" x14ac:dyDescent="0.25">
      <c r="A2162" t="s">
        <v>2542</v>
      </c>
      <c r="B2162" t="s">
        <v>63</v>
      </c>
      <c r="C2162">
        <v>8</v>
      </c>
      <c r="D2162" t="s">
        <v>3414</v>
      </c>
      <c r="E2162">
        <v>83</v>
      </c>
      <c r="F2162">
        <v>21</v>
      </c>
      <c r="G2162">
        <v>62</v>
      </c>
      <c r="H2162" t="s">
        <v>196</v>
      </c>
      <c r="I2162" t="s">
        <v>3490</v>
      </c>
      <c r="J2162" t="s">
        <v>2932</v>
      </c>
    </row>
    <row r="2163" spans="1:10" x14ac:dyDescent="0.25">
      <c r="A2163" t="s">
        <v>2542</v>
      </c>
      <c r="B2163" t="s">
        <v>63</v>
      </c>
      <c r="C2163">
        <v>8</v>
      </c>
      <c r="D2163" t="s">
        <v>3416</v>
      </c>
      <c r="E2163">
        <v>77</v>
      </c>
      <c r="F2163">
        <v>26</v>
      </c>
      <c r="G2163">
        <v>51</v>
      </c>
      <c r="H2163" t="s">
        <v>3494</v>
      </c>
      <c r="I2163" t="s">
        <v>3490</v>
      </c>
      <c r="J2163" t="s">
        <v>2932</v>
      </c>
    </row>
    <row r="2164" spans="1:10" x14ac:dyDescent="0.25">
      <c r="A2164" t="s">
        <v>2542</v>
      </c>
      <c r="B2164" t="s">
        <v>63</v>
      </c>
      <c r="C2164">
        <v>8</v>
      </c>
      <c r="D2164" t="s">
        <v>3418</v>
      </c>
      <c r="E2164">
        <v>43</v>
      </c>
      <c r="F2164">
        <v>22</v>
      </c>
      <c r="G2164">
        <v>21</v>
      </c>
      <c r="H2164" t="s">
        <v>3491</v>
      </c>
      <c r="I2164" t="s">
        <v>3492</v>
      </c>
      <c r="J2164" t="s">
        <v>2932</v>
      </c>
    </row>
    <row r="2165" spans="1:10" x14ac:dyDescent="0.25">
      <c r="A2165" t="s">
        <v>2542</v>
      </c>
      <c r="B2165" t="s">
        <v>63</v>
      </c>
      <c r="C2165">
        <v>8</v>
      </c>
      <c r="D2165" t="s">
        <v>3420</v>
      </c>
      <c r="E2165">
        <v>87</v>
      </c>
      <c r="F2165">
        <v>21</v>
      </c>
      <c r="G2165">
        <v>66</v>
      </c>
      <c r="H2165" t="s">
        <v>196</v>
      </c>
      <c r="I2165" t="s">
        <v>3490</v>
      </c>
      <c r="J2165" t="s">
        <v>2932</v>
      </c>
    </row>
    <row r="2166" spans="1:10" x14ac:dyDescent="0.25">
      <c r="A2166" t="s">
        <v>2542</v>
      </c>
      <c r="B2166" t="s">
        <v>63</v>
      </c>
      <c r="C2166">
        <v>8</v>
      </c>
      <c r="D2166" t="s">
        <v>3422</v>
      </c>
      <c r="E2166">
        <v>61</v>
      </c>
      <c r="F2166">
        <v>18</v>
      </c>
      <c r="G2166">
        <v>43</v>
      </c>
      <c r="H2166" t="s">
        <v>3489</v>
      </c>
      <c r="I2166" t="s">
        <v>3490</v>
      </c>
      <c r="J2166" t="s">
        <v>2932</v>
      </c>
    </row>
    <row r="2167" spans="1:10" x14ac:dyDescent="0.25">
      <c r="A2167" t="s">
        <v>2547</v>
      </c>
      <c r="B2167" t="s">
        <v>95</v>
      </c>
      <c r="C2167">
        <v>4</v>
      </c>
      <c r="D2167" t="s">
        <v>3214</v>
      </c>
      <c r="E2167">
        <v>93</v>
      </c>
      <c r="F2167">
        <v>24</v>
      </c>
      <c r="G2167">
        <v>69</v>
      </c>
      <c r="H2167" t="s">
        <v>3495</v>
      </c>
      <c r="I2167" t="s">
        <v>3490</v>
      </c>
      <c r="J2167" t="s">
        <v>2889</v>
      </c>
    </row>
    <row r="2168" spans="1:10" x14ac:dyDescent="0.25">
      <c r="A2168" t="s">
        <v>2547</v>
      </c>
      <c r="B2168" t="s">
        <v>95</v>
      </c>
      <c r="C2168">
        <v>4</v>
      </c>
      <c r="D2168" t="s">
        <v>3216</v>
      </c>
      <c r="E2168">
        <v>86</v>
      </c>
      <c r="F2168">
        <v>22</v>
      </c>
      <c r="G2168">
        <v>64</v>
      </c>
      <c r="H2168" t="s">
        <v>196</v>
      </c>
      <c r="I2168" t="s">
        <v>3490</v>
      </c>
      <c r="J2168" t="s">
        <v>2889</v>
      </c>
    </row>
    <row r="2169" spans="1:10" x14ac:dyDescent="0.25">
      <c r="A2169" t="s">
        <v>2547</v>
      </c>
      <c r="B2169" t="s">
        <v>95</v>
      </c>
      <c r="C2169">
        <v>4</v>
      </c>
      <c r="D2169" t="s">
        <v>3218</v>
      </c>
      <c r="E2169">
        <v>91</v>
      </c>
      <c r="F2169">
        <v>28</v>
      </c>
      <c r="G2169">
        <v>63</v>
      </c>
      <c r="H2169" t="s">
        <v>3495</v>
      </c>
      <c r="I2169" t="s">
        <v>3490</v>
      </c>
      <c r="J2169" t="s">
        <v>2889</v>
      </c>
    </row>
    <row r="2170" spans="1:10" x14ac:dyDescent="0.25">
      <c r="A2170" t="s">
        <v>2547</v>
      </c>
      <c r="B2170" t="s">
        <v>95</v>
      </c>
      <c r="C2170">
        <v>4</v>
      </c>
      <c r="D2170" t="s">
        <v>3220</v>
      </c>
      <c r="E2170">
        <v>69</v>
      </c>
      <c r="F2170">
        <v>18</v>
      </c>
      <c r="G2170">
        <v>51</v>
      </c>
      <c r="H2170" t="s">
        <v>3489</v>
      </c>
      <c r="I2170" t="s">
        <v>3490</v>
      </c>
      <c r="J2170" t="s">
        <v>2889</v>
      </c>
    </row>
    <row r="2171" spans="1:10" x14ac:dyDescent="0.25">
      <c r="A2171" t="s">
        <v>2547</v>
      </c>
      <c r="B2171" t="s">
        <v>95</v>
      </c>
      <c r="C2171">
        <v>4</v>
      </c>
      <c r="D2171" t="s">
        <v>3222</v>
      </c>
      <c r="E2171">
        <v>90</v>
      </c>
      <c r="F2171">
        <v>20</v>
      </c>
      <c r="G2171">
        <v>70</v>
      </c>
      <c r="H2171" t="s">
        <v>3495</v>
      </c>
      <c r="I2171" t="s">
        <v>3490</v>
      </c>
      <c r="J2171" t="s">
        <v>2889</v>
      </c>
    </row>
    <row r="2172" spans="1:10" x14ac:dyDescent="0.25">
      <c r="A2172" t="s">
        <v>2552</v>
      </c>
      <c r="B2172" t="s">
        <v>212</v>
      </c>
      <c r="C2172">
        <v>6</v>
      </c>
      <c r="D2172" t="s">
        <v>3474</v>
      </c>
      <c r="E2172">
        <v>69</v>
      </c>
      <c r="F2172">
        <v>24</v>
      </c>
      <c r="G2172">
        <v>45</v>
      </c>
      <c r="H2172" t="s">
        <v>3489</v>
      </c>
      <c r="I2172" t="s">
        <v>3490</v>
      </c>
      <c r="J2172" t="s">
        <v>3001</v>
      </c>
    </row>
    <row r="2173" spans="1:10" x14ac:dyDescent="0.25">
      <c r="A2173" t="s">
        <v>2552</v>
      </c>
      <c r="B2173" t="s">
        <v>212</v>
      </c>
      <c r="C2173">
        <v>6</v>
      </c>
      <c r="D2173" t="s">
        <v>3476</v>
      </c>
      <c r="E2173">
        <v>93</v>
      </c>
      <c r="F2173">
        <v>28</v>
      </c>
      <c r="G2173">
        <v>65</v>
      </c>
      <c r="H2173" t="s">
        <v>3495</v>
      </c>
      <c r="I2173" t="s">
        <v>3490</v>
      </c>
      <c r="J2173" t="s">
        <v>3001</v>
      </c>
    </row>
    <row r="2174" spans="1:10" x14ac:dyDescent="0.25">
      <c r="A2174" t="s">
        <v>2552</v>
      </c>
      <c r="B2174" t="s">
        <v>212</v>
      </c>
      <c r="C2174">
        <v>6</v>
      </c>
      <c r="D2174" t="s">
        <v>3478</v>
      </c>
      <c r="E2174">
        <v>84</v>
      </c>
      <c r="F2174">
        <v>18</v>
      </c>
      <c r="G2174">
        <v>66</v>
      </c>
      <c r="H2174" t="s">
        <v>196</v>
      </c>
      <c r="I2174" t="s">
        <v>3490</v>
      </c>
      <c r="J2174" t="s">
        <v>3001</v>
      </c>
    </row>
    <row r="2175" spans="1:10" x14ac:dyDescent="0.25">
      <c r="A2175" t="s">
        <v>2552</v>
      </c>
      <c r="B2175" t="s">
        <v>212</v>
      </c>
      <c r="C2175">
        <v>6</v>
      </c>
      <c r="D2175" t="s">
        <v>3480</v>
      </c>
      <c r="E2175">
        <v>71</v>
      </c>
      <c r="F2175">
        <v>30</v>
      </c>
      <c r="G2175">
        <v>41</v>
      </c>
      <c r="H2175" t="s">
        <v>3494</v>
      </c>
      <c r="I2175" t="s">
        <v>3490</v>
      </c>
      <c r="J2175" t="s">
        <v>3001</v>
      </c>
    </row>
    <row r="2176" spans="1:10" x14ac:dyDescent="0.25">
      <c r="A2176" t="s">
        <v>2552</v>
      </c>
      <c r="B2176" t="s">
        <v>212</v>
      </c>
      <c r="C2176">
        <v>6</v>
      </c>
      <c r="D2176" t="s">
        <v>3482</v>
      </c>
      <c r="E2176">
        <v>59</v>
      </c>
      <c r="F2176">
        <v>16</v>
      </c>
      <c r="G2176">
        <v>43</v>
      </c>
      <c r="H2176" t="s">
        <v>3493</v>
      </c>
      <c r="I2176" t="s">
        <v>3490</v>
      </c>
      <c r="J2176" t="s">
        <v>3001</v>
      </c>
    </row>
    <row r="2177" spans="1:10" x14ac:dyDescent="0.25">
      <c r="A2177" t="s">
        <v>2557</v>
      </c>
      <c r="B2177" t="s">
        <v>105</v>
      </c>
      <c r="C2177">
        <v>8</v>
      </c>
      <c r="D2177" t="s">
        <v>3174</v>
      </c>
      <c r="E2177">
        <v>64</v>
      </c>
      <c r="F2177">
        <v>17</v>
      </c>
      <c r="G2177">
        <v>47</v>
      </c>
      <c r="H2177" t="s">
        <v>3489</v>
      </c>
      <c r="I2177" t="s">
        <v>3490</v>
      </c>
      <c r="J2177" t="s">
        <v>2908</v>
      </c>
    </row>
    <row r="2178" spans="1:10" x14ac:dyDescent="0.25">
      <c r="A2178" t="s">
        <v>2557</v>
      </c>
      <c r="B2178" t="s">
        <v>105</v>
      </c>
      <c r="C2178">
        <v>8</v>
      </c>
      <c r="D2178" t="s">
        <v>3176</v>
      </c>
      <c r="E2178">
        <v>77</v>
      </c>
      <c r="F2178">
        <v>21</v>
      </c>
      <c r="G2178">
        <v>56</v>
      </c>
      <c r="H2178" t="s">
        <v>3494</v>
      </c>
      <c r="I2178" t="s">
        <v>3490</v>
      </c>
      <c r="J2178" t="s">
        <v>2908</v>
      </c>
    </row>
    <row r="2179" spans="1:10" x14ac:dyDescent="0.25">
      <c r="A2179" t="s">
        <v>2557</v>
      </c>
      <c r="B2179" t="s">
        <v>105</v>
      </c>
      <c r="C2179">
        <v>8</v>
      </c>
      <c r="D2179" t="s">
        <v>3178</v>
      </c>
      <c r="E2179">
        <v>62</v>
      </c>
      <c r="F2179">
        <v>25</v>
      </c>
      <c r="G2179">
        <v>37</v>
      </c>
      <c r="H2179" t="s">
        <v>3489</v>
      </c>
      <c r="I2179" t="s">
        <v>3490</v>
      </c>
      <c r="J2179" t="s">
        <v>2908</v>
      </c>
    </row>
    <row r="2180" spans="1:10" x14ac:dyDescent="0.25">
      <c r="A2180" t="s">
        <v>2557</v>
      </c>
      <c r="B2180" t="s">
        <v>105</v>
      </c>
      <c r="C2180">
        <v>8</v>
      </c>
      <c r="D2180" t="s">
        <v>3180</v>
      </c>
      <c r="E2180">
        <v>66</v>
      </c>
      <c r="F2180">
        <v>22</v>
      </c>
      <c r="G2180">
        <v>44</v>
      </c>
      <c r="H2180" t="s">
        <v>3489</v>
      </c>
      <c r="I2180" t="s">
        <v>3490</v>
      </c>
      <c r="J2180" t="s">
        <v>2908</v>
      </c>
    </row>
    <row r="2181" spans="1:10" x14ac:dyDescent="0.25">
      <c r="A2181" t="s">
        <v>2557</v>
      </c>
      <c r="B2181" t="s">
        <v>105</v>
      </c>
      <c r="C2181">
        <v>8</v>
      </c>
      <c r="D2181" t="s">
        <v>3182</v>
      </c>
      <c r="E2181">
        <v>98</v>
      </c>
      <c r="F2181">
        <v>29</v>
      </c>
      <c r="G2181">
        <v>69</v>
      </c>
      <c r="H2181" t="s">
        <v>3495</v>
      </c>
      <c r="I2181" t="s">
        <v>3490</v>
      </c>
      <c r="J2181" t="s">
        <v>2908</v>
      </c>
    </row>
    <row r="2182" spans="1:10" x14ac:dyDescent="0.25">
      <c r="A2182" t="s">
        <v>2562</v>
      </c>
      <c r="B2182" t="s">
        <v>212</v>
      </c>
      <c r="C2182">
        <v>8</v>
      </c>
      <c r="D2182" t="s">
        <v>3474</v>
      </c>
      <c r="E2182">
        <v>70</v>
      </c>
      <c r="F2182">
        <v>26</v>
      </c>
      <c r="G2182">
        <v>44</v>
      </c>
      <c r="H2182" t="s">
        <v>3494</v>
      </c>
      <c r="I2182" t="s">
        <v>3490</v>
      </c>
      <c r="J2182" t="s">
        <v>3001</v>
      </c>
    </row>
    <row r="2183" spans="1:10" x14ac:dyDescent="0.25">
      <c r="A2183" t="s">
        <v>2562</v>
      </c>
      <c r="B2183" t="s">
        <v>212</v>
      </c>
      <c r="C2183">
        <v>8</v>
      </c>
      <c r="D2183" t="s">
        <v>3476</v>
      </c>
      <c r="E2183">
        <v>59</v>
      </c>
      <c r="F2183">
        <v>12</v>
      </c>
      <c r="G2183">
        <v>47</v>
      </c>
      <c r="H2183" t="s">
        <v>3493</v>
      </c>
      <c r="I2183" t="s">
        <v>3490</v>
      </c>
      <c r="J2183" t="s">
        <v>3001</v>
      </c>
    </row>
    <row r="2184" spans="1:10" x14ac:dyDescent="0.25">
      <c r="A2184" t="s">
        <v>2562</v>
      </c>
      <c r="B2184" t="s">
        <v>212</v>
      </c>
      <c r="C2184">
        <v>8</v>
      </c>
      <c r="D2184" t="s">
        <v>3478</v>
      </c>
      <c r="E2184">
        <v>53</v>
      </c>
      <c r="F2184">
        <v>16</v>
      </c>
      <c r="G2184">
        <v>37</v>
      </c>
      <c r="H2184" t="s">
        <v>3493</v>
      </c>
      <c r="I2184" t="s">
        <v>3490</v>
      </c>
      <c r="J2184" t="s">
        <v>3001</v>
      </c>
    </row>
    <row r="2185" spans="1:10" x14ac:dyDescent="0.25">
      <c r="A2185" t="s">
        <v>2562</v>
      </c>
      <c r="B2185" t="s">
        <v>212</v>
      </c>
      <c r="C2185">
        <v>8</v>
      </c>
      <c r="D2185" t="s">
        <v>3480</v>
      </c>
      <c r="E2185">
        <v>39</v>
      </c>
      <c r="F2185">
        <v>14</v>
      </c>
      <c r="G2185">
        <v>25</v>
      </c>
      <c r="H2185" t="s">
        <v>3491</v>
      </c>
      <c r="I2185" t="s">
        <v>3492</v>
      </c>
      <c r="J2185" t="s">
        <v>3001</v>
      </c>
    </row>
    <row r="2186" spans="1:10" x14ac:dyDescent="0.25">
      <c r="A2186" t="s">
        <v>2562</v>
      </c>
      <c r="B2186" t="s">
        <v>212</v>
      </c>
      <c r="C2186">
        <v>8</v>
      </c>
      <c r="D2186" t="s">
        <v>3482</v>
      </c>
      <c r="E2186">
        <v>56</v>
      </c>
      <c r="F2186">
        <v>15</v>
      </c>
      <c r="G2186">
        <v>41</v>
      </c>
      <c r="H2186" t="s">
        <v>3493</v>
      </c>
      <c r="I2186" t="s">
        <v>3490</v>
      </c>
      <c r="J2186" t="s">
        <v>3001</v>
      </c>
    </row>
    <row r="2187" spans="1:10" x14ac:dyDescent="0.25">
      <c r="A2187" t="s">
        <v>2567</v>
      </c>
      <c r="B2187" t="s">
        <v>30</v>
      </c>
      <c r="C2187">
        <v>6</v>
      </c>
      <c r="D2187" t="s">
        <v>3354</v>
      </c>
      <c r="E2187">
        <v>62</v>
      </c>
      <c r="F2187">
        <v>19</v>
      </c>
      <c r="G2187">
        <v>43</v>
      </c>
      <c r="H2187" t="s">
        <v>3489</v>
      </c>
      <c r="I2187" t="s">
        <v>3490</v>
      </c>
      <c r="J2187" t="s">
        <v>2895</v>
      </c>
    </row>
    <row r="2188" spans="1:10" x14ac:dyDescent="0.25">
      <c r="A2188" t="s">
        <v>2567</v>
      </c>
      <c r="B2188" t="s">
        <v>30</v>
      </c>
      <c r="C2188">
        <v>6</v>
      </c>
      <c r="D2188" t="s">
        <v>3356</v>
      </c>
      <c r="E2188">
        <v>64</v>
      </c>
      <c r="F2188">
        <v>10</v>
      </c>
      <c r="G2188">
        <v>54</v>
      </c>
      <c r="H2188" t="s">
        <v>3489</v>
      </c>
      <c r="I2188" t="s">
        <v>3490</v>
      </c>
      <c r="J2188" t="s">
        <v>2895</v>
      </c>
    </row>
    <row r="2189" spans="1:10" x14ac:dyDescent="0.25">
      <c r="A2189" t="s">
        <v>2567</v>
      </c>
      <c r="B2189" t="s">
        <v>30</v>
      </c>
      <c r="C2189">
        <v>6</v>
      </c>
      <c r="D2189" t="s">
        <v>3358</v>
      </c>
      <c r="E2189">
        <v>66</v>
      </c>
      <c r="F2189">
        <v>10</v>
      </c>
      <c r="G2189">
        <v>56</v>
      </c>
      <c r="H2189" t="s">
        <v>3489</v>
      </c>
      <c r="I2189" t="s">
        <v>3490</v>
      </c>
      <c r="J2189" t="s">
        <v>2895</v>
      </c>
    </row>
    <row r="2190" spans="1:10" x14ac:dyDescent="0.25">
      <c r="A2190" t="s">
        <v>2567</v>
      </c>
      <c r="B2190" t="s">
        <v>30</v>
      </c>
      <c r="C2190">
        <v>6</v>
      </c>
      <c r="D2190" t="s">
        <v>3360</v>
      </c>
      <c r="E2190">
        <v>79</v>
      </c>
      <c r="F2190">
        <v>20</v>
      </c>
      <c r="G2190">
        <v>59</v>
      </c>
      <c r="H2190" t="s">
        <v>3494</v>
      </c>
      <c r="I2190" t="s">
        <v>3490</v>
      </c>
      <c r="J2190" t="s">
        <v>2895</v>
      </c>
    </row>
    <row r="2191" spans="1:10" x14ac:dyDescent="0.25">
      <c r="A2191" t="s">
        <v>2567</v>
      </c>
      <c r="B2191" t="s">
        <v>30</v>
      </c>
      <c r="C2191">
        <v>6</v>
      </c>
      <c r="D2191" t="s">
        <v>3362</v>
      </c>
      <c r="E2191">
        <v>71</v>
      </c>
      <c r="F2191">
        <v>19</v>
      </c>
      <c r="G2191">
        <v>52</v>
      </c>
      <c r="H2191" t="s">
        <v>3494</v>
      </c>
      <c r="I2191" t="s">
        <v>3490</v>
      </c>
      <c r="J2191" t="s">
        <v>2895</v>
      </c>
    </row>
    <row r="2192" spans="1:10" x14ac:dyDescent="0.25">
      <c r="A2192" t="s">
        <v>2573</v>
      </c>
      <c r="B2192" t="s">
        <v>95</v>
      </c>
      <c r="C2192">
        <v>8</v>
      </c>
      <c r="D2192" t="s">
        <v>3234</v>
      </c>
      <c r="E2192">
        <v>53</v>
      </c>
      <c r="F2192">
        <v>12</v>
      </c>
      <c r="G2192">
        <v>41</v>
      </c>
      <c r="H2192" t="s">
        <v>3493</v>
      </c>
      <c r="I2192" t="s">
        <v>3490</v>
      </c>
      <c r="J2192" t="s">
        <v>2889</v>
      </c>
    </row>
    <row r="2193" spans="1:10" x14ac:dyDescent="0.25">
      <c r="A2193" t="s">
        <v>2573</v>
      </c>
      <c r="B2193" t="s">
        <v>95</v>
      </c>
      <c r="C2193">
        <v>8</v>
      </c>
      <c r="D2193" t="s">
        <v>3236</v>
      </c>
      <c r="E2193">
        <v>83</v>
      </c>
      <c r="F2193">
        <v>15</v>
      </c>
      <c r="G2193">
        <v>68</v>
      </c>
      <c r="H2193" t="s">
        <v>196</v>
      </c>
      <c r="I2193" t="s">
        <v>3490</v>
      </c>
      <c r="J2193" t="s">
        <v>2889</v>
      </c>
    </row>
    <row r="2194" spans="1:10" x14ac:dyDescent="0.25">
      <c r="A2194" t="s">
        <v>2573</v>
      </c>
      <c r="B2194" t="s">
        <v>95</v>
      </c>
      <c r="C2194">
        <v>8</v>
      </c>
      <c r="D2194" t="s">
        <v>3238</v>
      </c>
      <c r="E2194">
        <v>80</v>
      </c>
      <c r="F2194">
        <v>22</v>
      </c>
      <c r="G2194">
        <v>58</v>
      </c>
      <c r="H2194" t="s">
        <v>196</v>
      </c>
      <c r="I2194" t="s">
        <v>3490</v>
      </c>
      <c r="J2194" t="s">
        <v>2889</v>
      </c>
    </row>
    <row r="2195" spans="1:10" x14ac:dyDescent="0.25">
      <c r="A2195" t="s">
        <v>2573</v>
      </c>
      <c r="B2195" t="s">
        <v>95</v>
      </c>
      <c r="C2195">
        <v>8</v>
      </c>
      <c r="D2195" t="s">
        <v>3240</v>
      </c>
      <c r="E2195">
        <v>54</v>
      </c>
      <c r="F2195">
        <v>14</v>
      </c>
      <c r="G2195">
        <v>40</v>
      </c>
      <c r="H2195" t="s">
        <v>3493</v>
      </c>
      <c r="I2195" t="s">
        <v>3490</v>
      </c>
      <c r="J2195" t="s">
        <v>2889</v>
      </c>
    </row>
    <row r="2196" spans="1:10" x14ac:dyDescent="0.25">
      <c r="A2196" t="s">
        <v>2573</v>
      </c>
      <c r="B2196" t="s">
        <v>95</v>
      </c>
      <c r="C2196">
        <v>8</v>
      </c>
      <c r="D2196" t="s">
        <v>3242</v>
      </c>
      <c r="E2196">
        <v>77</v>
      </c>
      <c r="F2196">
        <v>21</v>
      </c>
      <c r="G2196">
        <v>56</v>
      </c>
      <c r="H2196" t="s">
        <v>3494</v>
      </c>
      <c r="I2196" t="s">
        <v>3490</v>
      </c>
      <c r="J2196" t="s">
        <v>2889</v>
      </c>
    </row>
    <row r="2197" spans="1:10" x14ac:dyDescent="0.25">
      <c r="A2197" t="s">
        <v>2578</v>
      </c>
      <c r="B2197" t="s">
        <v>159</v>
      </c>
      <c r="C2197">
        <v>8</v>
      </c>
      <c r="D2197" t="s">
        <v>3114</v>
      </c>
      <c r="E2197">
        <v>67</v>
      </c>
      <c r="F2197">
        <v>22</v>
      </c>
      <c r="G2197">
        <v>45</v>
      </c>
      <c r="H2197" t="s">
        <v>3489</v>
      </c>
      <c r="I2197" t="s">
        <v>3490</v>
      </c>
      <c r="J2197" t="s">
        <v>2902</v>
      </c>
    </row>
    <row r="2198" spans="1:10" x14ac:dyDescent="0.25">
      <c r="A2198" t="s">
        <v>2578</v>
      </c>
      <c r="B2198" t="s">
        <v>159</v>
      </c>
      <c r="C2198">
        <v>8</v>
      </c>
      <c r="D2198" t="s">
        <v>3116</v>
      </c>
      <c r="E2198">
        <v>67</v>
      </c>
      <c r="F2198">
        <v>19</v>
      </c>
      <c r="G2198">
        <v>48</v>
      </c>
      <c r="H2198" t="s">
        <v>3489</v>
      </c>
      <c r="I2198" t="s">
        <v>3490</v>
      </c>
      <c r="J2198" t="s">
        <v>2902</v>
      </c>
    </row>
    <row r="2199" spans="1:10" x14ac:dyDescent="0.25">
      <c r="A2199" t="s">
        <v>2578</v>
      </c>
      <c r="B2199" t="s">
        <v>159</v>
      </c>
      <c r="C2199">
        <v>8</v>
      </c>
      <c r="D2199" t="s">
        <v>3118</v>
      </c>
      <c r="E2199">
        <v>42</v>
      </c>
      <c r="F2199">
        <v>15</v>
      </c>
      <c r="G2199">
        <v>27</v>
      </c>
      <c r="H2199" t="s">
        <v>3491</v>
      </c>
      <c r="I2199" t="s">
        <v>3492</v>
      </c>
      <c r="J2199" t="s">
        <v>2902</v>
      </c>
    </row>
    <row r="2200" spans="1:10" x14ac:dyDescent="0.25">
      <c r="A2200" t="s">
        <v>2578</v>
      </c>
      <c r="B2200" t="s">
        <v>159</v>
      </c>
      <c r="C2200">
        <v>8</v>
      </c>
      <c r="D2200" t="s">
        <v>3120</v>
      </c>
      <c r="E2200">
        <v>37</v>
      </c>
      <c r="F2200">
        <v>17</v>
      </c>
      <c r="G2200">
        <v>20</v>
      </c>
      <c r="H2200" t="s">
        <v>3491</v>
      </c>
      <c r="I2200" t="s">
        <v>3492</v>
      </c>
      <c r="J2200" t="s">
        <v>2902</v>
      </c>
    </row>
    <row r="2201" spans="1:10" x14ac:dyDescent="0.25">
      <c r="A2201" t="s">
        <v>2578</v>
      </c>
      <c r="B2201" t="s">
        <v>159</v>
      </c>
      <c r="C2201">
        <v>8</v>
      </c>
      <c r="D2201" t="s">
        <v>3122</v>
      </c>
      <c r="E2201">
        <v>61</v>
      </c>
      <c r="F2201">
        <v>24</v>
      </c>
      <c r="G2201">
        <v>37</v>
      </c>
      <c r="H2201" t="s">
        <v>3489</v>
      </c>
      <c r="I2201" t="s">
        <v>3490</v>
      </c>
      <c r="J2201" t="s">
        <v>2902</v>
      </c>
    </row>
    <row r="2202" spans="1:10" x14ac:dyDescent="0.25">
      <c r="A2202" t="s">
        <v>2583</v>
      </c>
      <c r="B2202" t="s">
        <v>95</v>
      </c>
      <c r="C2202">
        <v>6</v>
      </c>
      <c r="D2202" t="s">
        <v>3234</v>
      </c>
      <c r="E2202">
        <v>49</v>
      </c>
      <c r="F2202">
        <v>14</v>
      </c>
      <c r="G2202">
        <v>35</v>
      </c>
      <c r="H2202" t="s">
        <v>3491</v>
      </c>
      <c r="I2202" t="s">
        <v>3492</v>
      </c>
      <c r="J2202" t="s">
        <v>2889</v>
      </c>
    </row>
    <row r="2203" spans="1:10" x14ac:dyDescent="0.25">
      <c r="A2203" t="s">
        <v>2583</v>
      </c>
      <c r="B2203" t="s">
        <v>95</v>
      </c>
      <c r="C2203">
        <v>6</v>
      </c>
      <c r="D2203" t="s">
        <v>3236</v>
      </c>
      <c r="E2203">
        <v>90</v>
      </c>
      <c r="F2203">
        <v>21</v>
      </c>
      <c r="G2203">
        <v>69</v>
      </c>
      <c r="H2203" t="s">
        <v>3495</v>
      </c>
      <c r="I2203" t="s">
        <v>3490</v>
      </c>
      <c r="J2203" t="s">
        <v>2889</v>
      </c>
    </row>
    <row r="2204" spans="1:10" x14ac:dyDescent="0.25">
      <c r="A2204" t="s">
        <v>2583</v>
      </c>
      <c r="B2204" t="s">
        <v>95</v>
      </c>
      <c r="C2204">
        <v>6</v>
      </c>
      <c r="D2204" t="s">
        <v>3238</v>
      </c>
      <c r="E2204">
        <v>55</v>
      </c>
      <c r="F2204">
        <v>28</v>
      </c>
      <c r="G2204">
        <v>27</v>
      </c>
      <c r="H2204" t="s">
        <v>3493</v>
      </c>
      <c r="I2204" t="s">
        <v>3490</v>
      </c>
      <c r="J2204" t="s">
        <v>2889</v>
      </c>
    </row>
    <row r="2205" spans="1:10" x14ac:dyDescent="0.25">
      <c r="A2205" t="s">
        <v>2583</v>
      </c>
      <c r="B2205" t="s">
        <v>95</v>
      </c>
      <c r="C2205">
        <v>6</v>
      </c>
      <c r="D2205" t="s">
        <v>3240</v>
      </c>
      <c r="E2205">
        <v>49</v>
      </c>
      <c r="F2205">
        <v>18</v>
      </c>
      <c r="G2205">
        <v>31</v>
      </c>
      <c r="H2205" t="s">
        <v>3491</v>
      </c>
      <c r="I2205" t="s">
        <v>3492</v>
      </c>
      <c r="J2205" t="s">
        <v>2889</v>
      </c>
    </row>
    <row r="2206" spans="1:10" x14ac:dyDescent="0.25">
      <c r="A2206" t="s">
        <v>2583</v>
      </c>
      <c r="B2206" t="s">
        <v>95</v>
      </c>
      <c r="C2206">
        <v>6</v>
      </c>
      <c r="D2206" t="s">
        <v>3242</v>
      </c>
      <c r="E2206">
        <v>49</v>
      </c>
      <c r="F2206">
        <v>22</v>
      </c>
      <c r="G2206">
        <v>27</v>
      </c>
      <c r="H2206" t="s">
        <v>3491</v>
      </c>
      <c r="I2206" t="s">
        <v>3492</v>
      </c>
      <c r="J2206" t="s">
        <v>2889</v>
      </c>
    </row>
    <row r="2207" spans="1:10" x14ac:dyDescent="0.25">
      <c r="A2207" t="s">
        <v>2588</v>
      </c>
      <c r="B2207" t="s">
        <v>105</v>
      </c>
      <c r="C2207">
        <v>4</v>
      </c>
      <c r="D2207" t="s">
        <v>3154</v>
      </c>
      <c r="E2207">
        <v>42</v>
      </c>
      <c r="F2207">
        <v>19</v>
      </c>
      <c r="G2207">
        <v>23</v>
      </c>
      <c r="H2207" t="s">
        <v>3491</v>
      </c>
      <c r="I2207" t="s">
        <v>3492</v>
      </c>
      <c r="J2207" t="s">
        <v>2908</v>
      </c>
    </row>
    <row r="2208" spans="1:10" x14ac:dyDescent="0.25">
      <c r="A2208" t="s">
        <v>2588</v>
      </c>
      <c r="B2208" t="s">
        <v>105</v>
      </c>
      <c r="C2208">
        <v>4</v>
      </c>
      <c r="D2208" t="s">
        <v>3156</v>
      </c>
      <c r="E2208">
        <v>79</v>
      </c>
      <c r="F2208">
        <v>18</v>
      </c>
      <c r="G2208">
        <v>61</v>
      </c>
      <c r="H2208" t="s">
        <v>3494</v>
      </c>
      <c r="I2208" t="s">
        <v>3490</v>
      </c>
      <c r="J2208" t="s">
        <v>2908</v>
      </c>
    </row>
    <row r="2209" spans="1:10" x14ac:dyDescent="0.25">
      <c r="A2209" t="s">
        <v>2588</v>
      </c>
      <c r="B2209" t="s">
        <v>105</v>
      </c>
      <c r="C2209">
        <v>4</v>
      </c>
      <c r="D2209" t="s">
        <v>3158</v>
      </c>
      <c r="E2209">
        <v>84</v>
      </c>
      <c r="F2209">
        <v>27</v>
      </c>
      <c r="G2209">
        <v>57</v>
      </c>
      <c r="H2209" t="s">
        <v>196</v>
      </c>
      <c r="I2209" t="s">
        <v>3490</v>
      </c>
      <c r="J2209" t="s">
        <v>2908</v>
      </c>
    </row>
    <row r="2210" spans="1:10" x14ac:dyDescent="0.25">
      <c r="A2210" t="s">
        <v>2588</v>
      </c>
      <c r="B2210" t="s">
        <v>105</v>
      </c>
      <c r="C2210">
        <v>4</v>
      </c>
      <c r="D2210" t="s">
        <v>3160</v>
      </c>
      <c r="E2210">
        <v>51</v>
      </c>
      <c r="F2210">
        <v>16</v>
      </c>
      <c r="G2210">
        <v>35</v>
      </c>
      <c r="H2210" t="s">
        <v>3493</v>
      </c>
      <c r="I2210" t="s">
        <v>3490</v>
      </c>
      <c r="J2210" t="s">
        <v>2908</v>
      </c>
    </row>
    <row r="2211" spans="1:10" x14ac:dyDescent="0.25">
      <c r="A2211" t="s">
        <v>2588</v>
      </c>
      <c r="B2211" t="s">
        <v>105</v>
      </c>
      <c r="C2211">
        <v>4</v>
      </c>
      <c r="D2211" t="s">
        <v>3162</v>
      </c>
      <c r="E2211">
        <v>61</v>
      </c>
      <c r="F2211">
        <v>15</v>
      </c>
      <c r="G2211">
        <v>46</v>
      </c>
      <c r="H2211" t="s">
        <v>3489</v>
      </c>
      <c r="I2211" t="s">
        <v>3490</v>
      </c>
      <c r="J2211" t="s">
        <v>2908</v>
      </c>
    </row>
    <row r="2212" spans="1:10" x14ac:dyDescent="0.25">
      <c r="A2212" t="s">
        <v>2592</v>
      </c>
      <c r="B2212" t="s">
        <v>30</v>
      </c>
      <c r="C2212">
        <v>8</v>
      </c>
      <c r="D2212" t="s">
        <v>3354</v>
      </c>
      <c r="E2212">
        <v>52</v>
      </c>
      <c r="F2212">
        <v>13</v>
      </c>
      <c r="G2212">
        <v>39</v>
      </c>
      <c r="H2212" t="s">
        <v>3493</v>
      </c>
      <c r="I2212" t="s">
        <v>3490</v>
      </c>
      <c r="J2212" t="s">
        <v>2895</v>
      </c>
    </row>
    <row r="2213" spans="1:10" x14ac:dyDescent="0.25">
      <c r="A2213" t="s">
        <v>2592</v>
      </c>
      <c r="B2213" t="s">
        <v>30</v>
      </c>
      <c r="C2213">
        <v>8</v>
      </c>
      <c r="D2213" t="s">
        <v>3356</v>
      </c>
      <c r="E2213">
        <v>59</v>
      </c>
      <c r="F2213">
        <v>20</v>
      </c>
      <c r="G2213">
        <v>39</v>
      </c>
      <c r="H2213" t="s">
        <v>3493</v>
      </c>
      <c r="I2213" t="s">
        <v>3490</v>
      </c>
      <c r="J2213" t="s">
        <v>2895</v>
      </c>
    </row>
    <row r="2214" spans="1:10" x14ac:dyDescent="0.25">
      <c r="A2214" t="s">
        <v>2592</v>
      </c>
      <c r="B2214" t="s">
        <v>30</v>
      </c>
      <c r="C2214">
        <v>8</v>
      </c>
      <c r="D2214" t="s">
        <v>3358</v>
      </c>
      <c r="E2214">
        <v>81</v>
      </c>
      <c r="F2214">
        <v>16</v>
      </c>
      <c r="G2214">
        <v>65</v>
      </c>
      <c r="H2214" t="s">
        <v>196</v>
      </c>
      <c r="I2214" t="s">
        <v>3490</v>
      </c>
      <c r="J2214" t="s">
        <v>2895</v>
      </c>
    </row>
    <row r="2215" spans="1:10" x14ac:dyDescent="0.25">
      <c r="A2215" t="s">
        <v>2592</v>
      </c>
      <c r="B2215" t="s">
        <v>30</v>
      </c>
      <c r="C2215">
        <v>8</v>
      </c>
      <c r="D2215" t="s">
        <v>3360</v>
      </c>
      <c r="E2215">
        <v>59</v>
      </c>
      <c r="F2215">
        <v>11</v>
      </c>
      <c r="G2215">
        <v>48</v>
      </c>
      <c r="H2215" t="s">
        <v>3493</v>
      </c>
      <c r="I2215" t="s">
        <v>3490</v>
      </c>
      <c r="J2215" t="s">
        <v>2895</v>
      </c>
    </row>
    <row r="2216" spans="1:10" x14ac:dyDescent="0.25">
      <c r="A2216" t="s">
        <v>2592</v>
      </c>
      <c r="B2216" t="s">
        <v>30</v>
      </c>
      <c r="C2216">
        <v>8</v>
      </c>
      <c r="D2216" t="s">
        <v>3362</v>
      </c>
      <c r="E2216">
        <v>74</v>
      </c>
      <c r="F2216">
        <v>28</v>
      </c>
      <c r="G2216">
        <v>46</v>
      </c>
      <c r="H2216" t="s">
        <v>3494</v>
      </c>
      <c r="I2216" t="s">
        <v>3490</v>
      </c>
      <c r="J2216" t="s">
        <v>2895</v>
      </c>
    </row>
    <row r="2217" spans="1:10" x14ac:dyDescent="0.25">
      <c r="A2217" t="s">
        <v>2597</v>
      </c>
      <c r="B2217" t="s">
        <v>30</v>
      </c>
      <c r="C2217">
        <v>8</v>
      </c>
      <c r="D2217" t="s">
        <v>3354</v>
      </c>
      <c r="E2217">
        <v>79</v>
      </c>
      <c r="F2217">
        <v>17</v>
      </c>
      <c r="G2217">
        <v>62</v>
      </c>
      <c r="H2217" t="s">
        <v>3494</v>
      </c>
      <c r="I2217" t="s">
        <v>3490</v>
      </c>
      <c r="J2217" t="s">
        <v>2895</v>
      </c>
    </row>
    <row r="2218" spans="1:10" x14ac:dyDescent="0.25">
      <c r="A2218" t="s">
        <v>2597</v>
      </c>
      <c r="B2218" t="s">
        <v>30</v>
      </c>
      <c r="C2218">
        <v>8</v>
      </c>
      <c r="D2218" t="s">
        <v>3356</v>
      </c>
      <c r="E2218">
        <v>58</v>
      </c>
      <c r="F2218">
        <v>24</v>
      </c>
      <c r="G2218">
        <v>34</v>
      </c>
      <c r="H2218" t="s">
        <v>3493</v>
      </c>
      <c r="I2218" t="s">
        <v>3490</v>
      </c>
      <c r="J2218" t="s">
        <v>2895</v>
      </c>
    </row>
    <row r="2219" spans="1:10" x14ac:dyDescent="0.25">
      <c r="A2219" t="s">
        <v>2597</v>
      </c>
      <c r="B2219" t="s">
        <v>30</v>
      </c>
      <c r="C2219">
        <v>8</v>
      </c>
      <c r="D2219" t="s">
        <v>3358</v>
      </c>
      <c r="E2219">
        <v>76</v>
      </c>
      <c r="F2219">
        <v>13</v>
      </c>
      <c r="G2219">
        <v>63</v>
      </c>
      <c r="H2219" t="s">
        <v>3494</v>
      </c>
      <c r="I2219" t="s">
        <v>3490</v>
      </c>
      <c r="J2219" t="s">
        <v>2895</v>
      </c>
    </row>
    <row r="2220" spans="1:10" x14ac:dyDescent="0.25">
      <c r="A2220" t="s">
        <v>2597</v>
      </c>
      <c r="B2220" t="s">
        <v>30</v>
      </c>
      <c r="C2220">
        <v>8</v>
      </c>
      <c r="D2220" t="s">
        <v>3360</v>
      </c>
      <c r="E2220">
        <v>31</v>
      </c>
      <c r="F2220">
        <v>10</v>
      </c>
      <c r="G2220">
        <v>21</v>
      </c>
      <c r="H2220" t="s">
        <v>3491</v>
      </c>
      <c r="I2220" t="s">
        <v>3492</v>
      </c>
      <c r="J2220" t="s">
        <v>2895</v>
      </c>
    </row>
    <row r="2221" spans="1:10" x14ac:dyDescent="0.25">
      <c r="A2221" t="s">
        <v>2597</v>
      </c>
      <c r="B2221" t="s">
        <v>30</v>
      </c>
      <c r="C2221">
        <v>8</v>
      </c>
      <c r="D2221" t="s">
        <v>3362</v>
      </c>
      <c r="E2221">
        <v>88</v>
      </c>
      <c r="F2221">
        <v>27</v>
      </c>
      <c r="G2221">
        <v>61</v>
      </c>
      <c r="H2221" t="s">
        <v>196</v>
      </c>
      <c r="I2221" t="s">
        <v>3490</v>
      </c>
      <c r="J2221" t="s">
        <v>2895</v>
      </c>
    </row>
    <row r="2222" spans="1:10" x14ac:dyDescent="0.25">
      <c r="A2222" t="s">
        <v>2602</v>
      </c>
      <c r="B2222" t="s">
        <v>75</v>
      </c>
      <c r="C2222">
        <v>8</v>
      </c>
      <c r="D2222" t="s">
        <v>3054</v>
      </c>
      <c r="E2222">
        <v>64</v>
      </c>
      <c r="F2222">
        <v>13</v>
      </c>
      <c r="G2222">
        <v>51</v>
      </c>
      <c r="H2222" t="s">
        <v>3489</v>
      </c>
      <c r="I2222" t="s">
        <v>3490</v>
      </c>
      <c r="J2222" t="s">
        <v>2961</v>
      </c>
    </row>
    <row r="2223" spans="1:10" x14ac:dyDescent="0.25">
      <c r="A2223" t="s">
        <v>2602</v>
      </c>
      <c r="B2223" t="s">
        <v>75</v>
      </c>
      <c r="C2223">
        <v>8</v>
      </c>
      <c r="D2223" t="s">
        <v>3056</v>
      </c>
      <c r="E2223">
        <v>68</v>
      </c>
      <c r="F2223">
        <v>26</v>
      </c>
      <c r="G2223">
        <v>42</v>
      </c>
      <c r="H2223" t="s">
        <v>3489</v>
      </c>
      <c r="I2223" t="s">
        <v>3490</v>
      </c>
      <c r="J2223" t="s">
        <v>2961</v>
      </c>
    </row>
    <row r="2224" spans="1:10" x14ac:dyDescent="0.25">
      <c r="A2224" t="s">
        <v>2602</v>
      </c>
      <c r="B2224" t="s">
        <v>75</v>
      </c>
      <c r="C2224">
        <v>8</v>
      </c>
      <c r="D2224" t="s">
        <v>3058</v>
      </c>
      <c r="E2224">
        <v>44</v>
      </c>
      <c r="F2224">
        <v>15</v>
      </c>
      <c r="G2224">
        <v>29</v>
      </c>
      <c r="H2224" t="s">
        <v>3491</v>
      </c>
      <c r="I2224" t="s">
        <v>3492</v>
      </c>
      <c r="J2224" t="s">
        <v>2961</v>
      </c>
    </row>
    <row r="2225" spans="1:10" x14ac:dyDescent="0.25">
      <c r="A2225" t="s">
        <v>2602</v>
      </c>
      <c r="B2225" t="s">
        <v>75</v>
      </c>
      <c r="C2225">
        <v>8</v>
      </c>
      <c r="D2225" t="s">
        <v>3060</v>
      </c>
      <c r="E2225">
        <v>38</v>
      </c>
      <c r="F2225">
        <v>13</v>
      </c>
      <c r="G2225">
        <v>25</v>
      </c>
      <c r="H2225" t="s">
        <v>3491</v>
      </c>
      <c r="I2225" t="s">
        <v>3492</v>
      </c>
      <c r="J2225" t="s">
        <v>2961</v>
      </c>
    </row>
    <row r="2226" spans="1:10" x14ac:dyDescent="0.25">
      <c r="A2226" t="s">
        <v>2602</v>
      </c>
      <c r="B2226" t="s">
        <v>75</v>
      </c>
      <c r="C2226">
        <v>8</v>
      </c>
      <c r="D2226" t="s">
        <v>3062</v>
      </c>
      <c r="E2226">
        <v>87</v>
      </c>
      <c r="F2226">
        <v>21</v>
      </c>
      <c r="G2226">
        <v>66</v>
      </c>
      <c r="H2226" t="s">
        <v>196</v>
      </c>
      <c r="I2226" t="s">
        <v>3490</v>
      </c>
      <c r="J2226" t="s">
        <v>2961</v>
      </c>
    </row>
    <row r="2227" spans="1:10" x14ac:dyDescent="0.25">
      <c r="A2227" t="s">
        <v>2608</v>
      </c>
      <c r="B2227" t="s">
        <v>95</v>
      </c>
      <c r="C2227">
        <v>8</v>
      </c>
      <c r="D2227" t="s">
        <v>3234</v>
      </c>
      <c r="E2227">
        <v>75</v>
      </c>
      <c r="F2227">
        <v>27</v>
      </c>
      <c r="G2227">
        <v>48</v>
      </c>
      <c r="H2227" t="s">
        <v>3494</v>
      </c>
      <c r="I2227" t="s">
        <v>3490</v>
      </c>
      <c r="J2227" t="s">
        <v>2889</v>
      </c>
    </row>
    <row r="2228" spans="1:10" x14ac:dyDescent="0.25">
      <c r="A2228" t="s">
        <v>2608</v>
      </c>
      <c r="B2228" t="s">
        <v>95</v>
      </c>
      <c r="C2228">
        <v>8</v>
      </c>
      <c r="D2228" t="s">
        <v>3236</v>
      </c>
      <c r="E2228">
        <v>67</v>
      </c>
      <c r="F2228">
        <v>12</v>
      </c>
      <c r="G2228">
        <v>55</v>
      </c>
      <c r="H2228" t="s">
        <v>3489</v>
      </c>
      <c r="I2228" t="s">
        <v>3490</v>
      </c>
      <c r="J2228" t="s">
        <v>2889</v>
      </c>
    </row>
    <row r="2229" spans="1:10" x14ac:dyDescent="0.25">
      <c r="A2229" t="s">
        <v>2608</v>
      </c>
      <c r="B2229" t="s">
        <v>95</v>
      </c>
      <c r="C2229">
        <v>8</v>
      </c>
      <c r="D2229" t="s">
        <v>3238</v>
      </c>
      <c r="E2229">
        <v>58</v>
      </c>
      <c r="F2229">
        <v>18</v>
      </c>
      <c r="G2229">
        <v>40</v>
      </c>
      <c r="H2229" t="s">
        <v>3493</v>
      </c>
      <c r="I2229" t="s">
        <v>3490</v>
      </c>
      <c r="J2229" t="s">
        <v>2889</v>
      </c>
    </row>
    <row r="2230" spans="1:10" x14ac:dyDescent="0.25">
      <c r="A2230" t="s">
        <v>2608</v>
      </c>
      <c r="B2230" t="s">
        <v>95</v>
      </c>
      <c r="C2230">
        <v>8</v>
      </c>
      <c r="D2230" t="s">
        <v>3240</v>
      </c>
      <c r="E2230">
        <v>48</v>
      </c>
      <c r="F2230">
        <v>15</v>
      </c>
      <c r="G2230">
        <v>33</v>
      </c>
      <c r="H2230" t="s">
        <v>3491</v>
      </c>
      <c r="I2230" t="s">
        <v>3492</v>
      </c>
      <c r="J2230" t="s">
        <v>2889</v>
      </c>
    </row>
    <row r="2231" spans="1:10" x14ac:dyDescent="0.25">
      <c r="A2231" t="s">
        <v>2608</v>
      </c>
      <c r="B2231" t="s">
        <v>95</v>
      </c>
      <c r="C2231">
        <v>8</v>
      </c>
      <c r="D2231" t="s">
        <v>3242</v>
      </c>
      <c r="E2231">
        <v>83</v>
      </c>
      <c r="F2231">
        <v>21</v>
      </c>
      <c r="G2231">
        <v>62</v>
      </c>
      <c r="H2231" t="s">
        <v>196</v>
      </c>
      <c r="I2231" t="s">
        <v>3490</v>
      </c>
      <c r="J2231" t="s">
        <v>2889</v>
      </c>
    </row>
    <row r="2232" spans="1:10" x14ac:dyDescent="0.25">
      <c r="A2232" t="s">
        <v>2613</v>
      </c>
      <c r="B2232" t="s">
        <v>159</v>
      </c>
      <c r="C2232">
        <v>8</v>
      </c>
      <c r="D2232" t="s">
        <v>3114</v>
      </c>
      <c r="E2232">
        <v>85</v>
      </c>
      <c r="F2232">
        <v>18</v>
      </c>
      <c r="G2232">
        <v>67</v>
      </c>
      <c r="H2232" t="s">
        <v>196</v>
      </c>
      <c r="I2232" t="s">
        <v>3490</v>
      </c>
      <c r="J2232" t="s">
        <v>2902</v>
      </c>
    </row>
    <row r="2233" spans="1:10" x14ac:dyDescent="0.25">
      <c r="A2233" t="s">
        <v>2613</v>
      </c>
      <c r="B2233" t="s">
        <v>159</v>
      </c>
      <c r="C2233">
        <v>8</v>
      </c>
      <c r="D2233" t="s">
        <v>3116</v>
      </c>
      <c r="E2233">
        <v>62</v>
      </c>
      <c r="F2233">
        <v>15</v>
      </c>
      <c r="G2233">
        <v>47</v>
      </c>
      <c r="H2233" t="s">
        <v>3489</v>
      </c>
      <c r="I2233" t="s">
        <v>3490</v>
      </c>
      <c r="J2233" t="s">
        <v>2902</v>
      </c>
    </row>
    <row r="2234" spans="1:10" x14ac:dyDescent="0.25">
      <c r="A2234" t="s">
        <v>2613</v>
      </c>
      <c r="B2234" t="s">
        <v>159</v>
      </c>
      <c r="C2234">
        <v>8</v>
      </c>
      <c r="D2234" t="s">
        <v>3118</v>
      </c>
      <c r="E2234">
        <v>75</v>
      </c>
      <c r="F2234">
        <v>26</v>
      </c>
      <c r="G2234">
        <v>49</v>
      </c>
      <c r="H2234" t="s">
        <v>3494</v>
      </c>
      <c r="I2234" t="s">
        <v>3490</v>
      </c>
      <c r="J2234" t="s">
        <v>2902</v>
      </c>
    </row>
    <row r="2235" spans="1:10" x14ac:dyDescent="0.25">
      <c r="A2235" t="s">
        <v>2613</v>
      </c>
      <c r="B2235" t="s">
        <v>159</v>
      </c>
      <c r="C2235">
        <v>8</v>
      </c>
      <c r="D2235" t="s">
        <v>3120</v>
      </c>
      <c r="E2235">
        <v>55</v>
      </c>
      <c r="F2235">
        <v>18</v>
      </c>
      <c r="G2235">
        <v>37</v>
      </c>
      <c r="H2235" t="s">
        <v>3493</v>
      </c>
      <c r="I2235" t="s">
        <v>3490</v>
      </c>
      <c r="J2235" t="s">
        <v>2902</v>
      </c>
    </row>
    <row r="2236" spans="1:10" x14ac:dyDescent="0.25">
      <c r="A2236" t="s">
        <v>2613</v>
      </c>
      <c r="B2236" t="s">
        <v>159</v>
      </c>
      <c r="C2236">
        <v>8</v>
      </c>
      <c r="D2236" t="s">
        <v>3122</v>
      </c>
      <c r="E2236">
        <v>93</v>
      </c>
      <c r="F2236">
        <v>30</v>
      </c>
      <c r="G2236">
        <v>63</v>
      </c>
      <c r="H2236" t="s">
        <v>3495</v>
      </c>
      <c r="I2236" t="s">
        <v>3490</v>
      </c>
      <c r="J2236" t="s">
        <v>2902</v>
      </c>
    </row>
    <row r="2237" spans="1:10" x14ac:dyDescent="0.25">
      <c r="A2237" t="s">
        <v>2618</v>
      </c>
      <c r="B2237" t="s">
        <v>75</v>
      </c>
      <c r="C2237">
        <v>8</v>
      </c>
      <c r="D2237" t="s">
        <v>3054</v>
      </c>
      <c r="E2237">
        <v>48</v>
      </c>
      <c r="F2237">
        <v>25</v>
      </c>
      <c r="G2237">
        <v>23</v>
      </c>
      <c r="H2237" t="s">
        <v>3491</v>
      </c>
      <c r="I2237" t="s">
        <v>3492</v>
      </c>
      <c r="J2237" t="s">
        <v>2961</v>
      </c>
    </row>
    <row r="2238" spans="1:10" x14ac:dyDescent="0.25">
      <c r="A2238" t="s">
        <v>2618</v>
      </c>
      <c r="B2238" t="s">
        <v>75</v>
      </c>
      <c r="C2238">
        <v>8</v>
      </c>
      <c r="D2238" t="s">
        <v>3056</v>
      </c>
      <c r="E2238">
        <v>64</v>
      </c>
      <c r="F2238">
        <v>13</v>
      </c>
      <c r="G2238">
        <v>51</v>
      </c>
      <c r="H2238" t="s">
        <v>3489</v>
      </c>
      <c r="I2238" t="s">
        <v>3490</v>
      </c>
      <c r="J2238" t="s">
        <v>2961</v>
      </c>
    </row>
    <row r="2239" spans="1:10" x14ac:dyDescent="0.25">
      <c r="A2239" t="s">
        <v>2618</v>
      </c>
      <c r="B2239" t="s">
        <v>75</v>
      </c>
      <c r="C2239">
        <v>8</v>
      </c>
      <c r="D2239" t="s">
        <v>3058</v>
      </c>
      <c r="E2239">
        <v>77</v>
      </c>
      <c r="F2239">
        <v>16</v>
      </c>
      <c r="G2239">
        <v>61</v>
      </c>
      <c r="H2239" t="s">
        <v>3494</v>
      </c>
      <c r="I2239" t="s">
        <v>3490</v>
      </c>
      <c r="J2239" t="s">
        <v>2961</v>
      </c>
    </row>
    <row r="2240" spans="1:10" x14ac:dyDescent="0.25">
      <c r="A2240" t="s">
        <v>2618</v>
      </c>
      <c r="B2240" t="s">
        <v>75</v>
      </c>
      <c r="C2240">
        <v>8</v>
      </c>
      <c r="D2240" t="s">
        <v>3060</v>
      </c>
      <c r="E2240">
        <v>76</v>
      </c>
      <c r="F2240">
        <v>15</v>
      </c>
      <c r="G2240">
        <v>61</v>
      </c>
      <c r="H2240" t="s">
        <v>3494</v>
      </c>
      <c r="I2240" t="s">
        <v>3490</v>
      </c>
      <c r="J2240" t="s">
        <v>2961</v>
      </c>
    </row>
    <row r="2241" spans="1:10" x14ac:dyDescent="0.25">
      <c r="A2241" t="s">
        <v>2618</v>
      </c>
      <c r="B2241" t="s">
        <v>75</v>
      </c>
      <c r="C2241">
        <v>8</v>
      </c>
      <c r="D2241" t="s">
        <v>3062</v>
      </c>
      <c r="E2241">
        <v>74</v>
      </c>
      <c r="F2241">
        <v>10</v>
      </c>
      <c r="G2241">
        <v>64</v>
      </c>
      <c r="H2241" t="s">
        <v>3494</v>
      </c>
      <c r="I2241" t="s">
        <v>3490</v>
      </c>
      <c r="J2241" t="s">
        <v>2961</v>
      </c>
    </row>
    <row r="2242" spans="1:10" x14ac:dyDescent="0.25">
      <c r="A2242" t="s">
        <v>2623</v>
      </c>
      <c r="B2242" t="s">
        <v>105</v>
      </c>
      <c r="C2242">
        <v>4</v>
      </c>
      <c r="D2242" t="s">
        <v>3154</v>
      </c>
      <c r="E2242">
        <v>72</v>
      </c>
      <c r="F2242">
        <v>26</v>
      </c>
      <c r="G2242">
        <v>46</v>
      </c>
      <c r="H2242" t="s">
        <v>3494</v>
      </c>
      <c r="I2242" t="s">
        <v>3490</v>
      </c>
      <c r="J2242" t="s">
        <v>2908</v>
      </c>
    </row>
    <row r="2243" spans="1:10" x14ac:dyDescent="0.25">
      <c r="A2243" t="s">
        <v>2623</v>
      </c>
      <c r="B2243" t="s">
        <v>105</v>
      </c>
      <c r="C2243">
        <v>4</v>
      </c>
      <c r="D2243" t="s">
        <v>3156</v>
      </c>
      <c r="E2243">
        <v>87</v>
      </c>
      <c r="F2243">
        <v>20</v>
      </c>
      <c r="G2243">
        <v>67</v>
      </c>
      <c r="H2243" t="s">
        <v>196</v>
      </c>
      <c r="I2243" t="s">
        <v>3490</v>
      </c>
      <c r="J2243" t="s">
        <v>2908</v>
      </c>
    </row>
    <row r="2244" spans="1:10" x14ac:dyDescent="0.25">
      <c r="A2244" t="s">
        <v>2623</v>
      </c>
      <c r="B2244" t="s">
        <v>105</v>
      </c>
      <c r="C2244">
        <v>4</v>
      </c>
      <c r="D2244" t="s">
        <v>3158</v>
      </c>
      <c r="E2244">
        <v>48</v>
      </c>
      <c r="F2244">
        <v>14</v>
      </c>
      <c r="G2244">
        <v>34</v>
      </c>
      <c r="H2244" t="s">
        <v>3491</v>
      </c>
      <c r="I2244" t="s">
        <v>3492</v>
      </c>
      <c r="J2244" t="s">
        <v>2908</v>
      </c>
    </row>
    <row r="2245" spans="1:10" x14ac:dyDescent="0.25">
      <c r="A2245" t="s">
        <v>2623</v>
      </c>
      <c r="B2245" t="s">
        <v>105</v>
      </c>
      <c r="C2245">
        <v>4</v>
      </c>
      <c r="D2245" t="s">
        <v>3160</v>
      </c>
      <c r="E2245">
        <v>73</v>
      </c>
      <c r="F2245">
        <v>24</v>
      </c>
      <c r="G2245">
        <v>49</v>
      </c>
      <c r="H2245" t="s">
        <v>3494</v>
      </c>
      <c r="I2245" t="s">
        <v>3490</v>
      </c>
      <c r="J2245" t="s">
        <v>2908</v>
      </c>
    </row>
    <row r="2246" spans="1:10" x14ac:dyDescent="0.25">
      <c r="A2246" t="s">
        <v>2623</v>
      </c>
      <c r="B2246" t="s">
        <v>105</v>
      </c>
      <c r="C2246">
        <v>4</v>
      </c>
      <c r="D2246" t="s">
        <v>3162</v>
      </c>
      <c r="E2246">
        <v>52</v>
      </c>
      <c r="F2246">
        <v>24</v>
      </c>
      <c r="G2246">
        <v>28</v>
      </c>
      <c r="H2246" t="s">
        <v>3493</v>
      </c>
      <c r="I2246" t="s">
        <v>3490</v>
      </c>
      <c r="J2246" t="s">
        <v>2908</v>
      </c>
    </row>
    <row r="2247" spans="1:10" x14ac:dyDescent="0.25">
      <c r="A2247" t="s">
        <v>2628</v>
      </c>
      <c r="B2247" t="s">
        <v>105</v>
      </c>
      <c r="C2247">
        <v>6</v>
      </c>
      <c r="D2247" t="s">
        <v>3174</v>
      </c>
      <c r="E2247">
        <v>75</v>
      </c>
      <c r="F2247">
        <v>28</v>
      </c>
      <c r="G2247">
        <v>47</v>
      </c>
      <c r="H2247" t="s">
        <v>3494</v>
      </c>
      <c r="I2247" t="s">
        <v>3490</v>
      </c>
      <c r="J2247" t="s">
        <v>2908</v>
      </c>
    </row>
    <row r="2248" spans="1:10" x14ac:dyDescent="0.25">
      <c r="A2248" t="s">
        <v>2628</v>
      </c>
      <c r="B2248" t="s">
        <v>105</v>
      </c>
      <c r="C2248">
        <v>6</v>
      </c>
      <c r="D2248" t="s">
        <v>3176</v>
      </c>
      <c r="E2248">
        <v>85</v>
      </c>
      <c r="F2248">
        <v>22</v>
      </c>
      <c r="G2248">
        <v>63</v>
      </c>
      <c r="H2248" t="s">
        <v>196</v>
      </c>
      <c r="I2248" t="s">
        <v>3490</v>
      </c>
      <c r="J2248" t="s">
        <v>2908</v>
      </c>
    </row>
    <row r="2249" spans="1:10" x14ac:dyDescent="0.25">
      <c r="A2249" t="s">
        <v>2628</v>
      </c>
      <c r="B2249" t="s">
        <v>105</v>
      </c>
      <c r="C2249">
        <v>6</v>
      </c>
      <c r="D2249" t="s">
        <v>3178</v>
      </c>
      <c r="E2249">
        <v>66</v>
      </c>
      <c r="F2249">
        <v>20</v>
      </c>
      <c r="G2249">
        <v>46</v>
      </c>
      <c r="H2249" t="s">
        <v>3489</v>
      </c>
      <c r="I2249" t="s">
        <v>3490</v>
      </c>
      <c r="J2249" t="s">
        <v>2908</v>
      </c>
    </row>
    <row r="2250" spans="1:10" x14ac:dyDescent="0.25">
      <c r="A2250" t="s">
        <v>2628</v>
      </c>
      <c r="B2250" t="s">
        <v>105</v>
      </c>
      <c r="C2250">
        <v>6</v>
      </c>
      <c r="D2250" t="s">
        <v>3180</v>
      </c>
      <c r="E2250">
        <v>48</v>
      </c>
      <c r="F2250">
        <v>16</v>
      </c>
      <c r="G2250">
        <v>32</v>
      </c>
      <c r="H2250" t="s">
        <v>3491</v>
      </c>
      <c r="I2250" t="s">
        <v>3492</v>
      </c>
      <c r="J2250" t="s">
        <v>2908</v>
      </c>
    </row>
    <row r="2251" spans="1:10" x14ac:dyDescent="0.25">
      <c r="A2251" t="s">
        <v>2628</v>
      </c>
      <c r="B2251" t="s">
        <v>105</v>
      </c>
      <c r="C2251">
        <v>6</v>
      </c>
      <c r="D2251" t="s">
        <v>3182</v>
      </c>
      <c r="E2251">
        <v>44</v>
      </c>
      <c r="F2251">
        <v>24</v>
      </c>
      <c r="G2251">
        <v>20</v>
      </c>
      <c r="H2251" t="s">
        <v>3491</v>
      </c>
      <c r="I2251" t="s">
        <v>3492</v>
      </c>
      <c r="J2251" t="s">
        <v>2908</v>
      </c>
    </row>
    <row r="2252" spans="1:10" x14ac:dyDescent="0.25">
      <c r="A2252" t="s">
        <v>2633</v>
      </c>
      <c r="B2252" t="s">
        <v>30</v>
      </c>
      <c r="C2252">
        <v>6</v>
      </c>
      <c r="D2252" t="s">
        <v>3354</v>
      </c>
      <c r="E2252">
        <v>50</v>
      </c>
      <c r="F2252">
        <v>13</v>
      </c>
      <c r="G2252">
        <v>37</v>
      </c>
      <c r="H2252" t="s">
        <v>3493</v>
      </c>
      <c r="I2252" t="s">
        <v>3490</v>
      </c>
      <c r="J2252" t="s">
        <v>2895</v>
      </c>
    </row>
    <row r="2253" spans="1:10" x14ac:dyDescent="0.25">
      <c r="A2253" t="s">
        <v>2633</v>
      </c>
      <c r="B2253" t="s">
        <v>30</v>
      </c>
      <c r="C2253">
        <v>6</v>
      </c>
      <c r="D2253" t="s">
        <v>3356</v>
      </c>
      <c r="E2253">
        <v>72</v>
      </c>
      <c r="F2253">
        <v>11</v>
      </c>
      <c r="G2253">
        <v>61</v>
      </c>
      <c r="H2253" t="s">
        <v>3494</v>
      </c>
      <c r="I2253" t="s">
        <v>3490</v>
      </c>
      <c r="J2253" t="s">
        <v>2895</v>
      </c>
    </row>
    <row r="2254" spans="1:10" x14ac:dyDescent="0.25">
      <c r="A2254" t="s">
        <v>2633</v>
      </c>
      <c r="B2254" t="s">
        <v>30</v>
      </c>
      <c r="C2254">
        <v>6</v>
      </c>
      <c r="D2254" t="s">
        <v>3358</v>
      </c>
      <c r="E2254">
        <v>79</v>
      </c>
      <c r="F2254">
        <v>11</v>
      </c>
      <c r="G2254">
        <v>68</v>
      </c>
      <c r="H2254" t="s">
        <v>3494</v>
      </c>
      <c r="I2254" t="s">
        <v>3490</v>
      </c>
      <c r="J2254" t="s">
        <v>2895</v>
      </c>
    </row>
    <row r="2255" spans="1:10" x14ac:dyDescent="0.25">
      <c r="A2255" t="s">
        <v>2633</v>
      </c>
      <c r="B2255" t="s">
        <v>30</v>
      </c>
      <c r="C2255">
        <v>6</v>
      </c>
      <c r="D2255" t="s">
        <v>3360</v>
      </c>
      <c r="E2255">
        <v>94</v>
      </c>
      <c r="F2255">
        <v>30</v>
      </c>
      <c r="G2255">
        <v>64</v>
      </c>
      <c r="H2255" t="s">
        <v>3495</v>
      </c>
      <c r="I2255" t="s">
        <v>3490</v>
      </c>
      <c r="J2255" t="s">
        <v>2895</v>
      </c>
    </row>
    <row r="2256" spans="1:10" x14ac:dyDescent="0.25">
      <c r="A2256" t="s">
        <v>2633</v>
      </c>
      <c r="B2256" t="s">
        <v>30</v>
      </c>
      <c r="C2256">
        <v>6</v>
      </c>
      <c r="D2256" t="s">
        <v>3362</v>
      </c>
      <c r="E2256">
        <v>50</v>
      </c>
      <c r="F2256">
        <v>21</v>
      </c>
      <c r="G2256">
        <v>29</v>
      </c>
      <c r="H2256" t="s">
        <v>3493</v>
      </c>
      <c r="I2256" t="s">
        <v>3490</v>
      </c>
      <c r="J2256" t="s">
        <v>2895</v>
      </c>
    </row>
    <row r="2257" spans="1:10" x14ac:dyDescent="0.25">
      <c r="A2257" t="s">
        <v>2638</v>
      </c>
      <c r="B2257" t="s">
        <v>30</v>
      </c>
      <c r="C2257">
        <v>8</v>
      </c>
      <c r="D2257" t="s">
        <v>3354</v>
      </c>
      <c r="E2257">
        <v>78</v>
      </c>
      <c r="F2257">
        <v>24</v>
      </c>
      <c r="G2257">
        <v>54</v>
      </c>
      <c r="H2257" t="s">
        <v>3494</v>
      </c>
      <c r="I2257" t="s">
        <v>3490</v>
      </c>
      <c r="J2257" t="s">
        <v>2895</v>
      </c>
    </row>
    <row r="2258" spans="1:10" x14ac:dyDescent="0.25">
      <c r="A2258" t="s">
        <v>2638</v>
      </c>
      <c r="B2258" t="s">
        <v>30</v>
      </c>
      <c r="C2258">
        <v>8</v>
      </c>
      <c r="D2258" t="s">
        <v>3356</v>
      </c>
      <c r="E2258">
        <v>33</v>
      </c>
      <c r="F2258">
        <v>12</v>
      </c>
      <c r="G2258">
        <v>21</v>
      </c>
      <c r="H2258" t="s">
        <v>3491</v>
      </c>
      <c r="I2258" t="s">
        <v>3492</v>
      </c>
      <c r="J2258" t="s">
        <v>2895</v>
      </c>
    </row>
    <row r="2259" spans="1:10" x14ac:dyDescent="0.25">
      <c r="A2259" t="s">
        <v>2638</v>
      </c>
      <c r="B2259" t="s">
        <v>30</v>
      </c>
      <c r="C2259">
        <v>8</v>
      </c>
      <c r="D2259" t="s">
        <v>3358</v>
      </c>
      <c r="E2259">
        <v>61</v>
      </c>
      <c r="F2259">
        <v>21</v>
      </c>
      <c r="G2259">
        <v>40</v>
      </c>
      <c r="H2259" t="s">
        <v>3489</v>
      </c>
      <c r="I2259" t="s">
        <v>3490</v>
      </c>
      <c r="J2259" t="s">
        <v>2895</v>
      </c>
    </row>
    <row r="2260" spans="1:10" x14ac:dyDescent="0.25">
      <c r="A2260" t="s">
        <v>2638</v>
      </c>
      <c r="B2260" t="s">
        <v>30</v>
      </c>
      <c r="C2260">
        <v>8</v>
      </c>
      <c r="D2260" t="s">
        <v>3360</v>
      </c>
      <c r="E2260">
        <v>83</v>
      </c>
      <c r="F2260">
        <v>30</v>
      </c>
      <c r="G2260">
        <v>53</v>
      </c>
      <c r="H2260" t="s">
        <v>196</v>
      </c>
      <c r="I2260" t="s">
        <v>3490</v>
      </c>
      <c r="J2260" t="s">
        <v>2895</v>
      </c>
    </row>
    <row r="2261" spans="1:10" x14ac:dyDescent="0.25">
      <c r="A2261" t="s">
        <v>2638</v>
      </c>
      <c r="B2261" t="s">
        <v>30</v>
      </c>
      <c r="C2261">
        <v>8</v>
      </c>
      <c r="D2261" t="s">
        <v>3362</v>
      </c>
      <c r="E2261">
        <v>33</v>
      </c>
      <c r="F2261">
        <v>11</v>
      </c>
      <c r="G2261">
        <v>22</v>
      </c>
      <c r="H2261" t="s">
        <v>3491</v>
      </c>
      <c r="I2261" t="s">
        <v>3492</v>
      </c>
      <c r="J2261" t="s">
        <v>2895</v>
      </c>
    </row>
    <row r="2262" spans="1:10" x14ac:dyDescent="0.25">
      <c r="A2262" t="s">
        <v>2644</v>
      </c>
      <c r="B2262" t="s">
        <v>122</v>
      </c>
      <c r="C2262">
        <v>8</v>
      </c>
      <c r="D2262" t="s">
        <v>3294</v>
      </c>
      <c r="E2262">
        <v>39</v>
      </c>
      <c r="F2262">
        <v>10</v>
      </c>
      <c r="G2262">
        <v>29</v>
      </c>
      <c r="H2262" t="s">
        <v>3491</v>
      </c>
      <c r="I2262" t="s">
        <v>3492</v>
      </c>
      <c r="J2262" t="s">
        <v>2919</v>
      </c>
    </row>
    <row r="2263" spans="1:10" x14ac:dyDescent="0.25">
      <c r="A2263" t="s">
        <v>2644</v>
      </c>
      <c r="B2263" t="s">
        <v>122</v>
      </c>
      <c r="C2263">
        <v>8</v>
      </c>
      <c r="D2263" t="s">
        <v>3296</v>
      </c>
      <c r="E2263">
        <v>88</v>
      </c>
      <c r="F2263">
        <v>25</v>
      </c>
      <c r="G2263">
        <v>63</v>
      </c>
      <c r="H2263" t="s">
        <v>196</v>
      </c>
      <c r="I2263" t="s">
        <v>3490</v>
      </c>
      <c r="J2263" t="s">
        <v>2919</v>
      </c>
    </row>
    <row r="2264" spans="1:10" x14ac:dyDescent="0.25">
      <c r="A2264" t="s">
        <v>2644</v>
      </c>
      <c r="B2264" t="s">
        <v>122</v>
      </c>
      <c r="C2264">
        <v>8</v>
      </c>
      <c r="D2264" t="s">
        <v>3298</v>
      </c>
      <c r="E2264">
        <v>81</v>
      </c>
      <c r="F2264">
        <v>15</v>
      </c>
      <c r="G2264">
        <v>66</v>
      </c>
      <c r="H2264" t="s">
        <v>196</v>
      </c>
      <c r="I2264" t="s">
        <v>3490</v>
      </c>
      <c r="J2264" t="s">
        <v>2919</v>
      </c>
    </row>
    <row r="2265" spans="1:10" x14ac:dyDescent="0.25">
      <c r="A2265" t="s">
        <v>2644</v>
      </c>
      <c r="B2265" t="s">
        <v>122</v>
      </c>
      <c r="C2265">
        <v>8</v>
      </c>
      <c r="D2265" t="s">
        <v>3300</v>
      </c>
      <c r="E2265">
        <v>38</v>
      </c>
      <c r="F2265">
        <v>14</v>
      </c>
      <c r="G2265">
        <v>24</v>
      </c>
      <c r="H2265" t="s">
        <v>3491</v>
      </c>
      <c r="I2265" t="s">
        <v>3492</v>
      </c>
      <c r="J2265" t="s">
        <v>2919</v>
      </c>
    </row>
    <row r="2266" spans="1:10" x14ac:dyDescent="0.25">
      <c r="A2266" t="s">
        <v>2644</v>
      </c>
      <c r="B2266" t="s">
        <v>122</v>
      </c>
      <c r="C2266">
        <v>8</v>
      </c>
      <c r="D2266" t="s">
        <v>3302</v>
      </c>
      <c r="E2266">
        <v>50</v>
      </c>
      <c r="F2266">
        <v>19</v>
      </c>
      <c r="G2266">
        <v>31</v>
      </c>
      <c r="H2266" t="s">
        <v>3493</v>
      </c>
      <c r="I2266" t="s">
        <v>3490</v>
      </c>
      <c r="J2266" t="s">
        <v>2919</v>
      </c>
    </row>
    <row r="2267" spans="1:10" x14ac:dyDescent="0.25">
      <c r="A2267" t="s">
        <v>2649</v>
      </c>
      <c r="B2267" t="s">
        <v>212</v>
      </c>
      <c r="C2267">
        <v>6</v>
      </c>
      <c r="D2267" t="s">
        <v>3474</v>
      </c>
      <c r="E2267">
        <v>69</v>
      </c>
      <c r="F2267">
        <v>20</v>
      </c>
      <c r="G2267">
        <v>49</v>
      </c>
      <c r="H2267" t="s">
        <v>3489</v>
      </c>
      <c r="I2267" t="s">
        <v>3490</v>
      </c>
      <c r="J2267" t="s">
        <v>3001</v>
      </c>
    </row>
    <row r="2268" spans="1:10" x14ac:dyDescent="0.25">
      <c r="A2268" t="s">
        <v>2649</v>
      </c>
      <c r="B2268" t="s">
        <v>212</v>
      </c>
      <c r="C2268">
        <v>6</v>
      </c>
      <c r="D2268" t="s">
        <v>3476</v>
      </c>
      <c r="E2268">
        <v>43</v>
      </c>
      <c r="F2268">
        <v>16</v>
      </c>
      <c r="G2268">
        <v>27</v>
      </c>
      <c r="H2268" t="s">
        <v>3491</v>
      </c>
      <c r="I2268" t="s">
        <v>3492</v>
      </c>
      <c r="J2268" t="s">
        <v>3001</v>
      </c>
    </row>
    <row r="2269" spans="1:10" x14ac:dyDescent="0.25">
      <c r="A2269" t="s">
        <v>2649</v>
      </c>
      <c r="B2269" t="s">
        <v>212</v>
      </c>
      <c r="C2269">
        <v>6</v>
      </c>
      <c r="D2269" t="s">
        <v>3478</v>
      </c>
      <c r="E2269">
        <v>44</v>
      </c>
      <c r="F2269">
        <v>23</v>
      </c>
      <c r="G2269">
        <v>21</v>
      </c>
      <c r="H2269" t="s">
        <v>3491</v>
      </c>
      <c r="I2269" t="s">
        <v>3492</v>
      </c>
      <c r="J2269" t="s">
        <v>3001</v>
      </c>
    </row>
    <row r="2270" spans="1:10" x14ac:dyDescent="0.25">
      <c r="A2270" t="s">
        <v>2649</v>
      </c>
      <c r="B2270" t="s">
        <v>212</v>
      </c>
      <c r="C2270">
        <v>6</v>
      </c>
      <c r="D2270" t="s">
        <v>3480</v>
      </c>
      <c r="E2270">
        <v>68</v>
      </c>
      <c r="F2270">
        <v>29</v>
      </c>
      <c r="G2270">
        <v>39</v>
      </c>
      <c r="H2270" t="s">
        <v>3489</v>
      </c>
      <c r="I2270" t="s">
        <v>3490</v>
      </c>
      <c r="J2270" t="s">
        <v>3001</v>
      </c>
    </row>
    <row r="2271" spans="1:10" x14ac:dyDescent="0.25">
      <c r="A2271" t="s">
        <v>2649</v>
      </c>
      <c r="B2271" t="s">
        <v>212</v>
      </c>
      <c r="C2271">
        <v>6</v>
      </c>
      <c r="D2271" t="s">
        <v>3482</v>
      </c>
      <c r="E2271">
        <v>73</v>
      </c>
      <c r="F2271">
        <v>17</v>
      </c>
      <c r="G2271">
        <v>56</v>
      </c>
      <c r="H2271" t="s">
        <v>3494</v>
      </c>
      <c r="I2271" t="s">
        <v>3490</v>
      </c>
      <c r="J2271" t="s">
        <v>3001</v>
      </c>
    </row>
    <row r="2272" spans="1:10" x14ac:dyDescent="0.25">
      <c r="A2272" t="s">
        <v>2654</v>
      </c>
      <c r="B2272" t="s">
        <v>30</v>
      </c>
      <c r="C2272">
        <v>6</v>
      </c>
      <c r="D2272" t="s">
        <v>3354</v>
      </c>
      <c r="E2272">
        <v>82</v>
      </c>
      <c r="F2272">
        <v>13</v>
      </c>
      <c r="G2272">
        <v>69</v>
      </c>
      <c r="H2272" t="s">
        <v>196</v>
      </c>
      <c r="I2272" t="s">
        <v>3490</v>
      </c>
      <c r="J2272" t="s">
        <v>2895</v>
      </c>
    </row>
    <row r="2273" spans="1:10" x14ac:dyDescent="0.25">
      <c r="A2273" t="s">
        <v>2654</v>
      </c>
      <c r="B2273" t="s">
        <v>30</v>
      </c>
      <c r="C2273">
        <v>6</v>
      </c>
      <c r="D2273" t="s">
        <v>3356</v>
      </c>
      <c r="E2273">
        <v>84</v>
      </c>
      <c r="F2273">
        <v>16</v>
      </c>
      <c r="G2273">
        <v>68</v>
      </c>
      <c r="H2273" t="s">
        <v>196</v>
      </c>
      <c r="I2273" t="s">
        <v>3490</v>
      </c>
      <c r="J2273" t="s">
        <v>2895</v>
      </c>
    </row>
    <row r="2274" spans="1:10" x14ac:dyDescent="0.25">
      <c r="A2274" t="s">
        <v>2654</v>
      </c>
      <c r="B2274" t="s">
        <v>30</v>
      </c>
      <c r="C2274">
        <v>6</v>
      </c>
      <c r="D2274" t="s">
        <v>3358</v>
      </c>
      <c r="E2274">
        <v>75</v>
      </c>
      <c r="F2274">
        <v>22</v>
      </c>
      <c r="G2274">
        <v>53</v>
      </c>
      <c r="H2274" t="s">
        <v>3494</v>
      </c>
      <c r="I2274" t="s">
        <v>3490</v>
      </c>
      <c r="J2274" t="s">
        <v>2895</v>
      </c>
    </row>
    <row r="2275" spans="1:10" x14ac:dyDescent="0.25">
      <c r="A2275" t="s">
        <v>2654</v>
      </c>
      <c r="B2275" t="s">
        <v>30</v>
      </c>
      <c r="C2275">
        <v>6</v>
      </c>
      <c r="D2275" t="s">
        <v>3360</v>
      </c>
      <c r="E2275">
        <v>94</v>
      </c>
      <c r="F2275">
        <v>30</v>
      </c>
      <c r="G2275">
        <v>64</v>
      </c>
      <c r="H2275" t="s">
        <v>3495</v>
      </c>
      <c r="I2275" t="s">
        <v>3490</v>
      </c>
      <c r="J2275" t="s">
        <v>2895</v>
      </c>
    </row>
    <row r="2276" spans="1:10" x14ac:dyDescent="0.25">
      <c r="A2276" t="s">
        <v>2654</v>
      </c>
      <c r="B2276" t="s">
        <v>30</v>
      </c>
      <c r="C2276">
        <v>6</v>
      </c>
      <c r="D2276" t="s">
        <v>3362</v>
      </c>
      <c r="E2276">
        <v>63</v>
      </c>
      <c r="F2276">
        <v>12</v>
      </c>
      <c r="G2276">
        <v>51</v>
      </c>
      <c r="H2276" t="s">
        <v>3489</v>
      </c>
      <c r="I2276" t="s">
        <v>3490</v>
      </c>
      <c r="J2276" t="s">
        <v>2895</v>
      </c>
    </row>
    <row r="2277" spans="1:10" x14ac:dyDescent="0.25">
      <c r="A2277" t="s">
        <v>2659</v>
      </c>
      <c r="B2277" t="s">
        <v>105</v>
      </c>
      <c r="C2277">
        <v>8</v>
      </c>
      <c r="D2277" t="s">
        <v>3174</v>
      </c>
      <c r="E2277">
        <v>37</v>
      </c>
      <c r="F2277">
        <v>15</v>
      </c>
      <c r="G2277">
        <v>22</v>
      </c>
      <c r="H2277" t="s">
        <v>3491</v>
      </c>
      <c r="I2277" t="s">
        <v>3492</v>
      </c>
      <c r="J2277" t="s">
        <v>2908</v>
      </c>
    </row>
    <row r="2278" spans="1:10" x14ac:dyDescent="0.25">
      <c r="A2278" t="s">
        <v>2659</v>
      </c>
      <c r="B2278" t="s">
        <v>105</v>
      </c>
      <c r="C2278">
        <v>8</v>
      </c>
      <c r="D2278" t="s">
        <v>3176</v>
      </c>
      <c r="E2278">
        <v>43</v>
      </c>
      <c r="F2278">
        <v>16</v>
      </c>
      <c r="G2278">
        <v>27</v>
      </c>
      <c r="H2278" t="s">
        <v>3491</v>
      </c>
      <c r="I2278" t="s">
        <v>3492</v>
      </c>
      <c r="J2278" t="s">
        <v>2908</v>
      </c>
    </row>
    <row r="2279" spans="1:10" x14ac:dyDescent="0.25">
      <c r="A2279" t="s">
        <v>2659</v>
      </c>
      <c r="B2279" t="s">
        <v>105</v>
      </c>
      <c r="C2279">
        <v>8</v>
      </c>
      <c r="D2279" t="s">
        <v>3178</v>
      </c>
      <c r="E2279">
        <v>60</v>
      </c>
      <c r="F2279">
        <v>16</v>
      </c>
      <c r="G2279">
        <v>44</v>
      </c>
      <c r="H2279" t="s">
        <v>3489</v>
      </c>
      <c r="I2279" t="s">
        <v>3490</v>
      </c>
      <c r="J2279" t="s">
        <v>2908</v>
      </c>
    </row>
    <row r="2280" spans="1:10" x14ac:dyDescent="0.25">
      <c r="A2280" t="s">
        <v>2659</v>
      </c>
      <c r="B2280" t="s">
        <v>105</v>
      </c>
      <c r="C2280">
        <v>8</v>
      </c>
      <c r="D2280" t="s">
        <v>3180</v>
      </c>
      <c r="E2280">
        <v>71</v>
      </c>
      <c r="F2280">
        <v>29</v>
      </c>
      <c r="G2280">
        <v>42</v>
      </c>
      <c r="H2280" t="s">
        <v>3494</v>
      </c>
      <c r="I2280" t="s">
        <v>3490</v>
      </c>
      <c r="J2280" t="s">
        <v>2908</v>
      </c>
    </row>
    <row r="2281" spans="1:10" x14ac:dyDescent="0.25">
      <c r="A2281" t="s">
        <v>2659</v>
      </c>
      <c r="B2281" t="s">
        <v>105</v>
      </c>
      <c r="C2281">
        <v>8</v>
      </c>
      <c r="D2281" t="s">
        <v>3182</v>
      </c>
      <c r="E2281">
        <v>86</v>
      </c>
      <c r="F2281">
        <v>21</v>
      </c>
      <c r="G2281">
        <v>65</v>
      </c>
      <c r="H2281" t="s">
        <v>196</v>
      </c>
      <c r="I2281" t="s">
        <v>3490</v>
      </c>
      <c r="J2281" t="s">
        <v>2908</v>
      </c>
    </row>
    <row r="2282" spans="1:10" x14ac:dyDescent="0.25">
      <c r="A2282" t="s">
        <v>2664</v>
      </c>
      <c r="B2282" t="s">
        <v>122</v>
      </c>
      <c r="C2282">
        <v>6</v>
      </c>
      <c r="D2282" t="s">
        <v>3294</v>
      </c>
      <c r="E2282">
        <v>67</v>
      </c>
      <c r="F2282">
        <v>14</v>
      </c>
      <c r="G2282">
        <v>53</v>
      </c>
      <c r="H2282" t="s">
        <v>3489</v>
      </c>
      <c r="I2282" t="s">
        <v>3490</v>
      </c>
      <c r="J2282" t="s">
        <v>2919</v>
      </c>
    </row>
    <row r="2283" spans="1:10" x14ac:dyDescent="0.25">
      <c r="A2283" t="s">
        <v>2664</v>
      </c>
      <c r="B2283" t="s">
        <v>122</v>
      </c>
      <c r="C2283">
        <v>6</v>
      </c>
      <c r="D2283" t="s">
        <v>3296</v>
      </c>
      <c r="E2283">
        <v>53</v>
      </c>
      <c r="F2283">
        <v>22</v>
      </c>
      <c r="G2283">
        <v>31</v>
      </c>
      <c r="H2283" t="s">
        <v>3493</v>
      </c>
      <c r="I2283" t="s">
        <v>3490</v>
      </c>
      <c r="J2283" t="s">
        <v>2919</v>
      </c>
    </row>
    <row r="2284" spans="1:10" x14ac:dyDescent="0.25">
      <c r="A2284" t="s">
        <v>2664</v>
      </c>
      <c r="B2284" t="s">
        <v>122</v>
      </c>
      <c r="C2284">
        <v>6</v>
      </c>
      <c r="D2284" t="s">
        <v>3298</v>
      </c>
      <c r="E2284">
        <v>68</v>
      </c>
      <c r="F2284">
        <v>10</v>
      </c>
      <c r="G2284">
        <v>58</v>
      </c>
      <c r="H2284" t="s">
        <v>3489</v>
      </c>
      <c r="I2284" t="s">
        <v>3490</v>
      </c>
      <c r="J2284" t="s">
        <v>2919</v>
      </c>
    </row>
    <row r="2285" spans="1:10" x14ac:dyDescent="0.25">
      <c r="A2285" t="s">
        <v>2664</v>
      </c>
      <c r="B2285" t="s">
        <v>122</v>
      </c>
      <c r="C2285">
        <v>6</v>
      </c>
      <c r="D2285" t="s">
        <v>3300</v>
      </c>
      <c r="E2285">
        <v>61</v>
      </c>
      <c r="F2285">
        <v>30</v>
      </c>
      <c r="G2285">
        <v>31</v>
      </c>
      <c r="H2285" t="s">
        <v>3489</v>
      </c>
      <c r="I2285" t="s">
        <v>3490</v>
      </c>
      <c r="J2285" t="s">
        <v>2919</v>
      </c>
    </row>
    <row r="2286" spans="1:10" x14ac:dyDescent="0.25">
      <c r="A2286" t="s">
        <v>2664</v>
      </c>
      <c r="B2286" t="s">
        <v>122</v>
      </c>
      <c r="C2286">
        <v>6</v>
      </c>
      <c r="D2286" t="s">
        <v>3302</v>
      </c>
      <c r="E2286">
        <v>94</v>
      </c>
      <c r="F2286">
        <v>28</v>
      </c>
      <c r="G2286">
        <v>66</v>
      </c>
      <c r="H2286" t="s">
        <v>3495</v>
      </c>
      <c r="I2286" t="s">
        <v>3490</v>
      </c>
      <c r="J2286" t="s">
        <v>2919</v>
      </c>
    </row>
    <row r="2287" spans="1:10" x14ac:dyDescent="0.25">
      <c r="A2287" t="s">
        <v>2669</v>
      </c>
      <c r="B2287" t="s">
        <v>122</v>
      </c>
      <c r="C2287">
        <v>8</v>
      </c>
      <c r="D2287" t="s">
        <v>3294</v>
      </c>
      <c r="E2287">
        <v>81</v>
      </c>
      <c r="F2287">
        <v>30</v>
      </c>
      <c r="G2287">
        <v>51</v>
      </c>
      <c r="H2287" t="s">
        <v>196</v>
      </c>
      <c r="I2287" t="s">
        <v>3490</v>
      </c>
      <c r="J2287" t="s">
        <v>2919</v>
      </c>
    </row>
    <row r="2288" spans="1:10" x14ac:dyDescent="0.25">
      <c r="A2288" t="s">
        <v>2669</v>
      </c>
      <c r="B2288" t="s">
        <v>122</v>
      </c>
      <c r="C2288">
        <v>8</v>
      </c>
      <c r="D2288" t="s">
        <v>3296</v>
      </c>
      <c r="E2288">
        <v>59</v>
      </c>
      <c r="F2288">
        <v>17</v>
      </c>
      <c r="G2288">
        <v>42</v>
      </c>
      <c r="H2288" t="s">
        <v>3493</v>
      </c>
      <c r="I2288" t="s">
        <v>3490</v>
      </c>
      <c r="J2288" t="s">
        <v>2919</v>
      </c>
    </row>
    <row r="2289" spans="1:10" x14ac:dyDescent="0.25">
      <c r="A2289" t="s">
        <v>2669</v>
      </c>
      <c r="B2289" t="s">
        <v>122</v>
      </c>
      <c r="C2289">
        <v>8</v>
      </c>
      <c r="D2289" t="s">
        <v>3298</v>
      </c>
      <c r="E2289">
        <v>80</v>
      </c>
      <c r="F2289">
        <v>14</v>
      </c>
      <c r="G2289">
        <v>66</v>
      </c>
      <c r="H2289" t="s">
        <v>196</v>
      </c>
      <c r="I2289" t="s">
        <v>3490</v>
      </c>
      <c r="J2289" t="s">
        <v>2919</v>
      </c>
    </row>
    <row r="2290" spans="1:10" x14ac:dyDescent="0.25">
      <c r="A2290" t="s">
        <v>2669</v>
      </c>
      <c r="B2290" t="s">
        <v>122</v>
      </c>
      <c r="C2290">
        <v>8</v>
      </c>
      <c r="D2290" t="s">
        <v>3300</v>
      </c>
      <c r="E2290">
        <v>80</v>
      </c>
      <c r="F2290">
        <v>21</v>
      </c>
      <c r="G2290">
        <v>59</v>
      </c>
      <c r="H2290" t="s">
        <v>196</v>
      </c>
      <c r="I2290" t="s">
        <v>3490</v>
      </c>
      <c r="J2290" t="s">
        <v>2919</v>
      </c>
    </row>
    <row r="2291" spans="1:10" x14ac:dyDescent="0.25">
      <c r="A2291" t="s">
        <v>2669</v>
      </c>
      <c r="B2291" t="s">
        <v>122</v>
      </c>
      <c r="C2291">
        <v>8</v>
      </c>
      <c r="D2291" t="s">
        <v>3302</v>
      </c>
      <c r="E2291">
        <v>83</v>
      </c>
      <c r="F2291">
        <v>21</v>
      </c>
      <c r="G2291">
        <v>62</v>
      </c>
      <c r="H2291" t="s">
        <v>196</v>
      </c>
      <c r="I2291" t="s">
        <v>3490</v>
      </c>
      <c r="J2291" t="s">
        <v>2919</v>
      </c>
    </row>
    <row r="2292" spans="1:10" x14ac:dyDescent="0.25">
      <c r="A2292" t="s">
        <v>2674</v>
      </c>
      <c r="B2292" t="s">
        <v>75</v>
      </c>
      <c r="C2292">
        <v>8</v>
      </c>
      <c r="D2292" t="s">
        <v>3054</v>
      </c>
      <c r="E2292">
        <v>51</v>
      </c>
      <c r="F2292">
        <v>16</v>
      </c>
      <c r="G2292">
        <v>35</v>
      </c>
      <c r="H2292" t="s">
        <v>3493</v>
      </c>
      <c r="I2292" t="s">
        <v>3490</v>
      </c>
      <c r="J2292" t="s">
        <v>2961</v>
      </c>
    </row>
    <row r="2293" spans="1:10" x14ac:dyDescent="0.25">
      <c r="A2293" t="s">
        <v>2674</v>
      </c>
      <c r="B2293" t="s">
        <v>75</v>
      </c>
      <c r="C2293">
        <v>8</v>
      </c>
      <c r="D2293" t="s">
        <v>3056</v>
      </c>
      <c r="E2293">
        <v>44</v>
      </c>
      <c r="F2293">
        <v>14</v>
      </c>
      <c r="G2293">
        <v>30</v>
      </c>
      <c r="H2293" t="s">
        <v>3491</v>
      </c>
      <c r="I2293" t="s">
        <v>3492</v>
      </c>
      <c r="J2293" t="s">
        <v>2961</v>
      </c>
    </row>
    <row r="2294" spans="1:10" x14ac:dyDescent="0.25">
      <c r="A2294" t="s">
        <v>2674</v>
      </c>
      <c r="B2294" t="s">
        <v>75</v>
      </c>
      <c r="C2294">
        <v>8</v>
      </c>
      <c r="D2294" t="s">
        <v>3058</v>
      </c>
      <c r="E2294">
        <v>74</v>
      </c>
      <c r="F2294">
        <v>14</v>
      </c>
      <c r="G2294">
        <v>60</v>
      </c>
      <c r="H2294" t="s">
        <v>3494</v>
      </c>
      <c r="I2294" t="s">
        <v>3490</v>
      </c>
      <c r="J2294" t="s">
        <v>2961</v>
      </c>
    </row>
    <row r="2295" spans="1:10" x14ac:dyDescent="0.25">
      <c r="A2295" t="s">
        <v>2674</v>
      </c>
      <c r="B2295" t="s">
        <v>75</v>
      </c>
      <c r="C2295">
        <v>8</v>
      </c>
      <c r="D2295" t="s">
        <v>3060</v>
      </c>
      <c r="E2295">
        <v>58</v>
      </c>
      <c r="F2295">
        <v>24</v>
      </c>
      <c r="G2295">
        <v>34</v>
      </c>
      <c r="H2295" t="s">
        <v>3493</v>
      </c>
      <c r="I2295" t="s">
        <v>3490</v>
      </c>
      <c r="J2295" t="s">
        <v>2961</v>
      </c>
    </row>
    <row r="2296" spans="1:10" x14ac:dyDescent="0.25">
      <c r="A2296" t="s">
        <v>2674</v>
      </c>
      <c r="B2296" t="s">
        <v>75</v>
      </c>
      <c r="C2296">
        <v>8</v>
      </c>
      <c r="D2296" t="s">
        <v>3062</v>
      </c>
      <c r="E2296">
        <v>61</v>
      </c>
      <c r="F2296">
        <v>29</v>
      </c>
      <c r="G2296">
        <v>32</v>
      </c>
      <c r="H2296" t="s">
        <v>3489</v>
      </c>
      <c r="I2296" t="s">
        <v>3490</v>
      </c>
      <c r="J2296" t="s">
        <v>2961</v>
      </c>
    </row>
    <row r="2297" spans="1:10" x14ac:dyDescent="0.25">
      <c r="A2297" t="s">
        <v>2679</v>
      </c>
      <c r="B2297" t="s">
        <v>75</v>
      </c>
      <c r="C2297">
        <v>8</v>
      </c>
      <c r="D2297" t="s">
        <v>3054</v>
      </c>
      <c r="E2297">
        <v>84</v>
      </c>
      <c r="F2297">
        <v>26</v>
      </c>
      <c r="G2297">
        <v>58</v>
      </c>
      <c r="H2297" t="s">
        <v>196</v>
      </c>
      <c r="I2297" t="s">
        <v>3490</v>
      </c>
      <c r="J2297" t="s">
        <v>2961</v>
      </c>
    </row>
    <row r="2298" spans="1:10" x14ac:dyDescent="0.25">
      <c r="A2298" t="s">
        <v>2679</v>
      </c>
      <c r="B2298" t="s">
        <v>75</v>
      </c>
      <c r="C2298">
        <v>8</v>
      </c>
      <c r="D2298" t="s">
        <v>3056</v>
      </c>
      <c r="E2298">
        <v>60</v>
      </c>
      <c r="F2298">
        <v>29</v>
      </c>
      <c r="G2298">
        <v>31</v>
      </c>
      <c r="H2298" t="s">
        <v>3489</v>
      </c>
      <c r="I2298" t="s">
        <v>3490</v>
      </c>
      <c r="J2298" t="s">
        <v>2961</v>
      </c>
    </row>
    <row r="2299" spans="1:10" x14ac:dyDescent="0.25">
      <c r="A2299" t="s">
        <v>2679</v>
      </c>
      <c r="B2299" t="s">
        <v>75</v>
      </c>
      <c r="C2299">
        <v>8</v>
      </c>
      <c r="D2299" t="s">
        <v>3058</v>
      </c>
      <c r="E2299">
        <v>48</v>
      </c>
      <c r="F2299">
        <v>10</v>
      </c>
      <c r="G2299">
        <v>38</v>
      </c>
      <c r="H2299" t="s">
        <v>3491</v>
      </c>
      <c r="I2299" t="s">
        <v>3492</v>
      </c>
      <c r="J2299" t="s">
        <v>2961</v>
      </c>
    </row>
    <row r="2300" spans="1:10" x14ac:dyDescent="0.25">
      <c r="A2300" t="s">
        <v>2679</v>
      </c>
      <c r="B2300" t="s">
        <v>75</v>
      </c>
      <c r="C2300">
        <v>8</v>
      </c>
      <c r="D2300" t="s">
        <v>3060</v>
      </c>
      <c r="E2300">
        <v>71</v>
      </c>
      <c r="F2300">
        <v>21</v>
      </c>
      <c r="G2300">
        <v>50</v>
      </c>
      <c r="H2300" t="s">
        <v>3494</v>
      </c>
      <c r="I2300" t="s">
        <v>3490</v>
      </c>
      <c r="J2300" t="s">
        <v>2961</v>
      </c>
    </row>
    <row r="2301" spans="1:10" x14ac:dyDescent="0.25">
      <c r="A2301" t="s">
        <v>2679</v>
      </c>
      <c r="B2301" t="s">
        <v>75</v>
      </c>
      <c r="C2301">
        <v>8</v>
      </c>
      <c r="D2301" t="s">
        <v>3062</v>
      </c>
      <c r="E2301">
        <v>87</v>
      </c>
      <c r="F2301">
        <v>17</v>
      </c>
      <c r="G2301">
        <v>70</v>
      </c>
      <c r="H2301" t="s">
        <v>196</v>
      </c>
      <c r="I2301" t="s">
        <v>3490</v>
      </c>
      <c r="J2301" t="s">
        <v>2961</v>
      </c>
    </row>
    <row r="2302" spans="1:10" x14ac:dyDescent="0.25">
      <c r="A2302" t="s">
        <v>2684</v>
      </c>
      <c r="B2302" t="s">
        <v>75</v>
      </c>
      <c r="C2302">
        <v>6</v>
      </c>
      <c r="D2302" t="s">
        <v>3054</v>
      </c>
      <c r="E2302">
        <v>55</v>
      </c>
      <c r="F2302">
        <v>21</v>
      </c>
      <c r="G2302">
        <v>34</v>
      </c>
      <c r="H2302" t="s">
        <v>3493</v>
      </c>
      <c r="I2302" t="s">
        <v>3490</v>
      </c>
      <c r="J2302" t="s">
        <v>2961</v>
      </c>
    </row>
    <row r="2303" spans="1:10" x14ac:dyDescent="0.25">
      <c r="A2303" t="s">
        <v>2684</v>
      </c>
      <c r="B2303" t="s">
        <v>75</v>
      </c>
      <c r="C2303">
        <v>6</v>
      </c>
      <c r="D2303" t="s">
        <v>3056</v>
      </c>
      <c r="E2303">
        <v>48</v>
      </c>
      <c r="F2303">
        <v>14</v>
      </c>
      <c r="G2303">
        <v>34</v>
      </c>
      <c r="H2303" t="s">
        <v>3491</v>
      </c>
      <c r="I2303" t="s">
        <v>3492</v>
      </c>
      <c r="J2303" t="s">
        <v>2961</v>
      </c>
    </row>
    <row r="2304" spans="1:10" x14ac:dyDescent="0.25">
      <c r="A2304" t="s">
        <v>2684</v>
      </c>
      <c r="B2304" t="s">
        <v>75</v>
      </c>
      <c r="C2304">
        <v>6</v>
      </c>
      <c r="D2304" t="s">
        <v>3058</v>
      </c>
      <c r="E2304">
        <v>70</v>
      </c>
      <c r="F2304">
        <v>23</v>
      </c>
      <c r="G2304">
        <v>47</v>
      </c>
      <c r="H2304" t="s">
        <v>3494</v>
      </c>
      <c r="I2304" t="s">
        <v>3490</v>
      </c>
      <c r="J2304" t="s">
        <v>2961</v>
      </c>
    </row>
    <row r="2305" spans="1:10" x14ac:dyDescent="0.25">
      <c r="A2305" t="s">
        <v>2684</v>
      </c>
      <c r="B2305" t="s">
        <v>75</v>
      </c>
      <c r="C2305">
        <v>6</v>
      </c>
      <c r="D2305" t="s">
        <v>3060</v>
      </c>
      <c r="E2305">
        <v>64</v>
      </c>
      <c r="F2305">
        <v>12</v>
      </c>
      <c r="G2305">
        <v>52</v>
      </c>
      <c r="H2305" t="s">
        <v>3489</v>
      </c>
      <c r="I2305" t="s">
        <v>3490</v>
      </c>
      <c r="J2305" t="s">
        <v>2961</v>
      </c>
    </row>
    <row r="2306" spans="1:10" x14ac:dyDescent="0.25">
      <c r="A2306" t="s">
        <v>2684</v>
      </c>
      <c r="B2306" t="s">
        <v>75</v>
      </c>
      <c r="C2306">
        <v>6</v>
      </c>
      <c r="D2306" t="s">
        <v>3062</v>
      </c>
      <c r="E2306">
        <v>43</v>
      </c>
      <c r="F2306">
        <v>21</v>
      </c>
      <c r="G2306">
        <v>22</v>
      </c>
      <c r="H2306" t="s">
        <v>3491</v>
      </c>
      <c r="I2306" t="s">
        <v>3492</v>
      </c>
      <c r="J2306" t="s">
        <v>2961</v>
      </c>
    </row>
    <row r="2307" spans="1:10" x14ac:dyDescent="0.25">
      <c r="A2307" t="s">
        <v>2689</v>
      </c>
      <c r="B2307" t="s">
        <v>63</v>
      </c>
      <c r="C2307">
        <v>8</v>
      </c>
      <c r="D2307" t="s">
        <v>3414</v>
      </c>
      <c r="E2307">
        <v>70</v>
      </c>
      <c r="F2307">
        <v>25</v>
      </c>
      <c r="G2307">
        <v>45</v>
      </c>
      <c r="H2307" t="s">
        <v>3494</v>
      </c>
      <c r="I2307" t="s">
        <v>3490</v>
      </c>
      <c r="J2307" t="s">
        <v>2932</v>
      </c>
    </row>
    <row r="2308" spans="1:10" x14ac:dyDescent="0.25">
      <c r="A2308" t="s">
        <v>2689</v>
      </c>
      <c r="B2308" t="s">
        <v>63</v>
      </c>
      <c r="C2308">
        <v>8</v>
      </c>
      <c r="D2308" t="s">
        <v>3416</v>
      </c>
      <c r="E2308">
        <v>35</v>
      </c>
      <c r="F2308">
        <v>12</v>
      </c>
      <c r="G2308">
        <v>23</v>
      </c>
      <c r="H2308" t="s">
        <v>3491</v>
      </c>
      <c r="I2308" t="s">
        <v>3492</v>
      </c>
      <c r="J2308" t="s">
        <v>2932</v>
      </c>
    </row>
    <row r="2309" spans="1:10" x14ac:dyDescent="0.25">
      <c r="A2309" t="s">
        <v>2689</v>
      </c>
      <c r="B2309" t="s">
        <v>63</v>
      </c>
      <c r="C2309">
        <v>8</v>
      </c>
      <c r="D2309" t="s">
        <v>3418</v>
      </c>
      <c r="E2309">
        <v>76</v>
      </c>
      <c r="F2309">
        <v>27</v>
      </c>
      <c r="G2309">
        <v>49</v>
      </c>
      <c r="H2309" t="s">
        <v>3494</v>
      </c>
      <c r="I2309" t="s">
        <v>3490</v>
      </c>
      <c r="J2309" t="s">
        <v>2932</v>
      </c>
    </row>
    <row r="2310" spans="1:10" x14ac:dyDescent="0.25">
      <c r="A2310" t="s">
        <v>2689</v>
      </c>
      <c r="B2310" t="s">
        <v>63</v>
      </c>
      <c r="C2310">
        <v>8</v>
      </c>
      <c r="D2310" t="s">
        <v>3420</v>
      </c>
      <c r="E2310">
        <v>63</v>
      </c>
      <c r="F2310">
        <v>11</v>
      </c>
      <c r="G2310">
        <v>52</v>
      </c>
      <c r="H2310" t="s">
        <v>3489</v>
      </c>
      <c r="I2310" t="s">
        <v>3490</v>
      </c>
      <c r="J2310" t="s">
        <v>2932</v>
      </c>
    </row>
    <row r="2311" spans="1:10" x14ac:dyDescent="0.25">
      <c r="A2311" t="s">
        <v>2689</v>
      </c>
      <c r="B2311" t="s">
        <v>63</v>
      </c>
      <c r="C2311">
        <v>8</v>
      </c>
      <c r="D2311" t="s">
        <v>3422</v>
      </c>
      <c r="E2311">
        <v>59</v>
      </c>
      <c r="F2311">
        <v>15</v>
      </c>
      <c r="G2311">
        <v>44</v>
      </c>
      <c r="H2311" t="s">
        <v>3493</v>
      </c>
      <c r="I2311" t="s">
        <v>3490</v>
      </c>
      <c r="J2311" t="s">
        <v>2932</v>
      </c>
    </row>
    <row r="2312" spans="1:10" x14ac:dyDescent="0.25">
      <c r="A2312" t="s">
        <v>2694</v>
      </c>
      <c r="B2312" t="s">
        <v>95</v>
      </c>
      <c r="C2312">
        <v>8</v>
      </c>
      <c r="D2312" t="s">
        <v>3234</v>
      </c>
      <c r="E2312">
        <v>80</v>
      </c>
      <c r="F2312">
        <v>29</v>
      </c>
      <c r="G2312">
        <v>51</v>
      </c>
      <c r="H2312" t="s">
        <v>196</v>
      </c>
      <c r="I2312" t="s">
        <v>3490</v>
      </c>
      <c r="J2312" t="s">
        <v>2889</v>
      </c>
    </row>
    <row r="2313" spans="1:10" x14ac:dyDescent="0.25">
      <c r="A2313" t="s">
        <v>2694</v>
      </c>
      <c r="B2313" t="s">
        <v>95</v>
      </c>
      <c r="C2313">
        <v>8</v>
      </c>
      <c r="D2313" t="s">
        <v>3236</v>
      </c>
      <c r="E2313">
        <v>81</v>
      </c>
      <c r="F2313">
        <v>13</v>
      </c>
      <c r="G2313">
        <v>68</v>
      </c>
      <c r="H2313" t="s">
        <v>196</v>
      </c>
      <c r="I2313" t="s">
        <v>3490</v>
      </c>
      <c r="J2313" t="s">
        <v>2889</v>
      </c>
    </row>
    <row r="2314" spans="1:10" x14ac:dyDescent="0.25">
      <c r="A2314" t="s">
        <v>2694</v>
      </c>
      <c r="B2314" t="s">
        <v>95</v>
      </c>
      <c r="C2314">
        <v>8</v>
      </c>
      <c r="D2314" t="s">
        <v>3238</v>
      </c>
      <c r="E2314">
        <v>56</v>
      </c>
      <c r="F2314">
        <v>26</v>
      </c>
      <c r="G2314">
        <v>30</v>
      </c>
      <c r="H2314" t="s">
        <v>3493</v>
      </c>
      <c r="I2314" t="s">
        <v>3490</v>
      </c>
      <c r="J2314" t="s">
        <v>2889</v>
      </c>
    </row>
    <row r="2315" spans="1:10" x14ac:dyDescent="0.25">
      <c r="A2315" t="s">
        <v>2694</v>
      </c>
      <c r="B2315" t="s">
        <v>95</v>
      </c>
      <c r="C2315">
        <v>8</v>
      </c>
      <c r="D2315" t="s">
        <v>3240</v>
      </c>
      <c r="E2315">
        <v>60</v>
      </c>
      <c r="F2315">
        <v>16</v>
      </c>
      <c r="G2315">
        <v>44</v>
      </c>
      <c r="H2315" t="s">
        <v>3489</v>
      </c>
      <c r="I2315" t="s">
        <v>3490</v>
      </c>
      <c r="J2315" t="s">
        <v>2889</v>
      </c>
    </row>
    <row r="2316" spans="1:10" x14ac:dyDescent="0.25">
      <c r="A2316" t="s">
        <v>2694</v>
      </c>
      <c r="B2316" t="s">
        <v>95</v>
      </c>
      <c r="C2316">
        <v>8</v>
      </c>
      <c r="D2316" t="s">
        <v>3242</v>
      </c>
      <c r="E2316">
        <v>37</v>
      </c>
      <c r="F2316">
        <v>11</v>
      </c>
      <c r="G2316">
        <v>26</v>
      </c>
      <c r="H2316" t="s">
        <v>3491</v>
      </c>
      <c r="I2316" t="s">
        <v>3492</v>
      </c>
      <c r="J2316" t="s">
        <v>2889</v>
      </c>
    </row>
    <row r="2317" spans="1:10" x14ac:dyDescent="0.25">
      <c r="A2317" t="s">
        <v>2699</v>
      </c>
      <c r="B2317" t="s">
        <v>95</v>
      </c>
      <c r="C2317">
        <v>8</v>
      </c>
      <c r="D2317" t="s">
        <v>3234</v>
      </c>
      <c r="E2317">
        <v>61</v>
      </c>
      <c r="F2317">
        <v>10</v>
      </c>
      <c r="G2317">
        <v>51</v>
      </c>
      <c r="H2317" t="s">
        <v>3489</v>
      </c>
      <c r="I2317" t="s">
        <v>3490</v>
      </c>
      <c r="J2317" t="s">
        <v>2889</v>
      </c>
    </row>
    <row r="2318" spans="1:10" x14ac:dyDescent="0.25">
      <c r="A2318" t="s">
        <v>2699</v>
      </c>
      <c r="B2318" t="s">
        <v>95</v>
      </c>
      <c r="C2318">
        <v>8</v>
      </c>
      <c r="D2318" t="s">
        <v>3236</v>
      </c>
      <c r="E2318">
        <v>42</v>
      </c>
      <c r="F2318">
        <v>13</v>
      </c>
      <c r="G2318">
        <v>29</v>
      </c>
      <c r="H2318" t="s">
        <v>3491</v>
      </c>
      <c r="I2318" t="s">
        <v>3492</v>
      </c>
      <c r="J2318" t="s">
        <v>2889</v>
      </c>
    </row>
    <row r="2319" spans="1:10" x14ac:dyDescent="0.25">
      <c r="A2319" t="s">
        <v>2699</v>
      </c>
      <c r="B2319" t="s">
        <v>95</v>
      </c>
      <c r="C2319">
        <v>8</v>
      </c>
      <c r="D2319" t="s">
        <v>3238</v>
      </c>
      <c r="E2319">
        <v>48</v>
      </c>
      <c r="F2319">
        <v>22</v>
      </c>
      <c r="G2319">
        <v>26</v>
      </c>
      <c r="H2319" t="s">
        <v>3491</v>
      </c>
      <c r="I2319" t="s">
        <v>3492</v>
      </c>
      <c r="J2319" t="s">
        <v>2889</v>
      </c>
    </row>
    <row r="2320" spans="1:10" x14ac:dyDescent="0.25">
      <c r="A2320" t="s">
        <v>2699</v>
      </c>
      <c r="B2320" t="s">
        <v>95</v>
      </c>
      <c r="C2320">
        <v>8</v>
      </c>
      <c r="D2320" t="s">
        <v>3240</v>
      </c>
      <c r="E2320">
        <v>82</v>
      </c>
      <c r="F2320">
        <v>21</v>
      </c>
      <c r="G2320">
        <v>61</v>
      </c>
      <c r="H2320" t="s">
        <v>196</v>
      </c>
      <c r="I2320" t="s">
        <v>3490</v>
      </c>
      <c r="J2320" t="s">
        <v>2889</v>
      </c>
    </row>
    <row r="2321" spans="1:10" x14ac:dyDescent="0.25">
      <c r="A2321" t="s">
        <v>2699</v>
      </c>
      <c r="B2321" t="s">
        <v>95</v>
      </c>
      <c r="C2321">
        <v>8</v>
      </c>
      <c r="D2321" t="s">
        <v>3242</v>
      </c>
      <c r="E2321">
        <v>61</v>
      </c>
      <c r="F2321">
        <v>27</v>
      </c>
      <c r="G2321">
        <v>34</v>
      </c>
      <c r="H2321" t="s">
        <v>3489</v>
      </c>
      <c r="I2321" t="s">
        <v>3490</v>
      </c>
      <c r="J2321" t="s">
        <v>2889</v>
      </c>
    </row>
    <row r="2322" spans="1:10" x14ac:dyDescent="0.25">
      <c r="A2322" t="s">
        <v>2704</v>
      </c>
      <c r="B2322" t="s">
        <v>63</v>
      </c>
      <c r="C2322">
        <v>8</v>
      </c>
      <c r="D2322" t="s">
        <v>3414</v>
      </c>
      <c r="E2322">
        <v>90</v>
      </c>
      <c r="F2322">
        <v>27</v>
      </c>
      <c r="G2322">
        <v>63</v>
      </c>
      <c r="H2322" t="s">
        <v>3495</v>
      </c>
      <c r="I2322" t="s">
        <v>3490</v>
      </c>
      <c r="J2322" t="s">
        <v>2932</v>
      </c>
    </row>
    <row r="2323" spans="1:10" x14ac:dyDescent="0.25">
      <c r="A2323" t="s">
        <v>2704</v>
      </c>
      <c r="B2323" t="s">
        <v>63</v>
      </c>
      <c r="C2323">
        <v>8</v>
      </c>
      <c r="D2323" t="s">
        <v>3416</v>
      </c>
      <c r="E2323">
        <v>87</v>
      </c>
      <c r="F2323">
        <v>27</v>
      </c>
      <c r="G2323">
        <v>60</v>
      </c>
      <c r="H2323" t="s">
        <v>196</v>
      </c>
      <c r="I2323" t="s">
        <v>3490</v>
      </c>
      <c r="J2323" t="s">
        <v>2932</v>
      </c>
    </row>
    <row r="2324" spans="1:10" x14ac:dyDescent="0.25">
      <c r="A2324" t="s">
        <v>2704</v>
      </c>
      <c r="B2324" t="s">
        <v>63</v>
      </c>
      <c r="C2324">
        <v>8</v>
      </c>
      <c r="D2324" t="s">
        <v>3418</v>
      </c>
      <c r="E2324">
        <v>80</v>
      </c>
      <c r="F2324">
        <v>15</v>
      </c>
      <c r="G2324">
        <v>65</v>
      </c>
      <c r="H2324" t="s">
        <v>196</v>
      </c>
      <c r="I2324" t="s">
        <v>3490</v>
      </c>
      <c r="J2324" t="s">
        <v>2932</v>
      </c>
    </row>
    <row r="2325" spans="1:10" x14ac:dyDescent="0.25">
      <c r="A2325" t="s">
        <v>2704</v>
      </c>
      <c r="B2325" t="s">
        <v>63</v>
      </c>
      <c r="C2325">
        <v>8</v>
      </c>
      <c r="D2325" t="s">
        <v>3420</v>
      </c>
      <c r="E2325">
        <v>63</v>
      </c>
      <c r="F2325">
        <v>12</v>
      </c>
      <c r="G2325">
        <v>51</v>
      </c>
      <c r="H2325" t="s">
        <v>3489</v>
      </c>
      <c r="I2325" t="s">
        <v>3490</v>
      </c>
      <c r="J2325" t="s">
        <v>2932</v>
      </c>
    </row>
    <row r="2326" spans="1:10" x14ac:dyDescent="0.25">
      <c r="A2326" t="s">
        <v>2704</v>
      </c>
      <c r="B2326" t="s">
        <v>63</v>
      </c>
      <c r="C2326">
        <v>8</v>
      </c>
      <c r="D2326" t="s">
        <v>3422</v>
      </c>
      <c r="E2326">
        <v>77</v>
      </c>
      <c r="F2326">
        <v>30</v>
      </c>
      <c r="G2326">
        <v>47</v>
      </c>
      <c r="H2326" t="s">
        <v>3494</v>
      </c>
      <c r="I2326" t="s">
        <v>3490</v>
      </c>
      <c r="J2326" t="s">
        <v>2932</v>
      </c>
    </row>
    <row r="2327" spans="1:10" x14ac:dyDescent="0.25">
      <c r="A2327" t="s">
        <v>2709</v>
      </c>
      <c r="B2327" t="s">
        <v>75</v>
      </c>
      <c r="C2327">
        <v>4</v>
      </c>
      <c r="D2327" t="s">
        <v>3034</v>
      </c>
      <c r="E2327">
        <v>72</v>
      </c>
      <c r="F2327">
        <v>18</v>
      </c>
      <c r="G2327">
        <v>54</v>
      </c>
      <c r="H2327" t="s">
        <v>3494</v>
      </c>
      <c r="I2327" t="s">
        <v>3490</v>
      </c>
      <c r="J2327" t="s">
        <v>2961</v>
      </c>
    </row>
    <row r="2328" spans="1:10" x14ac:dyDescent="0.25">
      <c r="A2328" t="s">
        <v>2709</v>
      </c>
      <c r="B2328" t="s">
        <v>75</v>
      </c>
      <c r="C2328">
        <v>4</v>
      </c>
      <c r="D2328" t="s">
        <v>3036</v>
      </c>
      <c r="E2328">
        <v>87</v>
      </c>
      <c r="F2328">
        <v>18</v>
      </c>
      <c r="G2328">
        <v>69</v>
      </c>
      <c r="H2328" t="s">
        <v>196</v>
      </c>
      <c r="I2328" t="s">
        <v>3490</v>
      </c>
      <c r="J2328" t="s">
        <v>2961</v>
      </c>
    </row>
    <row r="2329" spans="1:10" x14ac:dyDescent="0.25">
      <c r="A2329" t="s">
        <v>2709</v>
      </c>
      <c r="B2329" t="s">
        <v>75</v>
      </c>
      <c r="C2329">
        <v>4</v>
      </c>
      <c r="D2329" t="s">
        <v>3038</v>
      </c>
      <c r="E2329">
        <v>72</v>
      </c>
      <c r="F2329">
        <v>22</v>
      </c>
      <c r="G2329">
        <v>50</v>
      </c>
      <c r="H2329" t="s">
        <v>3494</v>
      </c>
      <c r="I2329" t="s">
        <v>3490</v>
      </c>
      <c r="J2329" t="s">
        <v>2961</v>
      </c>
    </row>
    <row r="2330" spans="1:10" x14ac:dyDescent="0.25">
      <c r="A2330" t="s">
        <v>2709</v>
      </c>
      <c r="B2330" t="s">
        <v>75</v>
      </c>
      <c r="C2330">
        <v>4</v>
      </c>
      <c r="D2330" t="s">
        <v>3040</v>
      </c>
      <c r="E2330">
        <v>56</v>
      </c>
      <c r="F2330">
        <v>16</v>
      </c>
      <c r="G2330">
        <v>40</v>
      </c>
      <c r="H2330" t="s">
        <v>3493</v>
      </c>
      <c r="I2330" t="s">
        <v>3490</v>
      </c>
      <c r="J2330" t="s">
        <v>2961</v>
      </c>
    </row>
    <row r="2331" spans="1:10" x14ac:dyDescent="0.25">
      <c r="A2331" t="s">
        <v>2709</v>
      </c>
      <c r="B2331" t="s">
        <v>75</v>
      </c>
      <c r="C2331">
        <v>4</v>
      </c>
      <c r="D2331" t="s">
        <v>3042</v>
      </c>
      <c r="E2331">
        <v>92</v>
      </c>
      <c r="F2331">
        <v>24</v>
      </c>
      <c r="G2331">
        <v>68</v>
      </c>
      <c r="H2331" t="s">
        <v>3495</v>
      </c>
      <c r="I2331" t="s">
        <v>3490</v>
      </c>
      <c r="J2331" t="s">
        <v>2961</v>
      </c>
    </row>
    <row r="2332" spans="1:10" x14ac:dyDescent="0.25">
      <c r="A2332" t="s">
        <v>2714</v>
      </c>
      <c r="B2332" t="s">
        <v>159</v>
      </c>
      <c r="C2332">
        <v>4</v>
      </c>
      <c r="D2332" t="s">
        <v>3094</v>
      </c>
      <c r="E2332">
        <v>46</v>
      </c>
      <c r="F2332">
        <v>18</v>
      </c>
      <c r="G2332">
        <v>28</v>
      </c>
      <c r="H2332" t="s">
        <v>3491</v>
      </c>
      <c r="I2332" t="s">
        <v>3492</v>
      </c>
      <c r="J2332" t="s">
        <v>2902</v>
      </c>
    </row>
    <row r="2333" spans="1:10" x14ac:dyDescent="0.25">
      <c r="A2333" t="s">
        <v>2714</v>
      </c>
      <c r="B2333" t="s">
        <v>159</v>
      </c>
      <c r="C2333">
        <v>4</v>
      </c>
      <c r="D2333" t="s">
        <v>3096</v>
      </c>
      <c r="E2333">
        <v>47</v>
      </c>
      <c r="F2333">
        <v>14</v>
      </c>
      <c r="G2333">
        <v>33</v>
      </c>
      <c r="H2333" t="s">
        <v>3491</v>
      </c>
      <c r="I2333" t="s">
        <v>3492</v>
      </c>
      <c r="J2333" t="s">
        <v>2902</v>
      </c>
    </row>
    <row r="2334" spans="1:10" x14ac:dyDescent="0.25">
      <c r="A2334" t="s">
        <v>2714</v>
      </c>
      <c r="B2334" t="s">
        <v>159</v>
      </c>
      <c r="C2334">
        <v>4</v>
      </c>
      <c r="D2334" t="s">
        <v>3098</v>
      </c>
      <c r="E2334">
        <v>80</v>
      </c>
      <c r="F2334">
        <v>16</v>
      </c>
      <c r="G2334">
        <v>64</v>
      </c>
      <c r="H2334" t="s">
        <v>196</v>
      </c>
      <c r="I2334" t="s">
        <v>3490</v>
      </c>
      <c r="J2334" t="s">
        <v>2902</v>
      </c>
    </row>
    <row r="2335" spans="1:10" x14ac:dyDescent="0.25">
      <c r="A2335" t="s">
        <v>2714</v>
      </c>
      <c r="B2335" t="s">
        <v>159</v>
      </c>
      <c r="C2335">
        <v>4</v>
      </c>
      <c r="D2335" t="s">
        <v>3100</v>
      </c>
      <c r="E2335">
        <v>43</v>
      </c>
      <c r="F2335">
        <v>14</v>
      </c>
      <c r="G2335">
        <v>29</v>
      </c>
      <c r="H2335" t="s">
        <v>3491</v>
      </c>
      <c r="I2335" t="s">
        <v>3492</v>
      </c>
      <c r="J2335" t="s">
        <v>2902</v>
      </c>
    </row>
    <row r="2336" spans="1:10" x14ac:dyDescent="0.25">
      <c r="A2336" t="s">
        <v>2714</v>
      </c>
      <c r="B2336" t="s">
        <v>159</v>
      </c>
      <c r="C2336">
        <v>4</v>
      </c>
      <c r="D2336" t="s">
        <v>3102</v>
      </c>
      <c r="E2336">
        <v>80</v>
      </c>
      <c r="F2336">
        <v>15</v>
      </c>
      <c r="G2336">
        <v>65</v>
      </c>
      <c r="H2336" t="s">
        <v>196</v>
      </c>
      <c r="I2336" t="s">
        <v>3490</v>
      </c>
      <c r="J2336" t="s">
        <v>2902</v>
      </c>
    </row>
    <row r="2337" spans="1:10" x14ac:dyDescent="0.25">
      <c r="A2337" t="s">
        <v>2719</v>
      </c>
      <c r="B2337" t="s">
        <v>75</v>
      </c>
      <c r="C2337">
        <v>4</v>
      </c>
      <c r="D2337" t="s">
        <v>3034</v>
      </c>
      <c r="E2337">
        <v>47</v>
      </c>
      <c r="F2337">
        <v>26</v>
      </c>
      <c r="G2337">
        <v>21</v>
      </c>
      <c r="H2337" t="s">
        <v>3491</v>
      </c>
      <c r="I2337" t="s">
        <v>3492</v>
      </c>
      <c r="J2337" t="s">
        <v>2961</v>
      </c>
    </row>
    <row r="2338" spans="1:10" x14ac:dyDescent="0.25">
      <c r="A2338" t="s">
        <v>2719</v>
      </c>
      <c r="B2338" t="s">
        <v>75</v>
      </c>
      <c r="C2338">
        <v>4</v>
      </c>
      <c r="D2338" t="s">
        <v>3036</v>
      </c>
      <c r="E2338">
        <v>56</v>
      </c>
      <c r="F2338">
        <v>30</v>
      </c>
      <c r="G2338">
        <v>26</v>
      </c>
      <c r="H2338" t="s">
        <v>3493</v>
      </c>
      <c r="I2338" t="s">
        <v>3490</v>
      </c>
      <c r="J2338" t="s">
        <v>2961</v>
      </c>
    </row>
    <row r="2339" spans="1:10" x14ac:dyDescent="0.25">
      <c r="A2339" t="s">
        <v>2719</v>
      </c>
      <c r="B2339" t="s">
        <v>75</v>
      </c>
      <c r="C2339">
        <v>4</v>
      </c>
      <c r="D2339" t="s">
        <v>3038</v>
      </c>
      <c r="E2339">
        <v>67</v>
      </c>
      <c r="F2339">
        <v>29</v>
      </c>
      <c r="G2339">
        <v>38</v>
      </c>
      <c r="H2339" t="s">
        <v>3489</v>
      </c>
      <c r="I2339" t="s">
        <v>3490</v>
      </c>
      <c r="J2339" t="s">
        <v>2961</v>
      </c>
    </row>
    <row r="2340" spans="1:10" x14ac:dyDescent="0.25">
      <c r="A2340" t="s">
        <v>2719</v>
      </c>
      <c r="B2340" t="s">
        <v>75</v>
      </c>
      <c r="C2340">
        <v>4</v>
      </c>
      <c r="D2340" t="s">
        <v>3040</v>
      </c>
      <c r="E2340">
        <v>47</v>
      </c>
      <c r="F2340">
        <v>18</v>
      </c>
      <c r="G2340">
        <v>29</v>
      </c>
      <c r="H2340" t="s">
        <v>3491</v>
      </c>
      <c r="I2340" t="s">
        <v>3492</v>
      </c>
      <c r="J2340" t="s">
        <v>2961</v>
      </c>
    </row>
    <row r="2341" spans="1:10" x14ac:dyDescent="0.25">
      <c r="A2341" t="s">
        <v>2719</v>
      </c>
      <c r="B2341" t="s">
        <v>75</v>
      </c>
      <c r="C2341">
        <v>4</v>
      </c>
      <c r="D2341" t="s">
        <v>3042</v>
      </c>
      <c r="E2341">
        <v>76</v>
      </c>
      <c r="F2341">
        <v>21</v>
      </c>
      <c r="G2341">
        <v>55</v>
      </c>
      <c r="H2341" t="s">
        <v>3494</v>
      </c>
      <c r="I2341" t="s">
        <v>3490</v>
      </c>
      <c r="J2341" t="s">
        <v>2961</v>
      </c>
    </row>
    <row r="2342" spans="1:10" x14ac:dyDescent="0.25">
      <c r="A2342" t="s">
        <v>2724</v>
      </c>
      <c r="B2342" t="s">
        <v>159</v>
      </c>
      <c r="C2342">
        <v>8</v>
      </c>
      <c r="D2342" t="s">
        <v>3114</v>
      </c>
      <c r="E2342">
        <v>57</v>
      </c>
      <c r="F2342">
        <v>28</v>
      </c>
      <c r="G2342">
        <v>29</v>
      </c>
      <c r="H2342" t="s">
        <v>3493</v>
      </c>
      <c r="I2342" t="s">
        <v>3490</v>
      </c>
      <c r="J2342" t="s">
        <v>2902</v>
      </c>
    </row>
    <row r="2343" spans="1:10" x14ac:dyDescent="0.25">
      <c r="A2343" t="s">
        <v>2724</v>
      </c>
      <c r="B2343" t="s">
        <v>159</v>
      </c>
      <c r="C2343">
        <v>8</v>
      </c>
      <c r="D2343" t="s">
        <v>3116</v>
      </c>
      <c r="E2343">
        <v>61</v>
      </c>
      <c r="F2343">
        <v>30</v>
      </c>
      <c r="G2343">
        <v>31</v>
      </c>
      <c r="H2343" t="s">
        <v>3489</v>
      </c>
      <c r="I2343" t="s">
        <v>3490</v>
      </c>
      <c r="J2343" t="s">
        <v>2902</v>
      </c>
    </row>
    <row r="2344" spans="1:10" x14ac:dyDescent="0.25">
      <c r="A2344" t="s">
        <v>2724</v>
      </c>
      <c r="B2344" t="s">
        <v>159</v>
      </c>
      <c r="C2344">
        <v>8</v>
      </c>
      <c r="D2344" t="s">
        <v>3118</v>
      </c>
      <c r="E2344">
        <v>81</v>
      </c>
      <c r="F2344">
        <v>15</v>
      </c>
      <c r="G2344">
        <v>66</v>
      </c>
      <c r="H2344" t="s">
        <v>196</v>
      </c>
      <c r="I2344" t="s">
        <v>3490</v>
      </c>
      <c r="J2344" t="s">
        <v>2902</v>
      </c>
    </row>
    <row r="2345" spans="1:10" x14ac:dyDescent="0.25">
      <c r="A2345" t="s">
        <v>2724</v>
      </c>
      <c r="B2345" t="s">
        <v>159</v>
      </c>
      <c r="C2345">
        <v>8</v>
      </c>
      <c r="D2345" t="s">
        <v>3120</v>
      </c>
      <c r="E2345">
        <v>66</v>
      </c>
      <c r="F2345">
        <v>21</v>
      </c>
      <c r="G2345">
        <v>45</v>
      </c>
      <c r="H2345" t="s">
        <v>3489</v>
      </c>
      <c r="I2345" t="s">
        <v>3490</v>
      </c>
      <c r="J2345" t="s">
        <v>2902</v>
      </c>
    </row>
    <row r="2346" spans="1:10" x14ac:dyDescent="0.25">
      <c r="A2346" t="s">
        <v>2724</v>
      </c>
      <c r="B2346" t="s">
        <v>159</v>
      </c>
      <c r="C2346">
        <v>8</v>
      </c>
      <c r="D2346" t="s">
        <v>3122</v>
      </c>
      <c r="E2346">
        <v>55</v>
      </c>
      <c r="F2346">
        <v>11</v>
      </c>
      <c r="G2346">
        <v>44</v>
      </c>
      <c r="H2346" t="s">
        <v>3493</v>
      </c>
      <c r="I2346" t="s">
        <v>3490</v>
      </c>
      <c r="J2346" t="s">
        <v>2902</v>
      </c>
    </row>
    <row r="2347" spans="1:10" x14ac:dyDescent="0.25">
      <c r="A2347" t="s">
        <v>2728</v>
      </c>
      <c r="B2347" t="s">
        <v>75</v>
      </c>
      <c r="C2347">
        <v>6</v>
      </c>
      <c r="D2347" t="s">
        <v>3054</v>
      </c>
      <c r="E2347">
        <v>74</v>
      </c>
      <c r="F2347">
        <v>15</v>
      </c>
      <c r="G2347">
        <v>59</v>
      </c>
      <c r="H2347" t="s">
        <v>3494</v>
      </c>
      <c r="I2347" t="s">
        <v>3490</v>
      </c>
      <c r="J2347" t="s">
        <v>2961</v>
      </c>
    </row>
    <row r="2348" spans="1:10" x14ac:dyDescent="0.25">
      <c r="A2348" t="s">
        <v>2728</v>
      </c>
      <c r="B2348" t="s">
        <v>75</v>
      </c>
      <c r="C2348">
        <v>6</v>
      </c>
      <c r="D2348" t="s">
        <v>3056</v>
      </c>
      <c r="E2348">
        <v>53</v>
      </c>
      <c r="F2348">
        <v>20</v>
      </c>
      <c r="G2348">
        <v>33</v>
      </c>
      <c r="H2348" t="s">
        <v>3493</v>
      </c>
      <c r="I2348" t="s">
        <v>3490</v>
      </c>
      <c r="J2348" t="s">
        <v>2961</v>
      </c>
    </row>
    <row r="2349" spans="1:10" x14ac:dyDescent="0.25">
      <c r="A2349" t="s">
        <v>2728</v>
      </c>
      <c r="B2349" t="s">
        <v>75</v>
      </c>
      <c r="C2349">
        <v>6</v>
      </c>
      <c r="D2349" t="s">
        <v>3058</v>
      </c>
      <c r="E2349">
        <v>82</v>
      </c>
      <c r="F2349">
        <v>21</v>
      </c>
      <c r="G2349">
        <v>61</v>
      </c>
      <c r="H2349" t="s">
        <v>196</v>
      </c>
      <c r="I2349" t="s">
        <v>3490</v>
      </c>
      <c r="J2349" t="s">
        <v>2961</v>
      </c>
    </row>
    <row r="2350" spans="1:10" x14ac:dyDescent="0.25">
      <c r="A2350" t="s">
        <v>2728</v>
      </c>
      <c r="B2350" t="s">
        <v>75</v>
      </c>
      <c r="C2350">
        <v>6</v>
      </c>
      <c r="D2350" t="s">
        <v>3060</v>
      </c>
      <c r="E2350">
        <v>55</v>
      </c>
      <c r="F2350">
        <v>11</v>
      </c>
      <c r="G2350">
        <v>44</v>
      </c>
      <c r="H2350" t="s">
        <v>3493</v>
      </c>
      <c r="I2350" t="s">
        <v>3490</v>
      </c>
      <c r="J2350" t="s">
        <v>2961</v>
      </c>
    </row>
    <row r="2351" spans="1:10" x14ac:dyDescent="0.25">
      <c r="A2351" t="s">
        <v>2728</v>
      </c>
      <c r="B2351" t="s">
        <v>75</v>
      </c>
      <c r="C2351">
        <v>6</v>
      </c>
      <c r="D2351" t="s">
        <v>3062</v>
      </c>
      <c r="E2351">
        <v>77</v>
      </c>
      <c r="F2351">
        <v>17</v>
      </c>
      <c r="G2351">
        <v>60</v>
      </c>
      <c r="H2351" t="s">
        <v>3494</v>
      </c>
      <c r="I2351" t="s">
        <v>3490</v>
      </c>
      <c r="J2351" t="s">
        <v>2961</v>
      </c>
    </row>
    <row r="2352" spans="1:10" x14ac:dyDescent="0.25">
      <c r="A2352" t="s">
        <v>2733</v>
      </c>
      <c r="B2352" t="s">
        <v>105</v>
      </c>
      <c r="C2352">
        <v>8</v>
      </c>
      <c r="D2352" t="s">
        <v>3174</v>
      </c>
      <c r="E2352">
        <v>60</v>
      </c>
      <c r="F2352">
        <v>25</v>
      </c>
      <c r="G2352">
        <v>35</v>
      </c>
      <c r="H2352" t="s">
        <v>3489</v>
      </c>
      <c r="I2352" t="s">
        <v>3490</v>
      </c>
      <c r="J2352" t="s">
        <v>2908</v>
      </c>
    </row>
    <row r="2353" spans="1:10" x14ac:dyDescent="0.25">
      <c r="A2353" t="s">
        <v>2733</v>
      </c>
      <c r="B2353" t="s">
        <v>105</v>
      </c>
      <c r="C2353">
        <v>8</v>
      </c>
      <c r="D2353" t="s">
        <v>3176</v>
      </c>
      <c r="E2353">
        <v>73</v>
      </c>
      <c r="F2353">
        <v>12</v>
      </c>
      <c r="G2353">
        <v>61</v>
      </c>
      <c r="H2353" t="s">
        <v>3494</v>
      </c>
      <c r="I2353" t="s">
        <v>3490</v>
      </c>
      <c r="J2353" t="s">
        <v>2908</v>
      </c>
    </row>
    <row r="2354" spans="1:10" x14ac:dyDescent="0.25">
      <c r="A2354" t="s">
        <v>2733</v>
      </c>
      <c r="B2354" t="s">
        <v>105</v>
      </c>
      <c r="C2354">
        <v>8</v>
      </c>
      <c r="D2354" t="s">
        <v>3178</v>
      </c>
      <c r="E2354">
        <v>67</v>
      </c>
      <c r="F2354">
        <v>13</v>
      </c>
      <c r="G2354">
        <v>54</v>
      </c>
      <c r="H2354" t="s">
        <v>3489</v>
      </c>
      <c r="I2354" t="s">
        <v>3490</v>
      </c>
      <c r="J2354" t="s">
        <v>2908</v>
      </c>
    </row>
    <row r="2355" spans="1:10" x14ac:dyDescent="0.25">
      <c r="A2355" t="s">
        <v>2733</v>
      </c>
      <c r="B2355" t="s">
        <v>105</v>
      </c>
      <c r="C2355">
        <v>8</v>
      </c>
      <c r="D2355" t="s">
        <v>3180</v>
      </c>
      <c r="E2355">
        <v>48</v>
      </c>
      <c r="F2355">
        <v>11</v>
      </c>
      <c r="G2355">
        <v>37</v>
      </c>
      <c r="H2355" t="s">
        <v>3491</v>
      </c>
      <c r="I2355" t="s">
        <v>3492</v>
      </c>
      <c r="J2355" t="s">
        <v>2908</v>
      </c>
    </row>
    <row r="2356" spans="1:10" x14ac:dyDescent="0.25">
      <c r="A2356" t="s">
        <v>2733</v>
      </c>
      <c r="B2356" t="s">
        <v>105</v>
      </c>
      <c r="C2356">
        <v>8</v>
      </c>
      <c r="D2356" t="s">
        <v>3182</v>
      </c>
      <c r="E2356">
        <v>85</v>
      </c>
      <c r="F2356">
        <v>22</v>
      </c>
      <c r="G2356">
        <v>63</v>
      </c>
      <c r="H2356" t="s">
        <v>196</v>
      </c>
      <c r="I2356" t="s">
        <v>3490</v>
      </c>
      <c r="J2356" t="s">
        <v>2908</v>
      </c>
    </row>
    <row r="2357" spans="1:10" x14ac:dyDescent="0.25">
      <c r="A2357" t="s">
        <v>2738</v>
      </c>
      <c r="B2357" t="s">
        <v>212</v>
      </c>
      <c r="C2357">
        <v>6</v>
      </c>
      <c r="D2357" t="s">
        <v>3474</v>
      </c>
      <c r="E2357">
        <v>62</v>
      </c>
      <c r="F2357">
        <v>25</v>
      </c>
      <c r="G2357">
        <v>37</v>
      </c>
      <c r="H2357" t="s">
        <v>3489</v>
      </c>
      <c r="I2357" t="s">
        <v>3490</v>
      </c>
      <c r="J2357" t="s">
        <v>3001</v>
      </c>
    </row>
    <row r="2358" spans="1:10" x14ac:dyDescent="0.25">
      <c r="A2358" t="s">
        <v>2738</v>
      </c>
      <c r="B2358" t="s">
        <v>212</v>
      </c>
      <c r="C2358">
        <v>6</v>
      </c>
      <c r="D2358" t="s">
        <v>3476</v>
      </c>
      <c r="E2358">
        <v>48</v>
      </c>
      <c r="F2358">
        <v>13</v>
      </c>
      <c r="G2358">
        <v>35</v>
      </c>
      <c r="H2358" t="s">
        <v>3491</v>
      </c>
      <c r="I2358" t="s">
        <v>3492</v>
      </c>
      <c r="J2358" t="s">
        <v>3001</v>
      </c>
    </row>
    <row r="2359" spans="1:10" x14ac:dyDescent="0.25">
      <c r="A2359" t="s">
        <v>2738</v>
      </c>
      <c r="B2359" t="s">
        <v>212</v>
      </c>
      <c r="C2359">
        <v>6</v>
      </c>
      <c r="D2359" t="s">
        <v>3478</v>
      </c>
      <c r="E2359">
        <v>61</v>
      </c>
      <c r="F2359">
        <v>10</v>
      </c>
      <c r="G2359">
        <v>51</v>
      </c>
      <c r="H2359" t="s">
        <v>3489</v>
      </c>
      <c r="I2359" t="s">
        <v>3490</v>
      </c>
      <c r="J2359" t="s">
        <v>3001</v>
      </c>
    </row>
    <row r="2360" spans="1:10" x14ac:dyDescent="0.25">
      <c r="A2360" t="s">
        <v>2738</v>
      </c>
      <c r="B2360" t="s">
        <v>212</v>
      </c>
      <c r="C2360">
        <v>6</v>
      </c>
      <c r="D2360" t="s">
        <v>3480</v>
      </c>
      <c r="E2360">
        <v>54</v>
      </c>
      <c r="F2360">
        <v>20</v>
      </c>
      <c r="G2360">
        <v>34</v>
      </c>
      <c r="H2360" t="s">
        <v>3493</v>
      </c>
      <c r="I2360" t="s">
        <v>3490</v>
      </c>
      <c r="J2360" t="s">
        <v>3001</v>
      </c>
    </row>
    <row r="2361" spans="1:10" x14ac:dyDescent="0.25">
      <c r="A2361" t="s">
        <v>2738</v>
      </c>
      <c r="B2361" t="s">
        <v>212</v>
      </c>
      <c r="C2361">
        <v>6</v>
      </c>
      <c r="D2361" t="s">
        <v>3482</v>
      </c>
      <c r="E2361">
        <v>66</v>
      </c>
      <c r="F2361">
        <v>27</v>
      </c>
      <c r="G2361">
        <v>39</v>
      </c>
      <c r="H2361" t="s">
        <v>3489</v>
      </c>
      <c r="I2361" t="s">
        <v>3490</v>
      </c>
      <c r="J2361" t="s">
        <v>3001</v>
      </c>
    </row>
    <row r="2362" spans="1:10" x14ac:dyDescent="0.25">
      <c r="A2362" t="s">
        <v>2743</v>
      </c>
      <c r="B2362" t="s">
        <v>159</v>
      </c>
      <c r="C2362">
        <v>6</v>
      </c>
      <c r="D2362" t="s">
        <v>3114</v>
      </c>
      <c r="E2362">
        <v>74</v>
      </c>
      <c r="F2362">
        <v>13</v>
      </c>
      <c r="G2362">
        <v>61</v>
      </c>
      <c r="H2362" t="s">
        <v>3494</v>
      </c>
      <c r="I2362" t="s">
        <v>3490</v>
      </c>
      <c r="J2362" t="s">
        <v>2902</v>
      </c>
    </row>
    <row r="2363" spans="1:10" x14ac:dyDescent="0.25">
      <c r="A2363" t="s">
        <v>2743</v>
      </c>
      <c r="B2363" t="s">
        <v>159</v>
      </c>
      <c r="C2363">
        <v>6</v>
      </c>
      <c r="D2363" t="s">
        <v>3116</v>
      </c>
      <c r="E2363">
        <v>67</v>
      </c>
      <c r="F2363">
        <v>27</v>
      </c>
      <c r="G2363">
        <v>40</v>
      </c>
      <c r="H2363" t="s">
        <v>3489</v>
      </c>
      <c r="I2363" t="s">
        <v>3490</v>
      </c>
      <c r="J2363" t="s">
        <v>2902</v>
      </c>
    </row>
    <row r="2364" spans="1:10" x14ac:dyDescent="0.25">
      <c r="A2364" t="s">
        <v>2743</v>
      </c>
      <c r="B2364" t="s">
        <v>159</v>
      </c>
      <c r="C2364">
        <v>6</v>
      </c>
      <c r="D2364" t="s">
        <v>3118</v>
      </c>
      <c r="E2364">
        <v>34</v>
      </c>
      <c r="F2364">
        <v>14</v>
      </c>
      <c r="G2364">
        <v>20</v>
      </c>
      <c r="H2364" t="s">
        <v>3491</v>
      </c>
      <c r="I2364" t="s">
        <v>3492</v>
      </c>
      <c r="J2364" t="s">
        <v>2902</v>
      </c>
    </row>
    <row r="2365" spans="1:10" x14ac:dyDescent="0.25">
      <c r="A2365" t="s">
        <v>2743</v>
      </c>
      <c r="B2365" t="s">
        <v>159</v>
      </c>
      <c r="C2365">
        <v>6</v>
      </c>
      <c r="D2365" t="s">
        <v>3120</v>
      </c>
      <c r="E2365">
        <v>46</v>
      </c>
      <c r="F2365">
        <v>12</v>
      </c>
      <c r="G2365">
        <v>34</v>
      </c>
      <c r="H2365" t="s">
        <v>3491</v>
      </c>
      <c r="I2365" t="s">
        <v>3492</v>
      </c>
      <c r="J2365" t="s">
        <v>2902</v>
      </c>
    </row>
    <row r="2366" spans="1:10" x14ac:dyDescent="0.25">
      <c r="A2366" t="s">
        <v>2743</v>
      </c>
      <c r="B2366" t="s">
        <v>159</v>
      </c>
      <c r="C2366">
        <v>6</v>
      </c>
      <c r="D2366" t="s">
        <v>3122</v>
      </c>
      <c r="E2366">
        <v>53</v>
      </c>
      <c r="F2366">
        <v>22</v>
      </c>
      <c r="G2366">
        <v>31</v>
      </c>
      <c r="H2366" t="s">
        <v>3493</v>
      </c>
      <c r="I2366" t="s">
        <v>3490</v>
      </c>
      <c r="J2366" t="s">
        <v>2902</v>
      </c>
    </row>
    <row r="2367" spans="1:10" x14ac:dyDescent="0.25">
      <c r="A2367" t="s">
        <v>2748</v>
      </c>
      <c r="B2367" t="s">
        <v>95</v>
      </c>
      <c r="C2367">
        <v>6</v>
      </c>
      <c r="D2367" t="s">
        <v>3234</v>
      </c>
      <c r="E2367">
        <v>84</v>
      </c>
      <c r="F2367">
        <v>22</v>
      </c>
      <c r="G2367">
        <v>62</v>
      </c>
      <c r="H2367" t="s">
        <v>196</v>
      </c>
      <c r="I2367" t="s">
        <v>3490</v>
      </c>
      <c r="J2367" t="s">
        <v>2889</v>
      </c>
    </row>
    <row r="2368" spans="1:10" x14ac:dyDescent="0.25">
      <c r="A2368" t="s">
        <v>2748</v>
      </c>
      <c r="B2368" t="s">
        <v>95</v>
      </c>
      <c r="C2368">
        <v>6</v>
      </c>
      <c r="D2368" t="s">
        <v>3236</v>
      </c>
      <c r="E2368">
        <v>63</v>
      </c>
      <c r="F2368">
        <v>11</v>
      </c>
      <c r="G2368">
        <v>52</v>
      </c>
      <c r="H2368" t="s">
        <v>3489</v>
      </c>
      <c r="I2368" t="s">
        <v>3490</v>
      </c>
      <c r="J2368" t="s">
        <v>2889</v>
      </c>
    </row>
    <row r="2369" spans="1:10" x14ac:dyDescent="0.25">
      <c r="A2369" t="s">
        <v>2748</v>
      </c>
      <c r="B2369" t="s">
        <v>95</v>
      </c>
      <c r="C2369">
        <v>6</v>
      </c>
      <c r="D2369" t="s">
        <v>3238</v>
      </c>
      <c r="E2369">
        <v>81</v>
      </c>
      <c r="F2369">
        <v>19</v>
      </c>
      <c r="G2369">
        <v>62</v>
      </c>
      <c r="H2369" t="s">
        <v>196</v>
      </c>
      <c r="I2369" t="s">
        <v>3490</v>
      </c>
      <c r="J2369" t="s">
        <v>2889</v>
      </c>
    </row>
    <row r="2370" spans="1:10" x14ac:dyDescent="0.25">
      <c r="A2370" t="s">
        <v>2748</v>
      </c>
      <c r="B2370" t="s">
        <v>95</v>
      </c>
      <c r="C2370">
        <v>6</v>
      </c>
      <c r="D2370" t="s">
        <v>3240</v>
      </c>
      <c r="E2370">
        <v>56</v>
      </c>
      <c r="F2370">
        <v>22</v>
      </c>
      <c r="G2370">
        <v>34</v>
      </c>
      <c r="H2370" t="s">
        <v>3493</v>
      </c>
      <c r="I2370" t="s">
        <v>3490</v>
      </c>
      <c r="J2370" t="s">
        <v>2889</v>
      </c>
    </row>
    <row r="2371" spans="1:10" x14ac:dyDescent="0.25">
      <c r="A2371" t="s">
        <v>2748</v>
      </c>
      <c r="B2371" t="s">
        <v>95</v>
      </c>
      <c r="C2371">
        <v>6</v>
      </c>
      <c r="D2371" t="s">
        <v>3242</v>
      </c>
      <c r="E2371">
        <v>94</v>
      </c>
      <c r="F2371">
        <v>28</v>
      </c>
      <c r="G2371">
        <v>66</v>
      </c>
      <c r="H2371" t="s">
        <v>3495</v>
      </c>
      <c r="I2371" t="s">
        <v>3490</v>
      </c>
      <c r="J2371" t="s">
        <v>2889</v>
      </c>
    </row>
    <row r="2372" spans="1:10" x14ac:dyDescent="0.25">
      <c r="A2372" t="s">
        <v>2753</v>
      </c>
      <c r="B2372" t="s">
        <v>63</v>
      </c>
      <c r="C2372">
        <v>8</v>
      </c>
      <c r="D2372" t="s">
        <v>3414</v>
      </c>
      <c r="E2372">
        <v>87</v>
      </c>
      <c r="F2372">
        <v>25</v>
      </c>
      <c r="G2372">
        <v>62</v>
      </c>
      <c r="H2372" t="s">
        <v>196</v>
      </c>
      <c r="I2372" t="s">
        <v>3490</v>
      </c>
      <c r="J2372" t="s">
        <v>2932</v>
      </c>
    </row>
    <row r="2373" spans="1:10" x14ac:dyDescent="0.25">
      <c r="A2373" t="s">
        <v>2753</v>
      </c>
      <c r="B2373" t="s">
        <v>63</v>
      </c>
      <c r="C2373">
        <v>8</v>
      </c>
      <c r="D2373" t="s">
        <v>3416</v>
      </c>
      <c r="E2373">
        <v>65</v>
      </c>
      <c r="F2373">
        <v>21</v>
      </c>
      <c r="G2373">
        <v>44</v>
      </c>
      <c r="H2373" t="s">
        <v>3489</v>
      </c>
      <c r="I2373" t="s">
        <v>3490</v>
      </c>
      <c r="J2373" t="s">
        <v>2932</v>
      </c>
    </row>
    <row r="2374" spans="1:10" x14ac:dyDescent="0.25">
      <c r="A2374" t="s">
        <v>2753</v>
      </c>
      <c r="B2374" t="s">
        <v>63</v>
      </c>
      <c r="C2374">
        <v>8</v>
      </c>
      <c r="D2374" t="s">
        <v>3418</v>
      </c>
      <c r="E2374">
        <v>52</v>
      </c>
      <c r="F2374">
        <v>12</v>
      </c>
      <c r="G2374">
        <v>40</v>
      </c>
      <c r="H2374" t="s">
        <v>3493</v>
      </c>
      <c r="I2374" t="s">
        <v>3490</v>
      </c>
      <c r="J2374" t="s">
        <v>2932</v>
      </c>
    </row>
    <row r="2375" spans="1:10" x14ac:dyDescent="0.25">
      <c r="A2375" t="s">
        <v>2753</v>
      </c>
      <c r="B2375" t="s">
        <v>63</v>
      </c>
      <c r="C2375">
        <v>8</v>
      </c>
      <c r="D2375" t="s">
        <v>3420</v>
      </c>
      <c r="E2375">
        <v>88</v>
      </c>
      <c r="F2375">
        <v>18</v>
      </c>
      <c r="G2375">
        <v>70</v>
      </c>
      <c r="H2375" t="s">
        <v>196</v>
      </c>
      <c r="I2375" t="s">
        <v>3490</v>
      </c>
      <c r="J2375" t="s">
        <v>2932</v>
      </c>
    </row>
    <row r="2376" spans="1:10" x14ac:dyDescent="0.25">
      <c r="A2376" t="s">
        <v>2753</v>
      </c>
      <c r="B2376" t="s">
        <v>63</v>
      </c>
      <c r="C2376">
        <v>8</v>
      </c>
      <c r="D2376" t="s">
        <v>3422</v>
      </c>
      <c r="E2376">
        <v>47</v>
      </c>
      <c r="F2376">
        <v>25</v>
      </c>
      <c r="G2376">
        <v>22</v>
      </c>
      <c r="H2376" t="s">
        <v>3491</v>
      </c>
      <c r="I2376" t="s">
        <v>3492</v>
      </c>
      <c r="J2376" t="s">
        <v>2932</v>
      </c>
    </row>
    <row r="2377" spans="1:10" x14ac:dyDescent="0.25">
      <c r="A2377" t="s">
        <v>2758</v>
      </c>
      <c r="B2377" t="s">
        <v>63</v>
      </c>
      <c r="C2377">
        <v>8</v>
      </c>
      <c r="D2377" t="s">
        <v>3414</v>
      </c>
      <c r="E2377">
        <v>61</v>
      </c>
      <c r="F2377">
        <v>21</v>
      </c>
      <c r="G2377">
        <v>40</v>
      </c>
      <c r="H2377" t="s">
        <v>3489</v>
      </c>
      <c r="I2377" t="s">
        <v>3490</v>
      </c>
      <c r="J2377" t="s">
        <v>2932</v>
      </c>
    </row>
    <row r="2378" spans="1:10" x14ac:dyDescent="0.25">
      <c r="A2378" t="s">
        <v>2758</v>
      </c>
      <c r="B2378" t="s">
        <v>63</v>
      </c>
      <c r="C2378">
        <v>8</v>
      </c>
      <c r="D2378" t="s">
        <v>3416</v>
      </c>
      <c r="E2378">
        <v>74</v>
      </c>
      <c r="F2378">
        <v>18</v>
      </c>
      <c r="G2378">
        <v>56</v>
      </c>
      <c r="H2378" t="s">
        <v>3494</v>
      </c>
      <c r="I2378" t="s">
        <v>3490</v>
      </c>
      <c r="J2378" t="s">
        <v>2932</v>
      </c>
    </row>
    <row r="2379" spans="1:10" x14ac:dyDescent="0.25">
      <c r="A2379" t="s">
        <v>2758</v>
      </c>
      <c r="B2379" t="s">
        <v>63</v>
      </c>
      <c r="C2379">
        <v>8</v>
      </c>
      <c r="D2379" t="s">
        <v>3418</v>
      </c>
      <c r="E2379">
        <v>43</v>
      </c>
      <c r="F2379">
        <v>12</v>
      </c>
      <c r="G2379">
        <v>31</v>
      </c>
      <c r="H2379" t="s">
        <v>3491</v>
      </c>
      <c r="I2379" t="s">
        <v>3492</v>
      </c>
      <c r="J2379" t="s">
        <v>2932</v>
      </c>
    </row>
    <row r="2380" spans="1:10" x14ac:dyDescent="0.25">
      <c r="A2380" t="s">
        <v>2758</v>
      </c>
      <c r="B2380" t="s">
        <v>63</v>
      </c>
      <c r="C2380">
        <v>8</v>
      </c>
      <c r="D2380" t="s">
        <v>3420</v>
      </c>
      <c r="E2380">
        <v>92</v>
      </c>
      <c r="F2380">
        <v>30</v>
      </c>
      <c r="G2380">
        <v>62</v>
      </c>
      <c r="H2380" t="s">
        <v>3495</v>
      </c>
      <c r="I2380" t="s">
        <v>3490</v>
      </c>
      <c r="J2380" t="s">
        <v>2932</v>
      </c>
    </row>
    <row r="2381" spans="1:10" x14ac:dyDescent="0.25">
      <c r="A2381" t="s">
        <v>2758</v>
      </c>
      <c r="B2381" t="s">
        <v>63</v>
      </c>
      <c r="C2381">
        <v>8</v>
      </c>
      <c r="D2381" t="s">
        <v>3422</v>
      </c>
      <c r="E2381">
        <v>55</v>
      </c>
      <c r="F2381">
        <v>12</v>
      </c>
      <c r="G2381">
        <v>43</v>
      </c>
      <c r="H2381" t="s">
        <v>3493</v>
      </c>
      <c r="I2381" t="s">
        <v>3490</v>
      </c>
      <c r="J2381" t="s">
        <v>2932</v>
      </c>
    </row>
    <row r="2382" spans="1:10" x14ac:dyDescent="0.25">
      <c r="A2382" t="s">
        <v>2763</v>
      </c>
      <c r="B2382" t="s">
        <v>212</v>
      </c>
      <c r="C2382">
        <v>6</v>
      </c>
      <c r="D2382" t="s">
        <v>3474</v>
      </c>
      <c r="E2382">
        <v>59</v>
      </c>
      <c r="F2382">
        <v>12</v>
      </c>
      <c r="G2382">
        <v>47</v>
      </c>
      <c r="H2382" t="s">
        <v>3493</v>
      </c>
      <c r="I2382" t="s">
        <v>3490</v>
      </c>
      <c r="J2382" t="s">
        <v>3001</v>
      </c>
    </row>
    <row r="2383" spans="1:10" x14ac:dyDescent="0.25">
      <c r="A2383" t="s">
        <v>2763</v>
      </c>
      <c r="B2383" t="s">
        <v>212</v>
      </c>
      <c r="C2383">
        <v>6</v>
      </c>
      <c r="D2383" t="s">
        <v>3476</v>
      </c>
      <c r="E2383">
        <v>42</v>
      </c>
      <c r="F2383">
        <v>18</v>
      </c>
      <c r="G2383">
        <v>24</v>
      </c>
      <c r="H2383" t="s">
        <v>3491</v>
      </c>
      <c r="I2383" t="s">
        <v>3492</v>
      </c>
      <c r="J2383" t="s">
        <v>3001</v>
      </c>
    </row>
    <row r="2384" spans="1:10" x14ac:dyDescent="0.25">
      <c r="A2384" t="s">
        <v>2763</v>
      </c>
      <c r="B2384" t="s">
        <v>212</v>
      </c>
      <c r="C2384">
        <v>6</v>
      </c>
      <c r="D2384" t="s">
        <v>3478</v>
      </c>
      <c r="E2384">
        <v>68</v>
      </c>
      <c r="F2384">
        <v>12</v>
      </c>
      <c r="G2384">
        <v>56</v>
      </c>
      <c r="H2384" t="s">
        <v>3489</v>
      </c>
      <c r="I2384" t="s">
        <v>3490</v>
      </c>
      <c r="J2384" t="s">
        <v>3001</v>
      </c>
    </row>
    <row r="2385" spans="1:10" x14ac:dyDescent="0.25">
      <c r="A2385" t="s">
        <v>2763</v>
      </c>
      <c r="B2385" t="s">
        <v>212</v>
      </c>
      <c r="C2385">
        <v>6</v>
      </c>
      <c r="D2385" t="s">
        <v>3480</v>
      </c>
      <c r="E2385">
        <v>61</v>
      </c>
      <c r="F2385">
        <v>20</v>
      </c>
      <c r="G2385">
        <v>41</v>
      </c>
      <c r="H2385" t="s">
        <v>3489</v>
      </c>
      <c r="I2385" t="s">
        <v>3490</v>
      </c>
      <c r="J2385" t="s">
        <v>3001</v>
      </c>
    </row>
    <row r="2386" spans="1:10" x14ac:dyDescent="0.25">
      <c r="A2386" t="s">
        <v>2763</v>
      </c>
      <c r="B2386" t="s">
        <v>212</v>
      </c>
      <c r="C2386">
        <v>6</v>
      </c>
      <c r="D2386" t="s">
        <v>3482</v>
      </c>
      <c r="E2386">
        <v>60</v>
      </c>
      <c r="F2386">
        <v>23</v>
      </c>
      <c r="G2386">
        <v>37</v>
      </c>
      <c r="H2386" t="s">
        <v>3489</v>
      </c>
      <c r="I2386" t="s">
        <v>3490</v>
      </c>
      <c r="J2386" t="s">
        <v>3001</v>
      </c>
    </row>
    <row r="2387" spans="1:10" x14ac:dyDescent="0.25">
      <c r="A2387" t="s">
        <v>2768</v>
      </c>
      <c r="B2387" t="s">
        <v>63</v>
      </c>
      <c r="C2387">
        <v>4</v>
      </c>
      <c r="D2387" t="s">
        <v>3394</v>
      </c>
      <c r="E2387">
        <v>66</v>
      </c>
      <c r="F2387">
        <v>10</v>
      </c>
      <c r="G2387">
        <v>56</v>
      </c>
      <c r="H2387" t="s">
        <v>3489</v>
      </c>
      <c r="I2387" t="s">
        <v>3490</v>
      </c>
      <c r="J2387" t="s">
        <v>2932</v>
      </c>
    </row>
    <row r="2388" spans="1:10" x14ac:dyDescent="0.25">
      <c r="A2388" t="s">
        <v>2768</v>
      </c>
      <c r="B2388" t="s">
        <v>63</v>
      </c>
      <c r="C2388">
        <v>4</v>
      </c>
      <c r="D2388" t="s">
        <v>3396</v>
      </c>
      <c r="E2388">
        <v>68</v>
      </c>
      <c r="F2388">
        <v>12</v>
      </c>
      <c r="G2388">
        <v>56</v>
      </c>
      <c r="H2388" t="s">
        <v>3489</v>
      </c>
      <c r="I2388" t="s">
        <v>3490</v>
      </c>
      <c r="J2388" t="s">
        <v>2932</v>
      </c>
    </row>
    <row r="2389" spans="1:10" x14ac:dyDescent="0.25">
      <c r="A2389" t="s">
        <v>2768</v>
      </c>
      <c r="B2389" t="s">
        <v>63</v>
      </c>
      <c r="C2389">
        <v>4</v>
      </c>
      <c r="D2389" t="s">
        <v>3398</v>
      </c>
      <c r="E2389">
        <v>79</v>
      </c>
      <c r="F2389">
        <v>22</v>
      </c>
      <c r="G2389">
        <v>57</v>
      </c>
      <c r="H2389" t="s">
        <v>3494</v>
      </c>
      <c r="I2389" t="s">
        <v>3490</v>
      </c>
      <c r="J2389" t="s">
        <v>2932</v>
      </c>
    </row>
    <row r="2390" spans="1:10" x14ac:dyDescent="0.25">
      <c r="A2390" t="s">
        <v>2768</v>
      </c>
      <c r="B2390" t="s">
        <v>63</v>
      </c>
      <c r="C2390">
        <v>4</v>
      </c>
      <c r="D2390" t="s">
        <v>3400</v>
      </c>
      <c r="E2390">
        <v>73</v>
      </c>
      <c r="F2390">
        <v>16</v>
      </c>
      <c r="G2390">
        <v>57</v>
      </c>
      <c r="H2390" t="s">
        <v>3494</v>
      </c>
      <c r="I2390" t="s">
        <v>3490</v>
      </c>
      <c r="J2390" t="s">
        <v>2932</v>
      </c>
    </row>
    <row r="2391" spans="1:10" x14ac:dyDescent="0.25">
      <c r="A2391" t="s">
        <v>2768</v>
      </c>
      <c r="B2391" t="s">
        <v>63</v>
      </c>
      <c r="C2391">
        <v>4</v>
      </c>
      <c r="D2391" t="s">
        <v>3402</v>
      </c>
      <c r="E2391">
        <v>68</v>
      </c>
      <c r="F2391">
        <v>20</v>
      </c>
      <c r="G2391">
        <v>48</v>
      </c>
      <c r="H2391" t="s">
        <v>3489</v>
      </c>
      <c r="I2391" t="s">
        <v>3490</v>
      </c>
      <c r="J2391" t="s">
        <v>2932</v>
      </c>
    </row>
    <row r="2392" spans="1:10" x14ac:dyDescent="0.25">
      <c r="A2392" t="s">
        <v>2773</v>
      </c>
      <c r="B2392" t="s">
        <v>212</v>
      </c>
      <c r="C2392">
        <v>8</v>
      </c>
      <c r="D2392" t="s">
        <v>3474</v>
      </c>
      <c r="E2392">
        <v>78</v>
      </c>
      <c r="F2392">
        <v>27</v>
      </c>
      <c r="G2392">
        <v>51</v>
      </c>
      <c r="H2392" t="s">
        <v>3494</v>
      </c>
      <c r="I2392" t="s">
        <v>3490</v>
      </c>
      <c r="J2392" t="s">
        <v>3001</v>
      </c>
    </row>
    <row r="2393" spans="1:10" x14ac:dyDescent="0.25">
      <c r="A2393" t="s">
        <v>2773</v>
      </c>
      <c r="B2393" t="s">
        <v>212</v>
      </c>
      <c r="C2393">
        <v>8</v>
      </c>
      <c r="D2393" t="s">
        <v>3476</v>
      </c>
      <c r="E2393">
        <v>52</v>
      </c>
      <c r="F2393">
        <v>21</v>
      </c>
      <c r="G2393">
        <v>31</v>
      </c>
      <c r="H2393" t="s">
        <v>3493</v>
      </c>
      <c r="I2393" t="s">
        <v>3490</v>
      </c>
      <c r="J2393" t="s">
        <v>3001</v>
      </c>
    </row>
    <row r="2394" spans="1:10" x14ac:dyDescent="0.25">
      <c r="A2394" t="s">
        <v>2773</v>
      </c>
      <c r="B2394" t="s">
        <v>212</v>
      </c>
      <c r="C2394">
        <v>8</v>
      </c>
      <c r="D2394" t="s">
        <v>3478</v>
      </c>
      <c r="E2394">
        <v>61</v>
      </c>
      <c r="F2394">
        <v>11</v>
      </c>
      <c r="G2394">
        <v>50</v>
      </c>
      <c r="H2394" t="s">
        <v>3489</v>
      </c>
      <c r="I2394" t="s">
        <v>3490</v>
      </c>
      <c r="J2394" t="s">
        <v>3001</v>
      </c>
    </row>
    <row r="2395" spans="1:10" x14ac:dyDescent="0.25">
      <c r="A2395" t="s">
        <v>2773</v>
      </c>
      <c r="B2395" t="s">
        <v>212</v>
      </c>
      <c r="C2395">
        <v>8</v>
      </c>
      <c r="D2395" t="s">
        <v>3480</v>
      </c>
      <c r="E2395">
        <v>38</v>
      </c>
      <c r="F2395">
        <v>10</v>
      </c>
      <c r="G2395">
        <v>28</v>
      </c>
      <c r="H2395" t="s">
        <v>3491</v>
      </c>
      <c r="I2395" t="s">
        <v>3492</v>
      </c>
      <c r="J2395" t="s">
        <v>3001</v>
      </c>
    </row>
    <row r="2396" spans="1:10" x14ac:dyDescent="0.25">
      <c r="A2396" t="s">
        <v>2773</v>
      </c>
      <c r="B2396" t="s">
        <v>212</v>
      </c>
      <c r="C2396">
        <v>8</v>
      </c>
      <c r="D2396" t="s">
        <v>3482</v>
      </c>
      <c r="E2396">
        <v>46</v>
      </c>
      <c r="F2396">
        <v>10</v>
      </c>
      <c r="G2396">
        <v>36</v>
      </c>
      <c r="H2396" t="s">
        <v>3491</v>
      </c>
      <c r="I2396" t="s">
        <v>3492</v>
      </c>
      <c r="J2396" t="s">
        <v>3001</v>
      </c>
    </row>
    <row r="2397" spans="1:10" x14ac:dyDescent="0.25">
      <c r="A2397" t="s">
        <v>2778</v>
      </c>
      <c r="B2397" t="s">
        <v>122</v>
      </c>
      <c r="C2397">
        <v>8</v>
      </c>
      <c r="D2397" t="s">
        <v>3294</v>
      </c>
      <c r="E2397">
        <v>62</v>
      </c>
      <c r="F2397">
        <v>15</v>
      </c>
      <c r="G2397">
        <v>47</v>
      </c>
      <c r="H2397" t="s">
        <v>3489</v>
      </c>
      <c r="I2397" t="s">
        <v>3490</v>
      </c>
      <c r="J2397" t="s">
        <v>2919</v>
      </c>
    </row>
    <row r="2398" spans="1:10" x14ac:dyDescent="0.25">
      <c r="A2398" t="s">
        <v>2778</v>
      </c>
      <c r="B2398" t="s">
        <v>122</v>
      </c>
      <c r="C2398">
        <v>8</v>
      </c>
      <c r="D2398" t="s">
        <v>3296</v>
      </c>
      <c r="E2398">
        <v>77</v>
      </c>
      <c r="F2398">
        <v>15</v>
      </c>
      <c r="G2398">
        <v>62</v>
      </c>
      <c r="H2398" t="s">
        <v>3494</v>
      </c>
      <c r="I2398" t="s">
        <v>3490</v>
      </c>
      <c r="J2398" t="s">
        <v>2919</v>
      </c>
    </row>
    <row r="2399" spans="1:10" x14ac:dyDescent="0.25">
      <c r="A2399" t="s">
        <v>2778</v>
      </c>
      <c r="B2399" t="s">
        <v>122</v>
      </c>
      <c r="C2399">
        <v>8</v>
      </c>
      <c r="D2399" t="s">
        <v>3298</v>
      </c>
      <c r="E2399">
        <v>34</v>
      </c>
      <c r="F2399">
        <v>10</v>
      </c>
      <c r="G2399">
        <v>24</v>
      </c>
      <c r="H2399" t="s">
        <v>3491</v>
      </c>
      <c r="I2399" t="s">
        <v>3492</v>
      </c>
      <c r="J2399" t="s">
        <v>2919</v>
      </c>
    </row>
    <row r="2400" spans="1:10" x14ac:dyDescent="0.25">
      <c r="A2400" t="s">
        <v>2778</v>
      </c>
      <c r="B2400" t="s">
        <v>122</v>
      </c>
      <c r="C2400">
        <v>8</v>
      </c>
      <c r="D2400" t="s">
        <v>3300</v>
      </c>
      <c r="E2400">
        <v>90</v>
      </c>
      <c r="F2400">
        <v>29</v>
      </c>
      <c r="G2400">
        <v>61</v>
      </c>
      <c r="H2400" t="s">
        <v>3495</v>
      </c>
      <c r="I2400" t="s">
        <v>3490</v>
      </c>
      <c r="J2400" t="s">
        <v>2919</v>
      </c>
    </row>
    <row r="2401" spans="1:10" x14ac:dyDescent="0.25">
      <c r="A2401" t="s">
        <v>2778</v>
      </c>
      <c r="B2401" t="s">
        <v>122</v>
      </c>
      <c r="C2401">
        <v>8</v>
      </c>
      <c r="D2401" t="s">
        <v>3302</v>
      </c>
      <c r="E2401">
        <v>51</v>
      </c>
      <c r="F2401">
        <v>25</v>
      </c>
      <c r="G2401">
        <v>26</v>
      </c>
      <c r="H2401" t="s">
        <v>3493</v>
      </c>
      <c r="I2401" t="s">
        <v>3490</v>
      </c>
      <c r="J2401" t="s">
        <v>2919</v>
      </c>
    </row>
    <row r="2402" spans="1:10" x14ac:dyDescent="0.25">
      <c r="A2402" t="s">
        <v>2783</v>
      </c>
      <c r="B2402" t="s">
        <v>122</v>
      </c>
      <c r="C2402">
        <v>8</v>
      </c>
      <c r="D2402" t="s">
        <v>3294</v>
      </c>
      <c r="E2402">
        <v>80</v>
      </c>
      <c r="F2402">
        <v>14</v>
      </c>
      <c r="G2402">
        <v>66</v>
      </c>
      <c r="H2402" t="s">
        <v>196</v>
      </c>
      <c r="I2402" t="s">
        <v>3490</v>
      </c>
      <c r="J2402" t="s">
        <v>2919</v>
      </c>
    </row>
    <row r="2403" spans="1:10" x14ac:dyDescent="0.25">
      <c r="A2403" t="s">
        <v>2783</v>
      </c>
      <c r="B2403" t="s">
        <v>122</v>
      </c>
      <c r="C2403">
        <v>8</v>
      </c>
      <c r="D2403" t="s">
        <v>3296</v>
      </c>
      <c r="E2403">
        <v>41</v>
      </c>
      <c r="F2403">
        <v>12</v>
      </c>
      <c r="G2403">
        <v>29</v>
      </c>
      <c r="H2403" t="s">
        <v>3491</v>
      </c>
      <c r="I2403" t="s">
        <v>3492</v>
      </c>
      <c r="J2403" t="s">
        <v>2919</v>
      </c>
    </row>
    <row r="2404" spans="1:10" x14ac:dyDescent="0.25">
      <c r="A2404" t="s">
        <v>2783</v>
      </c>
      <c r="B2404" t="s">
        <v>122</v>
      </c>
      <c r="C2404">
        <v>8</v>
      </c>
      <c r="D2404" t="s">
        <v>3298</v>
      </c>
      <c r="E2404">
        <v>43</v>
      </c>
      <c r="F2404">
        <v>19</v>
      </c>
      <c r="G2404">
        <v>24</v>
      </c>
      <c r="H2404" t="s">
        <v>3491</v>
      </c>
      <c r="I2404" t="s">
        <v>3492</v>
      </c>
      <c r="J2404" t="s">
        <v>2919</v>
      </c>
    </row>
    <row r="2405" spans="1:10" x14ac:dyDescent="0.25">
      <c r="A2405" t="s">
        <v>2783</v>
      </c>
      <c r="B2405" t="s">
        <v>122</v>
      </c>
      <c r="C2405">
        <v>8</v>
      </c>
      <c r="D2405" t="s">
        <v>3300</v>
      </c>
      <c r="E2405">
        <v>72</v>
      </c>
      <c r="F2405">
        <v>16</v>
      </c>
      <c r="G2405">
        <v>56</v>
      </c>
      <c r="H2405" t="s">
        <v>3494</v>
      </c>
      <c r="I2405" t="s">
        <v>3490</v>
      </c>
      <c r="J2405" t="s">
        <v>2919</v>
      </c>
    </row>
    <row r="2406" spans="1:10" x14ac:dyDescent="0.25">
      <c r="A2406" t="s">
        <v>2783</v>
      </c>
      <c r="B2406" t="s">
        <v>122</v>
      </c>
      <c r="C2406">
        <v>8</v>
      </c>
      <c r="D2406" t="s">
        <v>3302</v>
      </c>
      <c r="E2406">
        <v>85</v>
      </c>
      <c r="F2406">
        <v>17</v>
      </c>
      <c r="G2406">
        <v>68</v>
      </c>
      <c r="H2406" t="s">
        <v>196</v>
      </c>
      <c r="I2406" t="s">
        <v>3490</v>
      </c>
      <c r="J2406" t="s">
        <v>2919</v>
      </c>
    </row>
    <row r="2407" spans="1:10" x14ac:dyDescent="0.25">
      <c r="A2407" t="s">
        <v>2788</v>
      </c>
      <c r="B2407" t="s">
        <v>105</v>
      </c>
      <c r="C2407">
        <v>4</v>
      </c>
      <c r="D2407" t="s">
        <v>3154</v>
      </c>
      <c r="E2407">
        <v>82</v>
      </c>
      <c r="F2407">
        <v>23</v>
      </c>
      <c r="G2407">
        <v>59</v>
      </c>
      <c r="H2407" t="s">
        <v>196</v>
      </c>
      <c r="I2407" t="s">
        <v>3490</v>
      </c>
      <c r="J2407" t="s">
        <v>2908</v>
      </c>
    </row>
    <row r="2408" spans="1:10" x14ac:dyDescent="0.25">
      <c r="A2408" t="s">
        <v>2788</v>
      </c>
      <c r="B2408" t="s">
        <v>105</v>
      </c>
      <c r="C2408">
        <v>4</v>
      </c>
      <c r="D2408" t="s">
        <v>3156</v>
      </c>
      <c r="E2408">
        <v>71</v>
      </c>
      <c r="F2408">
        <v>22</v>
      </c>
      <c r="G2408">
        <v>49</v>
      </c>
      <c r="H2408" t="s">
        <v>3494</v>
      </c>
      <c r="I2408" t="s">
        <v>3490</v>
      </c>
      <c r="J2408" t="s">
        <v>2908</v>
      </c>
    </row>
    <row r="2409" spans="1:10" x14ac:dyDescent="0.25">
      <c r="A2409" t="s">
        <v>2788</v>
      </c>
      <c r="B2409" t="s">
        <v>105</v>
      </c>
      <c r="C2409">
        <v>4</v>
      </c>
      <c r="D2409" t="s">
        <v>3158</v>
      </c>
      <c r="E2409">
        <v>83</v>
      </c>
      <c r="F2409">
        <v>27</v>
      </c>
      <c r="G2409">
        <v>56</v>
      </c>
      <c r="H2409" t="s">
        <v>196</v>
      </c>
      <c r="I2409" t="s">
        <v>3490</v>
      </c>
      <c r="J2409" t="s">
        <v>2908</v>
      </c>
    </row>
    <row r="2410" spans="1:10" x14ac:dyDescent="0.25">
      <c r="A2410" t="s">
        <v>2788</v>
      </c>
      <c r="B2410" t="s">
        <v>105</v>
      </c>
      <c r="C2410">
        <v>4</v>
      </c>
      <c r="D2410" t="s">
        <v>3160</v>
      </c>
      <c r="E2410">
        <v>79</v>
      </c>
      <c r="F2410">
        <v>30</v>
      </c>
      <c r="G2410">
        <v>49</v>
      </c>
      <c r="H2410" t="s">
        <v>3494</v>
      </c>
      <c r="I2410" t="s">
        <v>3490</v>
      </c>
      <c r="J2410" t="s">
        <v>2908</v>
      </c>
    </row>
    <row r="2411" spans="1:10" x14ac:dyDescent="0.25">
      <c r="A2411" t="s">
        <v>2788</v>
      </c>
      <c r="B2411" t="s">
        <v>105</v>
      </c>
      <c r="C2411">
        <v>4</v>
      </c>
      <c r="D2411" t="s">
        <v>3162</v>
      </c>
      <c r="E2411">
        <v>44</v>
      </c>
      <c r="F2411">
        <v>22</v>
      </c>
      <c r="G2411">
        <v>22</v>
      </c>
      <c r="H2411" t="s">
        <v>3491</v>
      </c>
      <c r="I2411" t="s">
        <v>3492</v>
      </c>
      <c r="J2411" t="s">
        <v>2908</v>
      </c>
    </row>
    <row r="2412" spans="1:10" x14ac:dyDescent="0.25">
      <c r="A2412" t="s">
        <v>2793</v>
      </c>
      <c r="B2412" t="s">
        <v>105</v>
      </c>
      <c r="C2412">
        <v>4</v>
      </c>
      <c r="D2412" t="s">
        <v>3154</v>
      </c>
      <c r="E2412">
        <v>81</v>
      </c>
      <c r="F2412">
        <v>28</v>
      </c>
      <c r="G2412">
        <v>53</v>
      </c>
      <c r="H2412" t="s">
        <v>196</v>
      </c>
      <c r="I2412" t="s">
        <v>3490</v>
      </c>
      <c r="J2412" t="s">
        <v>2908</v>
      </c>
    </row>
    <row r="2413" spans="1:10" x14ac:dyDescent="0.25">
      <c r="A2413" t="s">
        <v>2793</v>
      </c>
      <c r="B2413" t="s">
        <v>105</v>
      </c>
      <c r="C2413">
        <v>4</v>
      </c>
      <c r="D2413" t="s">
        <v>3156</v>
      </c>
      <c r="E2413">
        <v>58</v>
      </c>
      <c r="F2413">
        <v>25</v>
      </c>
      <c r="G2413">
        <v>33</v>
      </c>
      <c r="H2413" t="s">
        <v>3493</v>
      </c>
      <c r="I2413" t="s">
        <v>3490</v>
      </c>
      <c r="J2413" t="s">
        <v>2908</v>
      </c>
    </row>
    <row r="2414" spans="1:10" x14ac:dyDescent="0.25">
      <c r="A2414" t="s">
        <v>2793</v>
      </c>
      <c r="B2414" t="s">
        <v>105</v>
      </c>
      <c r="C2414">
        <v>4</v>
      </c>
      <c r="D2414" t="s">
        <v>3158</v>
      </c>
      <c r="E2414">
        <v>42</v>
      </c>
      <c r="F2414">
        <v>12</v>
      </c>
      <c r="G2414">
        <v>30</v>
      </c>
      <c r="H2414" t="s">
        <v>3491</v>
      </c>
      <c r="I2414" t="s">
        <v>3492</v>
      </c>
      <c r="J2414" t="s">
        <v>2908</v>
      </c>
    </row>
    <row r="2415" spans="1:10" x14ac:dyDescent="0.25">
      <c r="A2415" t="s">
        <v>2793</v>
      </c>
      <c r="B2415" t="s">
        <v>105</v>
      </c>
      <c r="C2415">
        <v>4</v>
      </c>
      <c r="D2415" t="s">
        <v>3160</v>
      </c>
      <c r="E2415">
        <v>74</v>
      </c>
      <c r="F2415">
        <v>23</v>
      </c>
      <c r="G2415">
        <v>51</v>
      </c>
      <c r="H2415" t="s">
        <v>3494</v>
      </c>
      <c r="I2415" t="s">
        <v>3490</v>
      </c>
      <c r="J2415" t="s">
        <v>2908</v>
      </c>
    </row>
    <row r="2416" spans="1:10" x14ac:dyDescent="0.25">
      <c r="A2416" t="s">
        <v>2793</v>
      </c>
      <c r="B2416" t="s">
        <v>105</v>
      </c>
      <c r="C2416">
        <v>4</v>
      </c>
      <c r="D2416" t="s">
        <v>3162</v>
      </c>
      <c r="E2416">
        <v>59</v>
      </c>
      <c r="F2416">
        <v>25</v>
      </c>
      <c r="G2416">
        <v>34</v>
      </c>
      <c r="H2416" t="s">
        <v>3493</v>
      </c>
      <c r="I2416" t="s">
        <v>3490</v>
      </c>
      <c r="J2416" t="s">
        <v>2908</v>
      </c>
    </row>
    <row r="2417" spans="1:10" x14ac:dyDescent="0.25">
      <c r="A2417" t="s">
        <v>2798</v>
      </c>
      <c r="B2417" t="s">
        <v>63</v>
      </c>
      <c r="C2417">
        <v>4</v>
      </c>
      <c r="D2417" t="s">
        <v>3394</v>
      </c>
      <c r="E2417">
        <v>70</v>
      </c>
      <c r="F2417">
        <v>12</v>
      </c>
      <c r="G2417">
        <v>58</v>
      </c>
      <c r="H2417" t="s">
        <v>3494</v>
      </c>
      <c r="I2417" t="s">
        <v>3490</v>
      </c>
      <c r="J2417" t="s">
        <v>2932</v>
      </c>
    </row>
    <row r="2418" spans="1:10" x14ac:dyDescent="0.25">
      <c r="A2418" t="s">
        <v>2798</v>
      </c>
      <c r="B2418" t="s">
        <v>63</v>
      </c>
      <c r="C2418">
        <v>4</v>
      </c>
      <c r="D2418" t="s">
        <v>3396</v>
      </c>
      <c r="E2418">
        <v>43</v>
      </c>
      <c r="F2418">
        <v>15</v>
      </c>
      <c r="G2418">
        <v>28</v>
      </c>
      <c r="H2418" t="s">
        <v>3491</v>
      </c>
      <c r="I2418" t="s">
        <v>3492</v>
      </c>
      <c r="J2418" t="s">
        <v>2932</v>
      </c>
    </row>
    <row r="2419" spans="1:10" x14ac:dyDescent="0.25">
      <c r="A2419" t="s">
        <v>2798</v>
      </c>
      <c r="B2419" t="s">
        <v>63</v>
      </c>
      <c r="C2419">
        <v>4</v>
      </c>
      <c r="D2419" t="s">
        <v>3398</v>
      </c>
      <c r="E2419">
        <v>85</v>
      </c>
      <c r="F2419">
        <v>24</v>
      </c>
      <c r="G2419">
        <v>61</v>
      </c>
      <c r="H2419" t="s">
        <v>196</v>
      </c>
      <c r="I2419" t="s">
        <v>3490</v>
      </c>
      <c r="J2419" t="s">
        <v>2932</v>
      </c>
    </row>
    <row r="2420" spans="1:10" x14ac:dyDescent="0.25">
      <c r="A2420" t="s">
        <v>2798</v>
      </c>
      <c r="B2420" t="s">
        <v>63</v>
      </c>
      <c r="C2420">
        <v>4</v>
      </c>
      <c r="D2420" t="s">
        <v>3400</v>
      </c>
      <c r="E2420">
        <v>85</v>
      </c>
      <c r="F2420">
        <v>22</v>
      </c>
      <c r="G2420">
        <v>63</v>
      </c>
      <c r="H2420" t="s">
        <v>196</v>
      </c>
      <c r="I2420" t="s">
        <v>3490</v>
      </c>
      <c r="J2420" t="s">
        <v>2932</v>
      </c>
    </row>
    <row r="2421" spans="1:10" x14ac:dyDescent="0.25">
      <c r="A2421" t="s">
        <v>2798</v>
      </c>
      <c r="B2421" t="s">
        <v>63</v>
      </c>
      <c r="C2421">
        <v>4</v>
      </c>
      <c r="D2421" t="s">
        <v>3402</v>
      </c>
      <c r="E2421">
        <v>59</v>
      </c>
      <c r="F2421">
        <v>10</v>
      </c>
      <c r="G2421">
        <v>49</v>
      </c>
      <c r="H2421" t="s">
        <v>3493</v>
      </c>
      <c r="I2421" t="s">
        <v>3490</v>
      </c>
      <c r="J2421" t="s">
        <v>2932</v>
      </c>
    </row>
    <row r="2422" spans="1:10" x14ac:dyDescent="0.25">
      <c r="A2422" t="s">
        <v>2803</v>
      </c>
      <c r="B2422" t="s">
        <v>105</v>
      </c>
      <c r="C2422">
        <v>6</v>
      </c>
      <c r="D2422" t="s">
        <v>3174</v>
      </c>
      <c r="E2422">
        <v>84</v>
      </c>
      <c r="F2422">
        <v>20</v>
      </c>
      <c r="G2422">
        <v>64</v>
      </c>
      <c r="H2422" t="s">
        <v>196</v>
      </c>
      <c r="I2422" t="s">
        <v>3490</v>
      </c>
      <c r="J2422" t="s">
        <v>2908</v>
      </c>
    </row>
    <row r="2423" spans="1:10" x14ac:dyDescent="0.25">
      <c r="A2423" t="s">
        <v>2803</v>
      </c>
      <c r="B2423" t="s">
        <v>105</v>
      </c>
      <c r="C2423">
        <v>6</v>
      </c>
      <c r="D2423" t="s">
        <v>3176</v>
      </c>
      <c r="E2423">
        <v>81</v>
      </c>
      <c r="F2423">
        <v>28</v>
      </c>
      <c r="G2423">
        <v>53</v>
      </c>
      <c r="H2423" t="s">
        <v>196</v>
      </c>
      <c r="I2423" t="s">
        <v>3490</v>
      </c>
      <c r="J2423" t="s">
        <v>2908</v>
      </c>
    </row>
    <row r="2424" spans="1:10" x14ac:dyDescent="0.25">
      <c r="A2424" t="s">
        <v>2803</v>
      </c>
      <c r="B2424" t="s">
        <v>105</v>
      </c>
      <c r="C2424">
        <v>6</v>
      </c>
      <c r="D2424" t="s">
        <v>3178</v>
      </c>
      <c r="E2424">
        <v>86</v>
      </c>
      <c r="F2424">
        <v>27</v>
      </c>
      <c r="G2424">
        <v>59</v>
      </c>
      <c r="H2424" t="s">
        <v>196</v>
      </c>
      <c r="I2424" t="s">
        <v>3490</v>
      </c>
      <c r="J2424" t="s">
        <v>2908</v>
      </c>
    </row>
    <row r="2425" spans="1:10" x14ac:dyDescent="0.25">
      <c r="A2425" t="s">
        <v>2803</v>
      </c>
      <c r="B2425" t="s">
        <v>105</v>
      </c>
      <c r="C2425">
        <v>6</v>
      </c>
      <c r="D2425" t="s">
        <v>3180</v>
      </c>
      <c r="E2425">
        <v>86</v>
      </c>
      <c r="F2425">
        <v>25</v>
      </c>
      <c r="G2425">
        <v>61</v>
      </c>
      <c r="H2425" t="s">
        <v>196</v>
      </c>
      <c r="I2425" t="s">
        <v>3490</v>
      </c>
      <c r="J2425" t="s">
        <v>2908</v>
      </c>
    </row>
    <row r="2426" spans="1:10" x14ac:dyDescent="0.25">
      <c r="A2426" t="s">
        <v>2803</v>
      </c>
      <c r="B2426" t="s">
        <v>105</v>
      </c>
      <c r="C2426">
        <v>6</v>
      </c>
      <c r="D2426" t="s">
        <v>3182</v>
      </c>
      <c r="E2426">
        <v>73</v>
      </c>
      <c r="F2426">
        <v>27</v>
      </c>
      <c r="G2426">
        <v>46</v>
      </c>
      <c r="H2426" t="s">
        <v>3494</v>
      </c>
      <c r="I2426" t="s">
        <v>3490</v>
      </c>
      <c r="J2426" t="s">
        <v>2908</v>
      </c>
    </row>
    <row r="2427" spans="1:10" x14ac:dyDescent="0.25">
      <c r="A2427" t="s">
        <v>2808</v>
      </c>
      <c r="B2427" t="s">
        <v>30</v>
      </c>
      <c r="C2427">
        <v>4</v>
      </c>
      <c r="D2427" t="s">
        <v>3334</v>
      </c>
      <c r="E2427">
        <v>56</v>
      </c>
      <c r="F2427">
        <v>21</v>
      </c>
      <c r="G2427">
        <v>35</v>
      </c>
      <c r="H2427" t="s">
        <v>3493</v>
      </c>
      <c r="I2427" t="s">
        <v>3490</v>
      </c>
      <c r="J2427" t="s">
        <v>2895</v>
      </c>
    </row>
    <row r="2428" spans="1:10" x14ac:dyDescent="0.25">
      <c r="A2428" t="s">
        <v>2808</v>
      </c>
      <c r="B2428" t="s">
        <v>30</v>
      </c>
      <c r="C2428">
        <v>4</v>
      </c>
      <c r="D2428" t="s">
        <v>3336</v>
      </c>
      <c r="E2428">
        <v>63</v>
      </c>
      <c r="F2428">
        <v>30</v>
      </c>
      <c r="G2428">
        <v>33</v>
      </c>
      <c r="H2428" t="s">
        <v>3489</v>
      </c>
      <c r="I2428" t="s">
        <v>3490</v>
      </c>
      <c r="J2428" t="s">
        <v>2895</v>
      </c>
    </row>
    <row r="2429" spans="1:10" x14ac:dyDescent="0.25">
      <c r="A2429" t="s">
        <v>2808</v>
      </c>
      <c r="B2429" t="s">
        <v>30</v>
      </c>
      <c r="C2429">
        <v>4</v>
      </c>
      <c r="D2429" t="s">
        <v>3338</v>
      </c>
      <c r="E2429">
        <v>93</v>
      </c>
      <c r="F2429">
        <v>30</v>
      </c>
      <c r="G2429">
        <v>63</v>
      </c>
      <c r="H2429" t="s">
        <v>3495</v>
      </c>
      <c r="I2429" t="s">
        <v>3490</v>
      </c>
      <c r="J2429" t="s">
        <v>2895</v>
      </c>
    </row>
    <row r="2430" spans="1:10" x14ac:dyDescent="0.25">
      <c r="A2430" t="s">
        <v>2808</v>
      </c>
      <c r="B2430" t="s">
        <v>30</v>
      </c>
      <c r="C2430">
        <v>4</v>
      </c>
      <c r="D2430" t="s">
        <v>3340</v>
      </c>
      <c r="E2430">
        <v>92</v>
      </c>
      <c r="F2430">
        <v>28</v>
      </c>
      <c r="G2430">
        <v>64</v>
      </c>
      <c r="H2430" t="s">
        <v>3495</v>
      </c>
      <c r="I2430" t="s">
        <v>3490</v>
      </c>
      <c r="J2430" t="s">
        <v>2895</v>
      </c>
    </row>
    <row r="2431" spans="1:10" x14ac:dyDescent="0.25">
      <c r="A2431" t="s">
        <v>2808</v>
      </c>
      <c r="B2431" t="s">
        <v>30</v>
      </c>
      <c r="C2431">
        <v>4</v>
      </c>
      <c r="D2431" t="s">
        <v>3342</v>
      </c>
      <c r="E2431">
        <v>51</v>
      </c>
      <c r="F2431">
        <v>19</v>
      </c>
      <c r="G2431">
        <v>32</v>
      </c>
      <c r="H2431" t="s">
        <v>3493</v>
      </c>
      <c r="I2431" t="s">
        <v>3490</v>
      </c>
      <c r="J2431" t="s">
        <v>2895</v>
      </c>
    </row>
    <row r="2432" spans="1:10" x14ac:dyDescent="0.25">
      <c r="A2432" t="s">
        <v>2813</v>
      </c>
      <c r="B2432" t="s">
        <v>159</v>
      </c>
      <c r="C2432">
        <v>4</v>
      </c>
      <c r="D2432" t="s">
        <v>3094</v>
      </c>
      <c r="E2432">
        <v>71</v>
      </c>
      <c r="F2432">
        <v>13</v>
      </c>
      <c r="G2432">
        <v>58</v>
      </c>
      <c r="H2432" t="s">
        <v>3494</v>
      </c>
      <c r="I2432" t="s">
        <v>3490</v>
      </c>
      <c r="J2432" t="s">
        <v>2902</v>
      </c>
    </row>
    <row r="2433" spans="1:10" x14ac:dyDescent="0.25">
      <c r="A2433" t="s">
        <v>2813</v>
      </c>
      <c r="B2433" t="s">
        <v>159</v>
      </c>
      <c r="C2433">
        <v>4</v>
      </c>
      <c r="D2433" t="s">
        <v>3096</v>
      </c>
      <c r="E2433">
        <v>72</v>
      </c>
      <c r="F2433">
        <v>12</v>
      </c>
      <c r="G2433">
        <v>60</v>
      </c>
      <c r="H2433" t="s">
        <v>3494</v>
      </c>
      <c r="I2433" t="s">
        <v>3490</v>
      </c>
      <c r="J2433" t="s">
        <v>2902</v>
      </c>
    </row>
    <row r="2434" spans="1:10" x14ac:dyDescent="0.25">
      <c r="A2434" t="s">
        <v>2813</v>
      </c>
      <c r="B2434" t="s">
        <v>159</v>
      </c>
      <c r="C2434">
        <v>4</v>
      </c>
      <c r="D2434" t="s">
        <v>3098</v>
      </c>
      <c r="E2434">
        <v>63</v>
      </c>
      <c r="F2434">
        <v>22</v>
      </c>
      <c r="G2434">
        <v>41</v>
      </c>
      <c r="H2434" t="s">
        <v>3489</v>
      </c>
      <c r="I2434" t="s">
        <v>3490</v>
      </c>
      <c r="J2434" t="s">
        <v>2902</v>
      </c>
    </row>
    <row r="2435" spans="1:10" x14ac:dyDescent="0.25">
      <c r="A2435" t="s">
        <v>2813</v>
      </c>
      <c r="B2435" t="s">
        <v>159</v>
      </c>
      <c r="C2435">
        <v>4</v>
      </c>
      <c r="D2435" t="s">
        <v>3100</v>
      </c>
      <c r="E2435">
        <v>51</v>
      </c>
      <c r="F2435">
        <v>19</v>
      </c>
      <c r="G2435">
        <v>32</v>
      </c>
      <c r="H2435" t="s">
        <v>3493</v>
      </c>
      <c r="I2435" t="s">
        <v>3490</v>
      </c>
      <c r="J2435" t="s">
        <v>2902</v>
      </c>
    </row>
    <row r="2436" spans="1:10" x14ac:dyDescent="0.25">
      <c r="A2436" t="s">
        <v>2813</v>
      </c>
      <c r="B2436" t="s">
        <v>159</v>
      </c>
      <c r="C2436">
        <v>4</v>
      </c>
      <c r="D2436" t="s">
        <v>3102</v>
      </c>
      <c r="E2436">
        <v>62</v>
      </c>
      <c r="F2436">
        <v>10</v>
      </c>
      <c r="G2436">
        <v>52</v>
      </c>
      <c r="H2436" t="s">
        <v>3489</v>
      </c>
      <c r="I2436" t="s">
        <v>3490</v>
      </c>
      <c r="J2436" t="s">
        <v>2902</v>
      </c>
    </row>
    <row r="2437" spans="1:10" x14ac:dyDescent="0.25">
      <c r="A2437" t="s">
        <v>2817</v>
      </c>
      <c r="B2437" t="s">
        <v>63</v>
      </c>
      <c r="C2437">
        <v>8</v>
      </c>
      <c r="D2437" t="s">
        <v>3414</v>
      </c>
      <c r="E2437">
        <v>88</v>
      </c>
      <c r="F2437">
        <v>28</v>
      </c>
      <c r="G2437">
        <v>60</v>
      </c>
      <c r="H2437" t="s">
        <v>196</v>
      </c>
      <c r="I2437" t="s">
        <v>3490</v>
      </c>
      <c r="J2437" t="s">
        <v>2932</v>
      </c>
    </row>
    <row r="2438" spans="1:10" x14ac:dyDescent="0.25">
      <c r="A2438" t="s">
        <v>2817</v>
      </c>
      <c r="B2438" t="s">
        <v>63</v>
      </c>
      <c r="C2438">
        <v>8</v>
      </c>
      <c r="D2438" t="s">
        <v>3416</v>
      </c>
      <c r="E2438">
        <v>51</v>
      </c>
      <c r="F2438">
        <v>20</v>
      </c>
      <c r="G2438">
        <v>31</v>
      </c>
      <c r="H2438" t="s">
        <v>3493</v>
      </c>
      <c r="I2438" t="s">
        <v>3490</v>
      </c>
      <c r="J2438" t="s">
        <v>2932</v>
      </c>
    </row>
    <row r="2439" spans="1:10" x14ac:dyDescent="0.25">
      <c r="A2439" t="s">
        <v>2817</v>
      </c>
      <c r="B2439" t="s">
        <v>63</v>
      </c>
      <c r="C2439">
        <v>8</v>
      </c>
      <c r="D2439" t="s">
        <v>3418</v>
      </c>
      <c r="E2439">
        <v>44</v>
      </c>
      <c r="F2439">
        <v>17</v>
      </c>
      <c r="G2439">
        <v>27</v>
      </c>
      <c r="H2439" t="s">
        <v>3491</v>
      </c>
      <c r="I2439" t="s">
        <v>3492</v>
      </c>
      <c r="J2439" t="s">
        <v>2932</v>
      </c>
    </row>
    <row r="2440" spans="1:10" x14ac:dyDescent="0.25">
      <c r="A2440" t="s">
        <v>2817</v>
      </c>
      <c r="B2440" t="s">
        <v>63</v>
      </c>
      <c r="C2440">
        <v>8</v>
      </c>
      <c r="D2440" t="s">
        <v>3420</v>
      </c>
      <c r="E2440">
        <v>36</v>
      </c>
      <c r="F2440">
        <v>14</v>
      </c>
      <c r="G2440">
        <v>22</v>
      </c>
      <c r="H2440" t="s">
        <v>3491</v>
      </c>
      <c r="I2440" t="s">
        <v>3492</v>
      </c>
      <c r="J2440" t="s">
        <v>2932</v>
      </c>
    </row>
    <row r="2441" spans="1:10" x14ac:dyDescent="0.25">
      <c r="A2441" t="s">
        <v>2817</v>
      </c>
      <c r="B2441" t="s">
        <v>63</v>
      </c>
      <c r="C2441">
        <v>8</v>
      </c>
      <c r="D2441" t="s">
        <v>3422</v>
      </c>
      <c r="E2441">
        <v>42</v>
      </c>
      <c r="F2441">
        <v>15</v>
      </c>
      <c r="G2441">
        <v>27</v>
      </c>
      <c r="H2441" t="s">
        <v>3491</v>
      </c>
      <c r="I2441" t="s">
        <v>3492</v>
      </c>
      <c r="J2441" t="s">
        <v>2932</v>
      </c>
    </row>
    <row r="2442" spans="1:10" x14ac:dyDescent="0.25">
      <c r="A2442" t="s">
        <v>2823</v>
      </c>
      <c r="B2442" t="s">
        <v>75</v>
      </c>
      <c r="C2442">
        <v>6</v>
      </c>
      <c r="D2442" t="s">
        <v>3054</v>
      </c>
      <c r="E2442">
        <v>52</v>
      </c>
      <c r="F2442">
        <v>28</v>
      </c>
      <c r="G2442">
        <v>24</v>
      </c>
      <c r="H2442" t="s">
        <v>3493</v>
      </c>
      <c r="I2442" t="s">
        <v>3490</v>
      </c>
      <c r="J2442" t="s">
        <v>2961</v>
      </c>
    </row>
    <row r="2443" spans="1:10" x14ac:dyDescent="0.25">
      <c r="A2443" t="s">
        <v>2823</v>
      </c>
      <c r="B2443" t="s">
        <v>75</v>
      </c>
      <c r="C2443">
        <v>6</v>
      </c>
      <c r="D2443" t="s">
        <v>3056</v>
      </c>
      <c r="E2443">
        <v>42</v>
      </c>
      <c r="F2443">
        <v>21</v>
      </c>
      <c r="G2443">
        <v>21</v>
      </c>
      <c r="H2443" t="s">
        <v>3491</v>
      </c>
      <c r="I2443" t="s">
        <v>3492</v>
      </c>
      <c r="J2443" t="s">
        <v>2961</v>
      </c>
    </row>
    <row r="2444" spans="1:10" x14ac:dyDescent="0.25">
      <c r="A2444" t="s">
        <v>2823</v>
      </c>
      <c r="B2444" t="s">
        <v>75</v>
      </c>
      <c r="C2444">
        <v>6</v>
      </c>
      <c r="D2444" t="s">
        <v>3058</v>
      </c>
      <c r="E2444">
        <v>72</v>
      </c>
      <c r="F2444">
        <v>21</v>
      </c>
      <c r="G2444">
        <v>51</v>
      </c>
      <c r="H2444" t="s">
        <v>3494</v>
      </c>
      <c r="I2444" t="s">
        <v>3490</v>
      </c>
      <c r="J2444" t="s">
        <v>2961</v>
      </c>
    </row>
    <row r="2445" spans="1:10" x14ac:dyDescent="0.25">
      <c r="A2445" t="s">
        <v>2823</v>
      </c>
      <c r="B2445" t="s">
        <v>75</v>
      </c>
      <c r="C2445">
        <v>6</v>
      </c>
      <c r="D2445" t="s">
        <v>3060</v>
      </c>
      <c r="E2445">
        <v>59</v>
      </c>
      <c r="F2445">
        <v>22</v>
      </c>
      <c r="G2445">
        <v>37</v>
      </c>
      <c r="H2445" t="s">
        <v>3493</v>
      </c>
      <c r="I2445" t="s">
        <v>3490</v>
      </c>
      <c r="J2445" t="s">
        <v>2961</v>
      </c>
    </row>
    <row r="2446" spans="1:10" x14ac:dyDescent="0.25">
      <c r="A2446" t="s">
        <v>2823</v>
      </c>
      <c r="B2446" t="s">
        <v>75</v>
      </c>
      <c r="C2446">
        <v>6</v>
      </c>
      <c r="D2446" t="s">
        <v>3062</v>
      </c>
      <c r="E2446">
        <v>75</v>
      </c>
      <c r="F2446">
        <v>19</v>
      </c>
      <c r="G2446">
        <v>56</v>
      </c>
      <c r="H2446" t="s">
        <v>3494</v>
      </c>
      <c r="I2446" t="s">
        <v>3490</v>
      </c>
      <c r="J2446" t="s">
        <v>2961</v>
      </c>
    </row>
    <row r="2447" spans="1:10" x14ac:dyDescent="0.25">
      <c r="A2447" t="s">
        <v>2828</v>
      </c>
      <c r="B2447" t="s">
        <v>212</v>
      </c>
      <c r="C2447">
        <v>4</v>
      </c>
      <c r="D2447" t="s">
        <v>3454</v>
      </c>
      <c r="E2447">
        <v>79</v>
      </c>
      <c r="F2447">
        <v>30</v>
      </c>
      <c r="G2447">
        <v>49</v>
      </c>
      <c r="H2447" t="s">
        <v>3494</v>
      </c>
      <c r="I2447" t="s">
        <v>3490</v>
      </c>
      <c r="J2447" t="s">
        <v>3001</v>
      </c>
    </row>
    <row r="2448" spans="1:10" x14ac:dyDescent="0.25">
      <c r="A2448" t="s">
        <v>2828</v>
      </c>
      <c r="B2448" t="s">
        <v>212</v>
      </c>
      <c r="C2448">
        <v>4</v>
      </c>
      <c r="D2448" t="s">
        <v>3456</v>
      </c>
      <c r="E2448">
        <v>69</v>
      </c>
      <c r="F2448">
        <v>19</v>
      </c>
      <c r="G2448">
        <v>50</v>
      </c>
      <c r="H2448" t="s">
        <v>3489</v>
      </c>
      <c r="I2448" t="s">
        <v>3490</v>
      </c>
      <c r="J2448" t="s">
        <v>3001</v>
      </c>
    </row>
    <row r="2449" spans="1:10" x14ac:dyDescent="0.25">
      <c r="A2449" t="s">
        <v>2828</v>
      </c>
      <c r="B2449" t="s">
        <v>212</v>
      </c>
      <c r="C2449">
        <v>4</v>
      </c>
      <c r="D2449" t="s">
        <v>3458</v>
      </c>
      <c r="E2449">
        <v>75</v>
      </c>
      <c r="F2449">
        <v>10</v>
      </c>
      <c r="G2449">
        <v>65</v>
      </c>
      <c r="H2449" t="s">
        <v>3494</v>
      </c>
      <c r="I2449" t="s">
        <v>3490</v>
      </c>
      <c r="J2449" t="s">
        <v>3001</v>
      </c>
    </row>
    <row r="2450" spans="1:10" x14ac:dyDescent="0.25">
      <c r="A2450" t="s">
        <v>2828</v>
      </c>
      <c r="B2450" t="s">
        <v>212</v>
      </c>
      <c r="C2450">
        <v>4</v>
      </c>
      <c r="D2450" t="s">
        <v>3460</v>
      </c>
      <c r="E2450">
        <v>31</v>
      </c>
      <c r="F2450">
        <v>11</v>
      </c>
      <c r="G2450">
        <v>20</v>
      </c>
      <c r="H2450" t="s">
        <v>3491</v>
      </c>
      <c r="I2450" t="s">
        <v>3492</v>
      </c>
      <c r="J2450" t="s">
        <v>3001</v>
      </c>
    </row>
    <row r="2451" spans="1:10" x14ac:dyDescent="0.25">
      <c r="A2451" t="s">
        <v>2828</v>
      </c>
      <c r="B2451" t="s">
        <v>212</v>
      </c>
      <c r="C2451">
        <v>4</v>
      </c>
      <c r="D2451" t="s">
        <v>3462</v>
      </c>
      <c r="E2451">
        <v>60</v>
      </c>
      <c r="F2451">
        <v>14</v>
      </c>
      <c r="G2451">
        <v>46</v>
      </c>
      <c r="H2451" t="s">
        <v>3489</v>
      </c>
      <c r="I2451" t="s">
        <v>3490</v>
      </c>
      <c r="J2451" t="s">
        <v>3001</v>
      </c>
    </row>
    <row r="2452" spans="1:10" x14ac:dyDescent="0.25">
      <c r="A2452" t="s">
        <v>2833</v>
      </c>
      <c r="B2452" t="s">
        <v>159</v>
      </c>
      <c r="C2452">
        <v>4</v>
      </c>
      <c r="D2452" t="s">
        <v>3094</v>
      </c>
      <c r="E2452">
        <v>76</v>
      </c>
      <c r="F2452">
        <v>27</v>
      </c>
      <c r="G2452">
        <v>49</v>
      </c>
      <c r="H2452" t="s">
        <v>3494</v>
      </c>
      <c r="I2452" t="s">
        <v>3490</v>
      </c>
      <c r="J2452" t="s">
        <v>2902</v>
      </c>
    </row>
    <row r="2453" spans="1:10" x14ac:dyDescent="0.25">
      <c r="A2453" t="s">
        <v>2833</v>
      </c>
      <c r="B2453" t="s">
        <v>159</v>
      </c>
      <c r="C2453">
        <v>4</v>
      </c>
      <c r="D2453" t="s">
        <v>3096</v>
      </c>
      <c r="E2453">
        <v>61</v>
      </c>
      <c r="F2453">
        <v>22</v>
      </c>
      <c r="G2453">
        <v>39</v>
      </c>
      <c r="H2453" t="s">
        <v>3489</v>
      </c>
      <c r="I2453" t="s">
        <v>3490</v>
      </c>
      <c r="J2453" t="s">
        <v>2902</v>
      </c>
    </row>
    <row r="2454" spans="1:10" x14ac:dyDescent="0.25">
      <c r="A2454" t="s">
        <v>2833</v>
      </c>
      <c r="B2454" t="s">
        <v>159</v>
      </c>
      <c r="C2454">
        <v>4</v>
      </c>
      <c r="D2454" t="s">
        <v>3098</v>
      </c>
      <c r="E2454">
        <v>73</v>
      </c>
      <c r="F2454">
        <v>19</v>
      </c>
      <c r="G2454">
        <v>54</v>
      </c>
      <c r="H2454" t="s">
        <v>3494</v>
      </c>
      <c r="I2454" t="s">
        <v>3490</v>
      </c>
      <c r="J2454" t="s">
        <v>2902</v>
      </c>
    </row>
    <row r="2455" spans="1:10" x14ac:dyDescent="0.25">
      <c r="A2455" t="s">
        <v>2833</v>
      </c>
      <c r="B2455" t="s">
        <v>159</v>
      </c>
      <c r="C2455">
        <v>4</v>
      </c>
      <c r="D2455" t="s">
        <v>3100</v>
      </c>
      <c r="E2455">
        <v>74</v>
      </c>
      <c r="F2455">
        <v>23</v>
      </c>
      <c r="G2455">
        <v>51</v>
      </c>
      <c r="H2455" t="s">
        <v>3494</v>
      </c>
      <c r="I2455" t="s">
        <v>3490</v>
      </c>
      <c r="J2455" t="s">
        <v>2902</v>
      </c>
    </row>
    <row r="2456" spans="1:10" x14ac:dyDescent="0.25">
      <c r="A2456" t="s">
        <v>2833</v>
      </c>
      <c r="B2456" t="s">
        <v>159</v>
      </c>
      <c r="C2456">
        <v>4</v>
      </c>
      <c r="D2456" t="s">
        <v>3102</v>
      </c>
      <c r="E2456">
        <v>61</v>
      </c>
      <c r="F2456">
        <v>22</v>
      </c>
      <c r="G2456">
        <v>39</v>
      </c>
      <c r="H2456" t="s">
        <v>3489</v>
      </c>
      <c r="I2456" t="s">
        <v>3490</v>
      </c>
      <c r="J2456" t="s">
        <v>2902</v>
      </c>
    </row>
    <row r="2457" spans="1:10" x14ac:dyDescent="0.25">
      <c r="A2457" t="s">
        <v>2838</v>
      </c>
      <c r="B2457" t="s">
        <v>122</v>
      </c>
      <c r="C2457">
        <v>8</v>
      </c>
      <c r="D2457" t="s">
        <v>3294</v>
      </c>
      <c r="E2457">
        <v>76</v>
      </c>
      <c r="F2457">
        <v>28</v>
      </c>
      <c r="G2457">
        <v>48</v>
      </c>
      <c r="H2457" t="s">
        <v>3494</v>
      </c>
      <c r="I2457" t="s">
        <v>3490</v>
      </c>
      <c r="J2457" t="s">
        <v>2919</v>
      </c>
    </row>
    <row r="2458" spans="1:10" x14ac:dyDescent="0.25">
      <c r="A2458" t="s">
        <v>2838</v>
      </c>
      <c r="B2458" t="s">
        <v>122</v>
      </c>
      <c r="C2458">
        <v>8</v>
      </c>
      <c r="D2458" t="s">
        <v>3296</v>
      </c>
      <c r="E2458">
        <v>76</v>
      </c>
      <c r="F2458">
        <v>28</v>
      </c>
      <c r="G2458">
        <v>48</v>
      </c>
      <c r="H2458" t="s">
        <v>3494</v>
      </c>
      <c r="I2458" t="s">
        <v>3490</v>
      </c>
      <c r="J2458" t="s">
        <v>2919</v>
      </c>
    </row>
    <row r="2459" spans="1:10" x14ac:dyDescent="0.25">
      <c r="A2459" t="s">
        <v>2838</v>
      </c>
      <c r="B2459" t="s">
        <v>122</v>
      </c>
      <c r="C2459">
        <v>8</v>
      </c>
      <c r="D2459" t="s">
        <v>3298</v>
      </c>
      <c r="E2459">
        <v>44</v>
      </c>
      <c r="F2459">
        <v>19</v>
      </c>
      <c r="G2459">
        <v>25</v>
      </c>
      <c r="H2459" t="s">
        <v>3491</v>
      </c>
      <c r="I2459" t="s">
        <v>3492</v>
      </c>
      <c r="J2459" t="s">
        <v>2919</v>
      </c>
    </row>
    <row r="2460" spans="1:10" x14ac:dyDescent="0.25">
      <c r="A2460" t="s">
        <v>2838</v>
      </c>
      <c r="B2460" t="s">
        <v>122</v>
      </c>
      <c r="C2460">
        <v>8</v>
      </c>
      <c r="D2460" t="s">
        <v>3300</v>
      </c>
      <c r="E2460">
        <v>55</v>
      </c>
      <c r="F2460">
        <v>23</v>
      </c>
      <c r="G2460">
        <v>32</v>
      </c>
      <c r="H2460" t="s">
        <v>3493</v>
      </c>
      <c r="I2460" t="s">
        <v>3490</v>
      </c>
      <c r="J2460" t="s">
        <v>2919</v>
      </c>
    </row>
    <row r="2461" spans="1:10" x14ac:dyDescent="0.25">
      <c r="A2461" t="s">
        <v>2838</v>
      </c>
      <c r="B2461" t="s">
        <v>122</v>
      </c>
      <c r="C2461">
        <v>8</v>
      </c>
      <c r="D2461" t="s">
        <v>3302</v>
      </c>
      <c r="E2461">
        <v>64</v>
      </c>
      <c r="F2461">
        <v>22</v>
      </c>
      <c r="G2461">
        <v>42</v>
      </c>
      <c r="H2461" t="s">
        <v>3489</v>
      </c>
      <c r="I2461" t="s">
        <v>3490</v>
      </c>
      <c r="J2461" t="s">
        <v>2919</v>
      </c>
    </row>
    <row r="2462" spans="1:10" x14ac:dyDescent="0.25">
      <c r="A2462" t="s">
        <v>2843</v>
      </c>
      <c r="B2462" t="s">
        <v>30</v>
      </c>
      <c r="C2462">
        <v>8</v>
      </c>
      <c r="D2462" t="s">
        <v>3354</v>
      </c>
      <c r="E2462">
        <v>87</v>
      </c>
      <c r="F2462">
        <v>23</v>
      </c>
      <c r="G2462">
        <v>64</v>
      </c>
      <c r="H2462" t="s">
        <v>196</v>
      </c>
      <c r="I2462" t="s">
        <v>3490</v>
      </c>
      <c r="J2462" t="s">
        <v>2895</v>
      </c>
    </row>
    <row r="2463" spans="1:10" x14ac:dyDescent="0.25">
      <c r="A2463" t="s">
        <v>2843</v>
      </c>
      <c r="B2463" t="s">
        <v>30</v>
      </c>
      <c r="C2463">
        <v>8</v>
      </c>
      <c r="D2463" t="s">
        <v>3356</v>
      </c>
      <c r="E2463">
        <v>47</v>
      </c>
      <c r="F2463">
        <v>11</v>
      </c>
      <c r="G2463">
        <v>36</v>
      </c>
      <c r="H2463" t="s">
        <v>3491</v>
      </c>
      <c r="I2463" t="s">
        <v>3492</v>
      </c>
      <c r="J2463" t="s">
        <v>2895</v>
      </c>
    </row>
    <row r="2464" spans="1:10" x14ac:dyDescent="0.25">
      <c r="A2464" t="s">
        <v>2843</v>
      </c>
      <c r="B2464" t="s">
        <v>30</v>
      </c>
      <c r="C2464">
        <v>8</v>
      </c>
      <c r="D2464" t="s">
        <v>3358</v>
      </c>
      <c r="E2464">
        <v>42</v>
      </c>
      <c r="F2464">
        <v>20</v>
      </c>
      <c r="G2464">
        <v>22</v>
      </c>
      <c r="H2464" t="s">
        <v>3491</v>
      </c>
      <c r="I2464" t="s">
        <v>3492</v>
      </c>
      <c r="J2464" t="s">
        <v>2895</v>
      </c>
    </row>
    <row r="2465" spans="1:10" x14ac:dyDescent="0.25">
      <c r="A2465" t="s">
        <v>2843</v>
      </c>
      <c r="B2465" t="s">
        <v>30</v>
      </c>
      <c r="C2465">
        <v>8</v>
      </c>
      <c r="D2465" t="s">
        <v>3360</v>
      </c>
      <c r="E2465">
        <v>56</v>
      </c>
      <c r="F2465">
        <v>10</v>
      </c>
      <c r="G2465">
        <v>46</v>
      </c>
      <c r="H2465" t="s">
        <v>3493</v>
      </c>
      <c r="I2465" t="s">
        <v>3490</v>
      </c>
      <c r="J2465" t="s">
        <v>2895</v>
      </c>
    </row>
    <row r="2466" spans="1:10" x14ac:dyDescent="0.25">
      <c r="A2466" t="s">
        <v>2843</v>
      </c>
      <c r="B2466" t="s">
        <v>30</v>
      </c>
      <c r="C2466">
        <v>8</v>
      </c>
      <c r="D2466" t="s">
        <v>3362</v>
      </c>
      <c r="E2466">
        <v>59</v>
      </c>
      <c r="F2466">
        <v>17</v>
      </c>
      <c r="G2466">
        <v>42</v>
      </c>
      <c r="H2466" t="s">
        <v>3493</v>
      </c>
      <c r="I2466" t="s">
        <v>3490</v>
      </c>
      <c r="J2466" t="s">
        <v>2895</v>
      </c>
    </row>
    <row r="2467" spans="1:10" x14ac:dyDescent="0.25">
      <c r="A2467" t="s">
        <v>2848</v>
      </c>
      <c r="B2467" t="s">
        <v>105</v>
      </c>
      <c r="C2467">
        <v>6</v>
      </c>
      <c r="D2467" t="s">
        <v>3174</v>
      </c>
      <c r="E2467">
        <v>84</v>
      </c>
      <c r="F2467">
        <v>20</v>
      </c>
      <c r="G2467">
        <v>64</v>
      </c>
      <c r="H2467" t="s">
        <v>196</v>
      </c>
      <c r="I2467" t="s">
        <v>3490</v>
      </c>
      <c r="J2467" t="s">
        <v>2908</v>
      </c>
    </row>
    <row r="2468" spans="1:10" x14ac:dyDescent="0.25">
      <c r="A2468" t="s">
        <v>2848</v>
      </c>
      <c r="B2468" t="s">
        <v>105</v>
      </c>
      <c r="C2468">
        <v>6</v>
      </c>
      <c r="D2468" t="s">
        <v>3176</v>
      </c>
      <c r="E2468">
        <v>67</v>
      </c>
      <c r="F2468">
        <v>17</v>
      </c>
      <c r="G2468">
        <v>50</v>
      </c>
      <c r="H2468" t="s">
        <v>3489</v>
      </c>
      <c r="I2468" t="s">
        <v>3490</v>
      </c>
      <c r="J2468" t="s">
        <v>2908</v>
      </c>
    </row>
    <row r="2469" spans="1:10" x14ac:dyDescent="0.25">
      <c r="A2469" t="s">
        <v>2848</v>
      </c>
      <c r="B2469" t="s">
        <v>105</v>
      </c>
      <c r="C2469">
        <v>6</v>
      </c>
      <c r="D2469" t="s">
        <v>3178</v>
      </c>
      <c r="E2469">
        <v>38</v>
      </c>
      <c r="F2469">
        <v>16</v>
      </c>
      <c r="G2469">
        <v>22</v>
      </c>
      <c r="H2469" t="s">
        <v>3491</v>
      </c>
      <c r="I2469" t="s">
        <v>3492</v>
      </c>
      <c r="J2469" t="s">
        <v>2908</v>
      </c>
    </row>
    <row r="2470" spans="1:10" x14ac:dyDescent="0.25">
      <c r="A2470" t="s">
        <v>2848</v>
      </c>
      <c r="B2470" t="s">
        <v>105</v>
      </c>
      <c r="C2470">
        <v>6</v>
      </c>
      <c r="D2470" t="s">
        <v>3180</v>
      </c>
      <c r="E2470">
        <v>95</v>
      </c>
      <c r="F2470">
        <v>28</v>
      </c>
      <c r="G2470">
        <v>67</v>
      </c>
      <c r="H2470" t="s">
        <v>3495</v>
      </c>
      <c r="I2470" t="s">
        <v>3490</v>
      </c>
      <c r="J2470" t="s">
        <v>2908</v>
      </c>
    </row>
    <row r="2471" spans="1:10" x14ac:dyDescent="0.25">
      <c r="A2471" t="s">
        <v>2848</v>
      </c>
      <c r="B2471" t="s">
        <v>105</v>
      </c>
      <c r="C2471">
        <v>6</v>
      </c>
      <c r="D2471" t="s">
        <v>3182</v>
      </c>
      <c r="E2471">
        <v>59</v>
      </c>
      <c r="F2471">
        <v>22</v>
      </c>
      <c r="G2471">
        <v>37</v>
      </c>
      <c r="H2471" t="s">
        <v>3493</v>
      </c>
      <c r="I2471" t="s">
        <v>3490</v>
      </c>
      <c r="J2471" t="s">
        <v>2908</v>
      </c>
    </row>
    <row r="2472" spans="1:10" x14ac:dyDescent="0.25">
      <c r="A2472" t="s">
        <v>2853</v>
      </c>
      <c r="B2472" t="s">
        <v>212</v>
      </c>
      <c r="C2472">
        <v>8</v>
      </c>
      <c r="D2472" t="s">
        <v>3474</v>
      </c>
      <c r="E2472">
        <v>75</v>
      </c>
      <c r="F2472">
        <v>28</v>
      </c>
      <c r="G2472">
        <v>47</v>
      </c>
      <c r="H2472" t="s">
        <v>3494</v>
      </c>
      <c r="I2472" t="s">
        <v>3490</v>
      </c>
      <c r="J2472" t="s">
        <v>3001</v>
      </c>
    </row>
    <row r="2473" spans="1:10" x14ac:dyDescent="0.25">
      <c r="A2473" t="s">
        <v>2853</v>
      </c>
      <c r="B2473" t="s">
        <v>212</v>
      </c>
      <c r="C2473">
        <v>8</v>
      </c>
      <c r="D2473" t="s">
        <v>3476</v>
      </c>
      <c r="E2473">
        <v>60</v>
      </c>
      <c r="F2473">
        <v>29</v>
      </c>
      <c r="G2473">
        <v>31</v>
      </c>
      <c r="H2473" t="s">
        <v>3489</v>
      </c>
      <c r="I2473" t="s">
        <v>3490</v>
      </c>
      <c r="J2473" t="s">
        <v>3001</v>
      </c>
    </row>
    <row r="2474" spans="1:10" x14ac:dyDescent="0.25">
      <c r="A2474" t="s">
        <v>2853</v>
      </c>
      <c r="B2474" t="s">
        <v>212</v>
      </c>
      <c r="C2474">
        <v>8</v>
      </c>
      <c r="D2474" t="s">
        <v>3478</v>
      </c>
      <c r="E2474">
        <v>72</v>
      </c>
      <c r="F2474">
        <v>24</v>
      </c>
      <c r="G2474">
        <v>48</v>
      </c>
      <c r="H2474" t="s">
        <v>3494</v>
      </c>
      <c r="I2474" t="s">
        <v>3490</v>
      </c>
      <c r="J2474" t="s">
        <v>3001</v>
      </c>
    </row>
    <row r="2475" spans="1:10" x14ac:dyDescent="0.25">
      <c r="A2475" t="s">
        <v>2853</v>
      </c>
      <c r="B2475" t="s">
        <v>212</v>
      </c>
      <c r="C2475">
        <v>8</v>
      </c>
      <c r="D2475" t="s">
        <v>3480</v>
      </c>
      <c r="E2475">
        <v>39</v>
      </c>
      <c r="F2475">
        <v>12</v>
      </c>
      <c r="G2475">
        <v>27</v>
      </c>
      <c r="H2475" t="s">
        <v>3491</v>
      </c>
      <c r="I2475" t="s">
        <v>3492</v>
      </c>
      <c r="J2475" t="s">
        <v>3001</v>
      </c>
    </row>
    <row r="2476" spans="1:10" x14ac:dyDescent="0.25">
      <c r="A2476" t="s">
        <v>2853</v>
      </c>
      <c r="B2476" t="s">
        <v>212</v>
      </c>
      <c r="C2476">
        <v>8</v>
      </c>
      <c r="D2476" t="s">
        <v>3482</v>
      </c>
      <c r="E2476">
        <v>86</v>
      </c>
      <c r="F2476">
        <v>30</v>
      </c>
      <c r="G2476">
        <v>56</v>
      </c>
      <c r="H2476" t="s">
        <v>196</v>
      </c>
      <c r="I2476" t="s">
        <v>3490</v>
      </c>
      <c r="J2476" t="s">
        <v>3001</v>
      </c>
    </row>
    <row r="2477" spans="1:10" x14ac:dyDescent="0.25">
      <c r="A2477" t="s">
        <v>2858</v>
      </c>
      <c r="B2477" t="s">
        <v>75</v>
      </c>
      <c r="C2477">
        <v>8</v>
      </c>
      <c r="D2477" t="s">
        <v>3054</v>
      </c>
      <c r="E2477">
        <v>72</v>
      </c>
      <c r="F2477">
        <v>30</v>
      </c>
      <c r="G2477">
        <v>42</v>
      </c>
      <c r="H2477" t="s">
        <v>3494</v>
      </c>
      <c r="I2477" t="s">
        <v>3490</v>
      </c>
      <c r="J2477" t="s">
        <v>2961</v>
      </c>
    </row>
    <row r="2478" spans="1:10" x14ac:dyDescent="0.25">
      <c r="A2478" t="s">
        <v>2858</v>
      </c>
      <c r="B2478" t="s">
        <v>75</v>
      </c>
      <c r="C2478">
        <v>8</v>
      </c>
      <c r="D2478" t="s">
        <v>3056</v>
      </c>
      <c r="E2478">
        <v>70</v>
      </c>
      <c r="F2478">
        <v>14</v>
      </c>
      <c r="G2478">
        <v>56</v>
      </c>
      <c r="H2478" t="s">
        <v>3494</v>
      </c>
      <c r="I2478" t="s">
        <v>3490</v>
      </c>
      <c r="J2478" t="s">
        <v>2961</v>
      </c>
    </row>
    <row r="2479" spans="1:10" x14ac:dyDescent="0.25">
      <c r="A2479" t="s">
        <v>2858</v>
      </c>
      <c r="B2479" t="s">
        <v>75</v>
      </c>
      <c r="C2479">
        <v>8</v>
      </c>
      <c r="D2479" t="s">
        <v>3058</v>
      </c>
      <c r="E2479">
        <v>56</v>
      </c>
      <c r="F2479">
        <v>22</v>
      </c>
      <c r="G2479">
        <v>34</v>
      </c>
      <c r="H2479" t="s">
        <v>3493</v>
      </c>
      <c r="I2479" t="s">
        <v>3490</v>
      </c>
      <c r="J2479" t="s">
        <v>2961</v>
      </c>
    </row>
    <row r="2480" spans="1:10" x14ac:dyDescent="0.25">
      <c r="A2480" t="s">
        <v>2858</v>
      </c>
      <c r="B2480" t="s">
        <v>75</v>
      </c>
      <c r="C2480">
        <v>8</v>
      </c>
      <c r="D2480" t="s">
        <v>3060</v>
      </c>
      <c r="E2480">
        <v>53</v>
      </c>
      <c r="F2480">
        <v>20</v>
      </c>
      <c r="G2480">
        <v>33</v>
      </c>
      <c r="H2480" t="s">
        <v>3493</v>
      </c>
      <c r="I2480" t="s">
        <v>3490</v>
      </c>
      <c r="J2480" t="s">
        <v>2961</v>
      </c>
    </row>
    <row r="2481" spans="1:10" x14ac:dyDescent="0.25">
      <c r="A2481" t="s">
        <v>2858</v>
      </c>
      <c r="B2481" t="s">
        <v>75</v>
      </c>
      <c r="C2481">
        <v>8</v>
      </c>
      <c r="D2481" t="s">
        <v>3062</v>
      </c>
      <c r="E2481">
        <v>75</v>
      </c>
      <c r="F2481">
        <v>11</v>
      </c>
      <c r="G2481">
        <v>64</v>
      </c>
      <c r="H2481" t="s">
        <v>3494</v>
      </c>
      <c r="I2481" t="s">
        <v>3490</v>
      </c>
      <c r="J2481" t="s">
        <v>2961</v>
      </c>
    </row>
    <row r="2482" spans="1:10" x14ac:dyDescent="0.25">
      <c r="A2482" t="s">
        <v>2862</v>
      </c>
      <c r="B2482" t="s">
        <v>75</v>
      </c>
      <c r="C2482">
        <v>8</v>
      </c>
      <c r="D2482" t="s">
        <v>3054</v>
      </c>
      <c r="E2482">
        <v>78</v>
      </c>
      <c r="F2482">
        <v>21</v>
      </c>
      <c r="G2482">
        <v>57</v>
      </c>
      <c r="H2482" t="s">
        <v>3494</v>
      </c>
      <c r="I2482" t="s">
        <v>3490</v>
      </c>
      <c r="J2482" t="s">
        <v>2961</v>
      </c>
    </row>
    <row r="2483" spans="1:10" x14ac:dyDescent="0.25">
      <c r="A2483" t="s">
        <v>2862</v>
      </c>
      <c r="B2483" t="s">
        <v>75</v>
      </c>
      <c r="C2483">
        <v>8</v>
      </c>
      <c r="D2483" t="s">
        <v>3056</v>
      </c>
      <c r="E2483">
        <v>90</v>
      </c>
      <c r="F2483">
        <v>24</v>
      </c>
      <c r="G2483">
        <v>66</v>
      </c>
      <c r="H2483" t="s">
        <v>3495</v>
      </c>
      <c r="I2483" t="s">
        <v>3490</v>
      </c>
      <c r="J2483" t="s">
        <v>2961</v>
      </c>
    </row>
    <row r="2484" spans="1:10" x14ac:dyDescent="0.25">
      <c r="A2484" t="s">
        <v>2862</v>
      </c>
      <c r="B2484" t="s">
        <v>75</v>
      </c>
      <c r="C2484">
        <v>8</v>
      </c>
      <c r="D2484" t="s">
        <v>3058</v>
      </c>
      <c r="E2484">
        <v>41</v>
      </c>
      <c r="F2484">
        <v>10</v>
      </c>
      <c r="G2484">
        <v>31</v>
      </c>
      <c r="H2484" t="s">
        <v>3491</v>
      </c>
      <c r="I2484" t="s">
        <v>3492</v>
      </c>
      <c r="J2484" t="s">
        <v>2961</v>
      </c>
    </row>
    <row r="2485" spans="1:10" x14ac:dyDescent="0.25">
      <c r="A2485" t="s">
        <v>2862</v>
      </c>
      <c r="B2485" t="s">
        <v>75</v>
      </c>
      <c r="C2485">
        <v>8</v>
      </c>
      <c r="D2485" t="s">
        <v>3060</v>
      </c>
      <c r="E2485">
        <v>63</v>
      </c>
      <c r="F2485">
        <v>21</v>
      </c>
      <c r="G2485">
        <v>42</v>
      </c>
      <c r="H2485" t="s">
        <v>3489</v>
      </c>
      <c r="I2485" t="s">
        <v>3490</v>
      </c>
      <c r="J2485" t="s">
        <v>2961</v>
      </c>
    </row>
    <row r="2486" spans="1:10" x14ac:dyDescent="0.25">
      <c r="A2486" t="s">
        <v>2862</v>
      </c>
      <c r="B2486" t="s">
        <v>75</v>
      </c>
      <c r="C2486">
        <v>8</v>
      </c>
      <c r="D2486" t="s">
        <v>3062</v>
      </c>
      <c r="E2486">
        <v>43</v>
      </c>
      <c r="F2486">
        <v>13</v>
      </c>
      <c r="G2486">
        <v>30</v>
      </c>
      <c r="H2486" t="s">
        <v>3491</v>
      </c>
      <c r="I2486" t="s">
        <v>3492</v>
      </c>
      <c r="J2486" t="s">
        <v>2961</v>
      </c>
    </row>
    <row r="2487" spans="1:10" x14ac:dyDescent="0.25">
      <c r="A2487" t="s">
        <v>2867</v>
      </c>
      <c r="B2487" t="s">
        <v>105</v>
      </c>
      <c r="C2487">
        <v>6</v>
      </c>
      <c r="D2487" t="s">
        <v>3174</v>
      </c>
      <c r="E2487">
        <v>56</v>
      </c>
      <c r="F2487">
        <v>26</v>
      </c>
      <c r="G2487">
        <v>30</v>
      </c>
      <c r="H2487" t="s">
        <v>3493</v>
      </c>
      <c r="I2487" t="s">
        <v>3490</v>
      </c>
      <c r="J2487" t="s">
        <v>2908</v>
      </c>
    </row>
    <row r="2488" spans="1:10" x14ac:dyDescent="0.25">
      <c r="A2488" t="s">
        <v>2867</v>
      </c>
      <c r="B2488" t="s">
        <v>105</v>
      </c>
      <c r="C2488">
        <v>6</v>
      </c>
      <c r="D2488" t="s">
        <v>3176</v>
      </c>
      <c r="E2488">
        <v>70</v>
      </c>
      <c r="F2488">
        <v>24</v>
      </c>
      <c r="G2488">
        <v>46</v>
      </c>
      <c r="H2488" t="s">
        <v>3494</v>
      </c>
      <c r="I2488" t="s">
        <v>3490</v>
      </c>
      <c r="J2488" t="s">
        <v>2908</v>
      </c>
    </row>
    <row r="2489" spans="1:10" x14ac:dyDescent="0.25">
      <c r="A2489" t="s">
        <v>2867</v>
      </c>
      <c r="B2489" t="s">
        <v>105</v>
      </c>
      <c r="C2489">
        <v>6</v>
      </c>
      <c r="D2489" t="s">
        <v>3178</v>
      </c>
      <c r="E2489">
        <v>63</v>
      </c>
      <c r="F2489">
        <v>16</v>
      </c>
      <c r="G2489">
        <v>47</v>
      </c>
      <c r="H2489" t="s">
        <v>3489</v>
      </c>
      <c r="I2489" t="s">
        <v>3490</v>
      </c>
      <c r="J2489" t="s">
        <v>2908</v>
      </c>
    </row>
    <row r="2490" spans="1:10" x14ac:dyDescent="0.25">
      <c r="A2490" t="s">
        <v>2867</v>
      </c>
      <c r="B2490" t="s">
        <v>105</v>
      </c>
      <c r="C2490">
        <v>6</v>
      </c>
      <c r="D2490" t="s">
        <v>3180</v>
      </c>
      <c r="E2490">
        <v>54</v>
      </c>
      <c r="F2490">
        <v>19</v>
      </c>
      <c r="G2490">
        <v>35</v>
      </c>
      <c r="H2490" t="s">
        <v>3493</v>
      </c>
      <c r="I2490" t="s">
        <v>3490</v>
      </c>
      <c r="J2490" t="s">
        <v>2908</v>
      </c>
    </row>
    <row r="2491" spans="1:10" x14ac:dyDescent="0.25">
      <c r="A2491" t="s">
        <v>2867</v>
      </c>
      <c r="B2491" t="s">
        <v>105</v>
      </c>
      <c r="C2491">
        <v>6</v>
      </c>
      <c r="D2491" t="s">
        <v>3182</v>
      </c>
      <c r="E2491">
        <v>52</v>
      </c>
      <c r="F2491">
        <v>12</v>
      </c>
      <c r="G2491">
        <v>40</v>
      </c>
      <c r="H2491" t="s">
        <v>3493</v>
      </c>
      <c r="I2491" t="s">
        <v>3490</v>
      </c>
      <c r="J2491" t="s">
        <v>2908</v>
      </c>
    </row>
    <row r="2492" spans="1:10" x14ac:dyDescent="0.25">
      <c r="A2492" t="s">
        <v>2872</v>
      </c>
      <c r="B2492" t="s">
        <v>75</v>
      </c>
      <c r="C2492">
        <v>6</v>
      </c>
      <c r="D2492" t="s">
        <v>3054</v>
      </c>
      <c r="E2492">
        <v>67</v>
      </c>
      <c r="F2492">
        <v>29</v>
      </c>
      <c r="G2492">
        <v>38</v>
      </c>
      <c r="H2492" t="s">
        <v>3489</v>
      </c>
      <c r="I2492" t="s">
        <v>3490</v>
      </c>
      <c r="J2492" t="s">
        <v>2961</v>
      </c>
    </row>
    <row r="2493" spans="1:10" x14ac:dyDescent="0.25">
      <c r="A2493" t="s">
        <v>2872</v>
      </c>
      <c r="B2493" t="s">
        <v>75</v>
      </c>
      <c r="C2493">
        <v>6</v>
      </c>
      <c r="D2493" t="s">
        <v>3056</v>
      </c>
      <c r="E2493">
        <v>85</v>
      </c>
      <c r="F2493">
        <v>26</v>
      </c>
      <c r="G2493">
        <v>59</v>
      </c>
      <c r="H2493" t="s">
        <v>196</v>
      </c>
      <c r="I2493" t="s">
        <v>3490</v>
      </c>
      <c r="J2493" t="s">
        <v>2961</v>
      </c>
    </row>
    <row r="2494" spans="1:10" x14ac:dyDescent="0.25">
      <c r="A2494" t="s">
        <v>2872</v>
      </c>
      <c r="B2494" t="s">
        <v>75</v>
      </c>
      <c r="C2494">
        <v>6</v>
      </c>
      <c r="D2494" t="s">
        <v>3058</v>
      </c>
      <c r="E2494">
        <v>83</v>
      </c>
      <c r="F2494">
        <v>27</v>
      </c>
      <c r="G2494">
        <v>56</v>
      </c>
      <c r="H2494" t="s">
        <v>196</v>
      </c>
      <c r="I2494" t="s">
        <v>3490</v>
      </c>
      <c r="J2494" t="s">
        <v>2961</v>
      </c>
    </row>
    <row r="2495" spans="1:10" x14ac:dyDescent="0.25">
      <c r="A2495" t="s">
        <v>2872</v>
      </c>
      <c r="B2495" t="s">
        <v>75</v>
      </c>
      <c r="C2495">
        <v>6</v>
      </c>
      <c r="D2495" t="s">
        <v>3060</v>
      </c>
      <c r="E2495">
        <v>79</v>
      </c>
      <c r="F2495">
        <v>20</v>
      </c>
      <c r="G2495">
        <v>59</v>
      </c>
      <c r="H2495" t="s">
        <v>3494</v>
      </c>
      <c r="I2495" t="s">
        <v>3490</v>
      </c>
      <c r="J2495" t="s">
        <v>2961</v>
      </c>
    </row>
    <row r="2496" spans="1:10" x14ac:dyDescent="0.25">
      <c r="A2496" t="s">
        <v>2872</v>
      </c>
      <c r="B2496" t="s">
        <v>75</v>
      </c>
      <c r="C2496">
        <v>6</v>
      </c>
      <c r="D2496" t="s">
        <v>3062</v>
      </c>
      <c r="E2496">
        <v>64</v>
      </c>
      <c r="F2496">
        <v>22</v>
      </c>
      <c r="G2496">
        <v>42</v>
      </c>
      <c r="H2496" t="s">
        <v>3489</v>
      </c>
      <c r="I2496" t="s">
        <v>3490</v>
      </c>
      <c r="J2496" t="s">
        <v>2961</v>
      </c>
    </row>
    <row r="2497" spans="1:10" x14ac:dyDescent="0.25">
      <c r="A2497" t="s">
        <v>2877</v>
      </c>
      <c r="B2497" t="s">
        <v>30</v>
      </c>
      <c r="C2497">
        <v>6</v>
      </c>
      <c r="D2497" t="s">
        <v>3354</v>
      </c>
      <c r="E2497">
        <v>65</v>
      </c>
      <c r="F2497">
        <v>19</v>
      </c>
      <c r="G2497">
        <v>46</v>
      </c>
      <c r="H2497" t="s">
        <v>3489</v>
      </c>
      <c r="I2497" t="s">
        <v>3490</v>
      </c>
      <c r="J2497" t="s">
        <v>2895</v>
      </c>
    </row>
    <row r="2498" spans="1:10" x14ac:dyDescent="0.25">
      <c r="A2498" t="s">
        <v>2877</v>
      </c>
      <c r="B2498" t="s">
        <v>30</v>
      </c>
      <c r="C2498">
        <v>6</v>
      </c>
      <c r="D2498" t="s">
        <v>3356</v>
      </c>
      <c r="E2498">
        <v>58</v>
      </c>
      <c r="F2498">
        <v>23</v>
      </c>
      <c r="G2498">
        <v>35</v>
      </c>
      <c r="H2498" t="s">
        <v>3493</v>
      </c>
      <c r="I2498" t="s">
        <v>3490</v>
      </c>
      <c r="J2498" t="s">
        <v>2895</v>
      </c>
    </row>
    <row r="2499" spans="1:10" x14ac:dyDescent="0.25">
      <c r="A2499" t="s">
        <v>2877</v>
      </c>
      <c r="B2499" t="s">
        <v>30</v>
      </c>
      <c r="C2499">
        <v>6</v>
      </c>
      <c r="D2499" t="s">
        <v>3358</v>
      </c>
      <c r="E2499">
        <v>60</v>
      </c>
      <c r="F2499">
        <v>19</v>
      </c>
      <c r="G2499">
        <v>41</v>
      </c>
      <c r="H2499" t="s">
        <v>3489</v>
      </c>
      <c r="I2499" t="s">
        <v>3490</v>
      </c>
      <c r="J2499" t="s">
        <v>2895</v>
      </c>
    </row>
    <row r="2500" spans="1:10" x14ac:dyDescent="0.25">
      <c r="A2500" t="s">
        <v>2877</v>
      </c>
      <c r="B2500" t="s">
        <v>30</v>
      </c>
      <c r="C2500">
        <v>6</v>
      </c>
      <c r="D2500" t="s">
        <v>3360</v>
      </c>
      <c r="E2500">
        <v>56</v>
      </c>
      <c r="F2500">
        <v>18</v>
      </c>
      <c r="G2500">
        <v>38</v>
      </c>
      <c r="H2500" t="s">
        <v>3493</v>
      </c>
      <c r="I2500" t="s">
        <v>3490</v>
      </c>
      <c r="J2500" t="s">
        <v>2895</v>
      </c>
    </row>
    <row r="2501" spans="1:10" x14ac:dyDescent="0.25">
      <c r="A2501" t="s">
        <v>2877</v>
      </c>
      <c r="B2501" t="s">
        <v>30</v>
      </c>
      <c r="C2501">
        <v>6</v>
      </c>
      <c r="D2501" t="s">
        <v>3362</v>
      </c>
      <c r="E2501">
        <v>56</v>
      </c>
      <c r="F2501">
        <v>17</v>
      </c>
      <c r="G2501">
        <v>39</v>
      </c>
      <c r="H2501" t="s">
        <v>3493</v>
      </c>
      <c r="I2501" t="s">
        <v>3490</v>
      </c>
      <c r="J2501" t="s">
        <v>2895</v>
      </c>
    </row>
  </sheetData>
  <conditionalFormatting sqref="E2:E2501">
    <cfRule type="iconSet" priority="1">
      <iconSet iconSet="5Arrows">
        <cfvo type="percent" val="0"/>
        <cfvo type="percent" val="20"/>
        <cfvo type="percent" val="40"/>
        <cfvo type="percent" val="60"/>
        <cfvo type="percent" val="80"/>
      </iconSet>
    </cfRule>
  </conditionalFormatting>
  <conditionalFormatting sqref="F2:F2501">
    <cfRule type="colorScale" priority="2">
      <colorScale>
        <cfvo type="min"/>
        <cfvo type="percentile" val="50"/>
        <cfvo type="max"/>
        <color rgb="FFFF7128"/>
        <color rgb="FFFFEB84"/>
        <color rgb="FF92D050"/>
      </colorScale>
    </cfRule>
  </conditionalFormatting>
  <conditionalFormatting sqref="G2:G2501">
    <cfRule type="dataBar" priority="3">
      <dataBar>
        <cfvo type="min"/>
        <cfvo type="max"/>
        <color rgb="FF008AEF"/>
      </dataBar>
      <extLst>
        <ext xmlns:x14="http://schemas.microsoft.com/office/spreadsheetml/2009/9/main" uri="{B025F937-C7B1-47D3-B67F-A62EFF666E3E}">
          <x14:id>{5456D3A4-F1AD-49D7-BD32-100724DF64EB}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456D3A4-F1AD-49D7-BD32-100724DF64EB}">
            <x14:dataBar minLength="0" maxLength="100" border="1" negativeBarBorderColorSameAsPositive="0">
              <x14:cfvo type="autoMin"/>
              <x14:cfvo type="autoMax"/>
              <x14:borderColor rgb="FF008AEF"/>
              <x14:negativeFillColor rgb="FFFF0000"/>
              <x14:negativeBorderColor rgb="FFFF0000"/>
              <x14:axisColor rgb="FF000000"/>
            </x14:dataBar>
          </x14:cfRule>
          <xm:sqref>G2:G2501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21A08-19E7-4A3C-86F6-B33D6AC571A4}">
  <dimension ref="A3:K12"/>
  <sheetViews>
    <sheetView workbookViewId="0">
      <selection activeCell="J3" sqref="J3"/>
    </sheetView>
  </sheetViews>
  <sheetFormatPr defaultRowHeight="15" x14ac:dyDescent="0.25"/>
  <cols>
    <col min="1" max="1" width="12" bestFit="1" customWidth="1"/>
    <col min="2" max="2" width="13.85546875" bestFit="1" customWidth="1"/>
    <col min="4" max="4" width="21.42578125" bestFit="1" customWidth="1"/>
    <col min="5" max="5" width="13.85546875" bestFit="1" customWidth="1"/>
    <col min="7" max="7" width="11.28515625" bestFit="1" customWidth="1"/>
    <col min="8" max="8" width="13.85546875" bestFit="1" customWidth="1"/>
    <col min="10" max="10" width="11.28515625" bestFit="1" customWidth="1"/>
    <col min="11" max="11" width="13.85546875" bestFit="1" customWidth="1"/>
  </cols>
  <sheetData>
    <row r="3" spans="1:11" x14ac:dyDescent="0.25">
      <c r="A3" s="3" t="s">
        <v>9</v>
      </c>
      <c r="B3" t="s">
        <v>3631</v>
      </c>
      <c r="D3" s="3" t="s">
        <v>3638</v>
      </c>
      <c r="E3" t="s">
        <v>3631</v>
      </c>
      <c r="G3" s="3" t="s">
        <v>2</v>
      </c>
      <c r="H3" t="s">
        <v>3631</v>
      </c>
      <c r="J3" s="3" t="s">
        <v>16</v>
      </c>
      <c r="K3" t="s">
        <v>3631</v>
      </c>
    </row>
    <row r="4" spans="1:11" x14ac:dyDescent="0.25">
      <c r="A4" s="4" t="s">
        <v>25</v>
      </c>
      <c r="B4">
        <v>56</v>
      </c>
      <c r="D4" s="4" t="s">
        <v>106</v>
      </c>
      <c r="E4">
        <v>59</v>
      </c>
      <c r="G4" s="4" t="s">
        <v>20</v>
      </c>
      <c r="H4">
        <v>241</v>
      </c>
      <c r="J4" s="4">
        <v>1</v>
      </c>
      <c r="K4">
        <v>238</v>
      </c>
    </row>
    <row r="5" spans="1:11" x14ac:dyDescent="0.25">
      <c r="A5" s="4" t="s">
        <v>175</v>
      </c>
      <c r="B5">
        <v>58</v>
      </c>
      <c r="D5" s="4" t="s">
        <v>160</v>
      </c>
      <c r="E5">
        <v>69</v>
      </c>
      <c r="G5" s="4" t="s">
        <v>134</v>
      </c>
      <c r="H5">
        <v>253</v>
      </c>
      <c r="J5" s="4">
        <v>2</v>
      </c>
      <c r="K5">
        <v>137</v>
      </c>
    </row>
    <row r="6" spans="1:11" x14ac:dyDescent="0.25">
      <c r="A6" s="4" t="s">
        <v>40</v>
      </c>
      <c r="B6">
        <v>53</v>
      </c>
      <c r="D6" s="4" t="s">
        <v>76</v>
      </c>
      <c r="E6">
        <v>57</v>
      </c>
      <c r="G6" s="4" t="s">
        <v>34</v>
      </c>
      <c r="H6">
        <v>6</v>
      </c>
      <c r="J6" s="4">
        <v>3</v>
      </c>
      <c r="K6">
        <v>125</v>
      </c>
    </row>
    <row r="7" spans="1:11" x14ac:dyDescent="0.25">
      <c r="A7" s="4" t="s">
        <v>50</v>
      </c>
      <c r="B7">
        <v>74</v>
      </c>
      <c r="D7" s="4" t="s">
        <v>213</v>
      </c>
      <c r="E7">
        <v>61</v>
      </c>
      <c r="G7" s="4" t="s">
        <v>3613</v>
      </c>
      <c r="H7">
        <v>500</v>
      </c>
      <c r="J7" s="4" t="s">
        <v>3613</v>
      </c>
      <c r="K7">
        <v>500</v>
      </c>
    </row>
    <row r="8" spans="1:11" x14ac:dyDescent="0.25">
      <c r="A8" s="4" t="s">
        <v>139</v>
      </c>
      <c r="B8">
        <v>73</v>
      </c>
      <c r="D8" s="4" t="s">
        <v>64</v>
      </c>
      <c r="E8">
        <v>64</v>
      </c>
    </row>
    <row r="9" spans="1:11" x14ac:dyDescent="0.25">
      <c r="A9" s="4" t="s">
        <v>26</v>
      </c>
      <c r="B9">
        <v>67</v>
      </c>
      <c r="D9" s="4" t="s">
        <v>31</v>
      </c>
      <c r="E9">
        <v>72</v>
      </c>
    </row>
    <row r="10" spans="1:11" x14ac:dyDescent="0.25">
      <c r="A10" s="4" t="s">
        <v>201</v>
      </c>
      <c r="B10">
        <v>57</v>
      </c>
      <c r="D10" s="4" t="s">
        <v>123</v>
      </c>
      <c r="E10">
        <v>52</v>
      </c>
    </row>
    <row r="11" spans="1:11" x14ac:dyDescent="0.25">
      <c r="A11" s="4" t="s">
        <v>71</v>
      </c>
      <c r="B11">
        <v>62</v>
      </c>
      <c r="D11" s="4" t="s">
        <v>96</v>
      </c>
      <c r="E11">
        <v>66</v>
      </c>
    </row>
    <row r="12" spans="1:11" x14ac:dyDescent="0.25">
      <c r="A12" s="4" t="s">
        <v>3613</v>
      </c>
      <c r="B12">
        <v>500</v>
      </c>
      <c r="D12" s="4" t="s">
        <v>3613</v>
      </c>
      <c r="E12">
        <v>500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D0B08-8173-49D0-A943-C348EEE3AB32}">
  <dimension ref="A3:H12"/>
  <sheetViews>
    <sheetView workbookViewId="0">
      <selection activeCell="D3" sqref="D3"/>
    </sheetView>
  </sheetViews>
  <sheetFormatPr defaultRowHeight="15" x14ac:dyDescent="0.25"/>
  <cols>
    <col min="1" max="1" width="11.28515625" bestFit="1" customWidth="1"/>
    <col min="2" max="2" width="12.140625" bestFit="1" customWidth="1"/>
    <col min="4" max="4" width="14.7109375" bestFit="1" customWidth="1"/>
    <col min="5" max="5" width="12.140625" bestFit="1" customWidth="1"/>
    <col min="7" max="7" width="12" bestFit="1" customWidth="1"/>
    <col min="8" max="8" width="12.140625" bestFit="1" customWidth="1"/>
  </cols>
  <sheetData>
    <row r="3" spans="1:8" x14ac:dyDescent="0.25">
      <c r="A3" s="3" t="s">
        <v>2</v>
      </c>
      <c r="B3" t="s">
        <v>3632</v>
      </c>
      <c r="D3" s="3" t="s">
        <v>2883</v>
      </c>
      <c r="E3" t="s">
        <v>3632</v>
      </c>
      <c r="G3" s="3" t="s">
        <v>9</v>
      </c>
      <c r="H3" t="s">
        <v>3632</v>
      </c>
    </row>
    <row r="4" spans="1:8" x14ac:dyDescent="0.25">
      <c r="A4" s="4" t="s">
        <v>20</v>
      </c>
      <c r="B4">
        <v>10</v>
      </c>
      <c r="D4" s="4" t="s">
        <v>2944</v>
      </c>
      <c r="E4">
        <v>4</v>
      </c>
      <c r="G4" s="4" t="s">
        <v>25</v>
      </c>
      <c r="H4">
        <v>1</v>
      </c>
    </row>
    <row r="5" spans="1:8" x14ac:dyDescent="0.25">
      <c r="A5" s="4" t="s">
        <v>134</v>
      </c>
      <c r="B5">
        <v>7</v>
      </c>
      <c r="D5" s="4" t="s">
        <v>2901</v>
      </c>
      <c r="E5">
        <v>1</v>
      </c>
      <c r="G5" s="4" t="s">
        <v>175</v>
      </c>
      <c r="H5">
        <v>3</v>
      </c>
    </row>
    <row r="6" spans="1:8" x14ac:dyDescent="0.25">
      <c r="A6" s="4" t="s">
        <v>34</v>
      </c>
      <c r="B6">
        <v>3</v>
      </c>
      <c r="D6" s="4" t="s">
        <v>2938</v>
      </c>
      <c r="E6">
        <v>2</v>
      </c>
      <c r="G6" s="4" t="s">
        <v>40</v>
      </c>
      <c r="H6">
        <v>1</v>
      </c>
    </row>
    <row r="7" spans="1:8" x14ac:dyDescent="0.25">
      <c r="A7" s="4" t="s">
        <v>3613</v>
      </c>
      <c r="B7">
        <v>20</v>
      </c>
      <c r="D7" s="4" t="s">
        <v>2931</v>
      </c>
      <c r="E7">
        <v>4</v>
      </c>
      <c r="G7" s="4" t="s">
        <v>50</v>
      </c>
      <c r="H7">
        <v>2</v>
      </c>
    </row>
    <row r="8" spans="1:8" x14ac:dyDescent="0.25">
      <c r="D8" s="4" t="s">
        <v>2888</v>
      </c>
      <c r="E8">
        <v>6</v>
      </c>
      <c r="G8" s="4" t="s">
        <v>139</v>
      </c>
      <c r="H8">
        <v>3</v>
      </c>
    </row>
    <row r="9" spans="1:8" x14ac:dyDescent="0.25">
      <c r="D9" s="4" t="s">
        <v>2949</v>
      </c>
      <c r="E9">
        <v>2</v>
      </c>
      <c r="G9" s="4" t="s">
        <v>26</v>
      </c>
      <c r="H9">
        <v>5</v>
      </c>
    </row>
    <row r="10" spans="1:8" x14ac:dyDescent="0.25">
      <c r="D10" s="4" t="s">
        <v>2925</v>
      </c>
      <c r="E10">
        <v>1</v>
      </c>
      <c r="G10" s="4" t="s">
        <v>201</v>
      </c>
      <c r="H10">
        <v>2</v>
      </c>
    </row>
    <row r="11" spans="1:8" x14ac:dyDescent="0.25">
      <c r="D11" s="4" t="s">
        <v>3613</v>
      </c>
      <c r="E11">
        <v>20</v>
      </c>
      <c r="G11" s="4" t="s">
        <v>71</v>
      </c>
      <c r="H11">
        <v>3</v>
      </c>
    </row>
    <row r="12" spans="1:8" x14ac:dyDescent="0.25">
      <c r="G12" s="4" t="s">
        <v>3613</v>
      </c>
      <c r="H12">
        <v>20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55D9D-57B3-43DE-8BC3-31685883CF9C}">
  <dimension ref="A4:E26"/>
  <sheetViews>
    <sheetView topLeftCell="A7" workbookViewId="0">
      <selection activeCell="B17" sqref="B17"/>
    </sheetView>
  </sheetViews>
  <sheetFormatPr defaultRowHeight="15" x14ac:dyDescent="0.25"/>
  <cols>
    <col min="1" max="1" width="17.28515625" bestFit="1" customWidth="1"/>
    <col min="2" max="2" width="13.85546875" bestFit="1" customWidth="1"/>
    <col min="4" max="4" width="21.42578125" bestFit="1" customWidth="1"/>
    <col min="5" max="5" width="13.85546875" bestFit="1" customWidth="1"/>
  </cols>
  <sheetData>
    <row r="4" spans="1:2" x14ac:dyDescent="0.25">
      <c r="A4" s="3" t="s">
        <v>2884</v>
      </c>
      <c r="B4" t="s">
        <v>3642</v>
      </c>
    </row>
    <row r="5" spans="1:2" x14ac:dyDescent="0.25">
      <c r="A5" s="4" t="s">
        <v>2895</v>
      </c>
      <c r="B5" s="16">
        <v>10.75</v>
      </c>
    </row>
    <row r="6" spans="1:2" x14ac:dyDescent="0.25">
      <c r="A6" s="4" t="s">
        <v>2902</v>
      </c>
      <c r="B6" s="16">
        <v>5</v>
      </c>
    </row>
    <row r="7" spans="1:2" x14ac:dyDescent="0.25">
      <c r="A7" s="4" t="s">
        <v>2961</v>
      </c>
      <c r="B7" s="16">
        <v>6</v>
      </c>
    </row>
    <row r="8" spans="1:2" x14ac:dyDescent="0.25">
      <c r="A8" s="4" t="s">
        <v>2908</v>
      </c>
      <c r="B8" s="16">
        <v>15.5</v>
      </c>
    </row>
    <row r="9" spans="1:2" x14ac:dyDescent="0.25">
      <c r="A9" s="4" t="s">
        <v>2889</v>
      </c>
      <c r="B9" s="16">
        <v>12.333333333333334</v>
      </c>
    </row>
    <row r="10" spans="1:2" x14ac:dyDescent="0.25">
      <c r="A10" s="4" t="s">
        <v>3001</v>
      </c>
      <c r="B10" s="16">
        <v>8</v>
      </c>
    </row>
    <row r="11" spans="1:2" x14ac:dyDescent="0.25">
      <c r="A11" s="4" t="s">
        <v>2919</v>
      </c>
      <c r="B11" s="16">
        <v>11</v>
      </c>
    </row>
    <row r="12" spans="1:2" x14ac:dyDescent="0.25">
      <c r="A12" s="4" t="s">
        <v>2932</v>
      </c>
      <c r="B12" s="16">
        <v>10.666666666666666</v>
      </c>
    </row>
    <row r="13" spans="1:2" x14ac:dyDescent="0.25">
      <c r="A13" s="4" t="s">
        <v>3613</v>
      </c>
      <c r="B13" s="16">
        <v>10.050000000000001</v>
      </c>
    </row>
    <row r="17" spans="1:5" x14ac:dyDescent="0.25">
      <c r="A17" s="3" t="s">
        <v>2884</v>
      </c>
      <c r="B17" t="s">
        <v>3631</v>
      </c>
      <c r="D17" s="3" t="s">
        <v>3638</v>
      </c>
      <c r="E17" t="s">
        <v>3631</v>
      </c>
    </row>
    <row r="18" spans="1:5" x14ac:dyDescent="0.25">
      <c r="A18" s="4" t="s">
        <v>2895</v>
      </c>
      <c r="B18">
        <v>72</v>
      </c>
      <c r="D18" s="4" t="s">
        <v>106</v>
      </c>
      <c r="E18">
        <v>59</v>
      </c>
    </row>
    <row r="19" spans="1:5" x14ac:dyDescent="0.25">
      <c r="A19" s="4" t="s">
        <v>2902</v>
      </c>
      <c r="B19">
        <v>69</v>
      </c>
      <c r="D19" s="4" t="s">
        <v>160</v>
      </c>
      <c r="E19">
        <v>69</v>
      </c>
    </row>
    <row r="20" spans="1:5" x14ac:dyDescent="0.25">
      <c r="A20" s="4" t="s">
        <v>2961</v>
      </c>
      <c r="B20">
        <v>57</v>
      </c>
      <c r="D20" s="4" t="s">
        <v>76</v>
      </c>
      <c r="E20">
        <v>57</v>
      </c>
    </row>
    <row r="21" spans="1:5" x14ac:dyDescent="0.25">
      <c r="A21" s="4" t="s">
        <v>2908</v>
      </c>
      <c r="B21">
        <v>59</v>
      </c>
      <c r="D21" s="4" t="s">
        <v>213</v>
      </c>
      <c r="E21">
        <v>61</v>
      </c>
    </row>
    <row r="22" spans="1:5" x14ac:dyDescent="0.25">
      <c r="A22" s="4" t="s">
        <v>2889</v>
      </c>
      <c r="B22">
        <v>66</v>
      </c>
      <c r="D22" s="4" t="s">
        <v>64</v>
      </c>
      <c r="E22">
        <v>64</v>
      </c>
    </row>
    <row r="23" spans="1:5" x14ac:dyDescent="0.25">
      <c r="A23" s="4" t="s">
        <v>3001</v>
      </c>
      <c r="B23">
        <v>61</v>
      </c>
      <c r="D23" s="4" t="s">
        <v>31</v>
      </c>
      <c r="E23">
        <v>72</v>
      </c>
    </row>
    <row r="24" spans="1:5" x14ac:dyDescent="0.25">
      <c r="A24" s="4" t="s">
        <v>2919</v>
      </c>
      <c r="B24">
        <v>52</v>
      </c>
      <c r="D24" s="4" t="s">
        <v>123</v>
      </c>
      <c r="E24">
        <v>52</v>
      </c>
    </row>
    <row r="25" spans="1:5" x14ac:dyDescent="0.25">
      <c r="A25" s="4" t="s">
        <v>2932</v>
      </c>
      <c r="B25">
        <v>64</v>
      </c>
      <c r="D25" s="4" t="s">
        <v>96</v>
      </c>
      <c r="E25">
        <v>66</v>
      </c>
    </row>
    <row r="26" spans="1:5" x14ac:dyDescent="0.25">
      <c r="A26" s="4" t="s">
        <v>3613</v>
      </c>
      <c r="B26">
        <v>500</v>
      </c>
      <c r="D26" s="4" t="s">
        <v>3613</v>
      </c>
      <c r="E26">
        <v>500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02C86-ECA9-4182-8558-22B22AC19E56}">
  <dimension ref="A3:H12"/>
  <sheetViews>
    <sheetView workbookViewId="0">
      <selection activeCell="D3" sqref="D3"/>
    </sheetView>
  </sheetViews>
  <sheetFormatPr defaultRowHeight="15" x14ac:dyDescent="0.25"/>
  <cols>
    <col min="1" max="1" width="16.7109375" bestFit="1" customWidth="1"/>
    <col min="2" max="2" width="11.7109375" bestFit="1" customWidth="1"/>
    <col min="4" max="4" width="18.85546875" bestFit="1" customWidth="1"/>
    <col min="5" max="5" width="11.7109375" bestFit="1" customWidth="1"/>
    <col min="7" max="7" width="16.42578125" bestFit="1" customWidth="1"/>
    <col min="8" max="8" width="17.28515625" bestFit="1" customWidth="1"/>
  </cols>
  <sheetData>
    <row r="3" spans="1:8" x14ac:dyDescent="0.25">
      <c r="A3" s="3" t="s">
        <v>3639</v>
      </c>
      <c r="B3" t="s">
        <v>3625</v>
      </c>
      <c r="D3" s="3" t="s">
        <v>3626</v>
      </c>
      <c r="E3" t="s">
        <v>3625</v>
      </c>
      <c r="G3" s="3" t="s">
        <v>3640</v>
      </c>
      <c r="H3" t="s">
        <v>3627</v>
      </c>
    </row>
    <row r="4" spans="1:8" x14ac:dyDescent="0.25">
      <c r="A4" s="4" t="s">
        <v>3520</v>
      </c>
      <c r="B4">
        <v>19</v>
      </c>
      <c r="D4" s="4" t="s">
        <v>3541</v>
      </c>
      <c r="E4">
        <v>3</v>
      </c>
      <c r="G4" s="4" t="s">
        <v>3512</v>
      </c>
      <c r="H4">
        <v>2522304</v>
      </c>
    </row>
    <row r="5" spans="1:8" x14ac:dyDescent="0.25">
      <c r="A5" s="4" t="s">
        <v>3509</v>
      </c>
      <c r="B5">
        <v>21</v>
      </c>
      <c r="D5" s="4" t="s">
        <v>3515</v>
      </c>
      <c r="E5">
        <v>4</v>
      </c>
      <c r="G5" s="4" t="s">
        <v>3517</v>
      </c>
      <c r="H5">
        <v>934894</v>
      </c>
    </row>
    <row r="6" spans="1:8" x14ac:dyDescent="0.25">
      <c r="A6" s="4" t="s">
        <v>3613</v>
      </c>
      <c r="B6">
        <v>40</v>
      </c>
      <c r="D6" s="4" t="s">
        <v>3536</v>
      </c>
      <c r="E6">
        <v>8</v>
      </c>
      <c r="G6" s="4" t="s">
        <v>3613</v>
      </c>
      <c r="H6">
        <v>3457198</v>
      </c>
    </row>
    <row r="7" spans="1:8" x14ac:dyDescent="0.25">
      <c r="D7" s="4" t="s">
        <v>3531</v>
      </c>
      <c r="E7">
        <v>8</v>
      </c>
    </row>
    <row r="8" spans="1:8" x14ac:dyDescent="0.25">
      <c r="D8" s="4" t="s">
        <v>3549</v>
      </c>
      <c r="E8">
        <v>3</v>
      </c>
    </row>
    <row r="9" spans="1:8" x14ac:dyDescent="0.25">
      <c r="D9" s="4" t="s">
        <v>3525</v>
      </c>
      <c r="E9">
        <v>3</v>
      </c>
    </row>
    <row r="10" spans="1:8" x14ac:dyDescent="0.25">
      <c r="D10" s="4" t="s">
        <v>3508</v>
      </c>
      <c r="E10">
        <v>8</v>
      </c>
    </row>
    <row r="11" spans="1:8" x14ac:dyDescent="0.25">
      <c r="D11" s="4" t="s">
        <v>3553</v>
      </c>
      <c r="E11">
        <v>3</v>
      </c>
    </row>
    <row r="12" spans="1:8" x14ac:dyDescent="0.25">
      <c r="D12" s="4" t="s">
        <v>3613</v>
      </c>
      <c r="E12">
        <v>40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2CA1D-0B0A-4A5B-A1E0-27170A51EDC4}">
  <dimension ref="A1"/>
  <sheetViews>
    <sheetView showGridLines="0" showRowColHeaders="0" zoomScale="60" zoomScaleNormal="60" workbookViewId="0">
      <selection activeCell="AB22" sqref="AB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DA382-705C-4466-B85C-A65EBD2D1C5C}">
  <dimension ref="A1"/>
  <sheetViews>
    <sheetView showGridLines="0" showRowColHeaders="0" zoomScale="60" zoomScaleNormal="60" workbookViewId="0">
      <selection activeCell="AC16" sqref="AC1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9DB24-6886-4A39-8026-8D631A895BD4}">
  <dimension ref="Q13"/>
  <sheetViews>
    <sheetView showGridLines="0" showRowColHeaders="0" zoomScale="60" zoomScaleNormal="60" workbookViewId="0">
      <selection activeCell="W12" sqref="W12"/>
    </sheetView>
  </sheetViews>
  <sheetFormatPr defaultRowHeight="15" x14ac:dyDescent="0.25"/>
  <sheetData>
    <row r="13" spans="17:17" x14ac:dyDescent="0.25">
      <c r="Q13" t="s">
        <v>3641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3091B-8E21-46B9-9421-077079C4C9CB}">
  <dimension ref="A1"/>
  <sheetViews>
    <sheetView showGridLines="0" showRowColHeaders="0" tabSelected="1" zoomScale="60" zoomScaleNormal="60" workbookViewId="0">
      <selection activeCell="U12" sqref="U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Students Master</vt:lpstr>
      <vt:lpstr>Faculty Master</vt:lpstr>
      <vt:lpstr>Courses Offered</vt:lpstr>
      <vt:lpstr>Subjects Master</vt:lpstr>
      <vt:lpstr>Faculty-Subject Map</vt:lpstr>
      <vt:lpstr>Semester Results</vt:lpstr>
      <vt:lpstr>Events Master</vt:lpstr>
      <vt:lpstr>Event Participants</vt:lpstr>
      <vt:lpstr>KPI Summary</vt:lpstr>
      <vt:lpstr>Student Chart</vt:lpstr>
      <vt:lpstr>Faculty chart</vt:lpstr>
      <vt:lpstr>Department &amp; Courses Chart</vt:lpstr>
      <vt:lpstr>Event Chart</vt:lpstr>
      <vt:lpstr>Conditional</vt:lpstr>
      <vt:lpstr>Pivot Student</vt:lpstr>
      <vt:lpstr>Faculty Pivot</vt:lpstr>
      <vt:lpstr>Course pivot</vt:lpstr>
      <vt:lpstr>Events Pivot</vt:lpstr>
      <vt:lpstr>Student Dashboard</vt:lpstr>
      <vt:lpstr>Faculty Dashboard</vt:lpstr>
      <vt:lpstr>Department &amp; Course Dashboard</vt:lpstr>
      <vt:lpstr>Event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Suresh</cp:lastModifiedBy>
  <dcterms:created xsi:type="dcterms:W3CDTF">2025-09-27T12:08:53Z</dcterms:created>
  <dcterms:modified xsi:type="dcterms:W3CDTF">2025-10-31T12:45:05Z</dcterms:modified>
</cp:coreProperties>
</file>